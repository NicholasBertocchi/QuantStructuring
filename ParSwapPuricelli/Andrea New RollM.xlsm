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25" yWindow="1110" windowWidth="17625" windowHeight="4845" tabRatio="766"/>
  </bookViews>
  <sheets>
    <sheet name="Crv" sheetId="1" r:id="rId1"/>
    <sheet name="Fwd " sheetId="3" r:id="rId2"/>
    <sheet name="SPF" sheetId="4" r:id="rId3"/>
    <sheet name="Ita" sheetId="7" r:id="rId4"/>
    <sheet name="CCT" sheetId="27" r:id="rId5"/>
    <sheet name="DB" sheetId="23" r:id="rId6"/>
    <sheet name="CurveID" sheetId="5" state="hidden" r:id="rId7"/>
    <sheet name="Dati" sheetId="2" state="hidden" r:id="rId8"/>
  </sheets>
  <externalReferences>
    <externalReference r:id="rId9"/>
  </externalReferences>
  <definedNames>
    <definedName name="_xlnm._FilterDatabase" localSheetId="6" hidden="1">CurveID!$B$2:$F$221</definedName>
    <definedName name="_xlnm._FilterDatabase" localSheetId="5" hidden="1">DB!$B$4:$AC$4</definedName>
    <definedName name="_xlnm._FilterDatabase" localSheetId="3" hidden="1">Ita!$A$2:$AA$73</definedName>
    <definedName name="BBPTAutoColor_Changed" localSheetId="0" hidden="1">TRUE</definedName>
    <definedName name="BBPTAutoColor_Changed" localSheetId="3" hidden="1">TRUE</definedName>
    <definedName name="BBPTAutoColor_ShadowWksName" localSheetId="0" hidden="1">"BBPTACShadowWks0001"</definedName>
    <definedName name="BBPTAutoColor_ShadowWksName" localSheetId="3" hidden="1">"BBPTACShadowWks0001"</definedName>
    <definedName name="BloombergSubstitution_20160311_130759" localSheetId="5" hidden="1">TRUE</definedName>
    <definedName name="Inf">#REF!</definedName>
    <definedName name="Settle">CCT!$Y$1</definedName>
    <definedName name="Today">Ita!$A$1</definedName>
  </definedNames>
  <calcPr calcId="145621"/>
</workbook>
</file>

<file path=xl/calcChain.xml><?xml version="1.0" encoding="utf-8"?>
<calcChain xmlns="http://schemas.openxmlformats.org/spreadsheetml/2006/main">
  <c r="A1" i="7" l="1"/>
  <c r="A3" i="7"/>
  <c r="B3" i="7"/>
  <c r="C3" i="7"/>
  <c r="D3" i="7"/>
  <c r="E3" i="7"/>
  <c r="F3" i="7"/>
  <c r="G3" i="7"/>
  <c r="H3" i="7"/>
  <c r="Y3" i="7"/>
  <c r="I3" i="7"/>
  <c r="Q3" i="7"/>
  <c r="S3" i="7"/>
  <c r="V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V55" i="7"/>
  <c r="V56" i="7"/>
  <c r="V57" i="7"/>
  <c r="V58" i="7"/>
  <c r="V59" i="7"/>
  <c r="V60" i="7"/>
  <c r="V61" i="7"/>
  <c r="V62" i="7"/>
  <c r="V63" i="7"/>
  <c r="V64" i="7"/>
  <c r="V65" i="7"/>
  <c r="V66" i="7"/>
  <c r="V67" i="7"/>
  <c r="V68" i="7"/>
  <c r="V69" i="7"/>
  <c r="V70" i="7"/>
  <c r="V71" i="7"/>
  <c r="V72" i="7"/>
  <c r="V73" i="7"/>
  <c r="T3" i="7"/>
  <c r="U3" i="7"/>
  <c r="W3" i="7"/>
  <c r="Z3" i="7"/>
  <c r="A4" i="7"/>
  <c r="B4" i="7"/>
  <c r="C4" i="7"/>
  <c r="D4" i="7"/>
  <c r="E4" i="7"/>
  <c r="F4" i="7"/>
  <c r="G4" i="7"/>
  <c r="H4" i="7"/>
  <c r="Y4" i="7"/>
  <c r="I4" i="7"/>
  <c r="L4" i="7"/>
  <c r="Q4" i="7"/>
  <c r="S4" i="7"/>
  <c r="T4" i="7"/>
  <c r="U4" i="7"/>
  <c r="W4" i="7"/>
  <c r="Z4" i="7"/>
  <c r="A5" i="7"/>
  <c r="B5" i="7"/>
  <c r="C5" i="7"/>
  <c r="D5" i="7"/>
  <c r="E5" i="7"/>
  <c r="F5" i="7"/>
  <c r="G5" i="7"/>
  <c r="H5" i="7"/>
  <c r="Y5" i="7"/>
  <c r="I5" i="7"/>
  <c r="L5" i="7"/>
  <c r="Q5" i="7"/>
  <c r="S5" i="7"/>
  <c r="T5" i="7"/>
  <c r="U5" i="7"/>
  <c r="W5" i="7"/>
  <c r="Z5" i="7"/>
  <c r="A6" i="7"/>
  <c r="B6" i="7"/>
  <c r="C6" i="7"/>
  <c r="D6" i="7"/>
  <c r="E6" i="7"/>
  <c r="F6" i="7"/>
  <c r="G6" i="7"/>
  <c r="H6" i="7"/>
  <c r="Y6" i="7"/>
  <c r="I6" i="7"/>
  <c r="L6" i="7"/>
  <c r="Q6" i="7"/>
  <c r="S6" i="7"/>
  <c r="T6" i="7"/>
  <c r="U6" i="7"/>
  <c r="W6" i="7"/>
  <c r="Z6" i="7"/>
  <c r="A7" i="7"/>
  <c r="B7" i="7"/>
  <c r="C7" i="7"/>
  <c r="D7" i="7"/>
  <c r="E7" i="7"/>
  <c r="F7" i="7"/>
  <c r="G7" i="7"/>
  <c r="H7" i="7"/>
  <c r="Y7" i="7"/>
  <c r="I7" i="7"/>
  <c r="L7" i="7"/>
  <c r="M7" i="7"/>
  <c r="Q7" i="7"/>
  <c r="R7" i="7"/>
  <c r="S7" i="7"/>
  <c r="T7" i="7"/>
  <c r="U7" i="7"/>
  <c r="W7" i="7"/>
  <c r="Z7" i="7"/>
  <c r="A8" i="7"/>
  <c r="B8" i="7"/>
  <c r="C8" i="7"/>
  <c r="D8" i="7"/>
  <c r="E8" i="7"/>
  <c r="F8" i="7"/>
  <c r="G8" i="7"/>
  <c r="H8" i="7"/>
  <c r="Y8" i="7"/>
  <c r="I8" i="7"/>
  <c r="L8" i="7"/>
  <c r="Q8" i="7"/>
  <c r="R8" i="7"/>
  <c r="S8" i="7"/>
  <c r="T8" i="7"/>
  <c r="U8" i="7"/>
  <c r="W8" i="7"/>
  <c r="Z8" i="7"/>
  <c r="A9" i="7"/>
  <c r="B9" i="7"/>
  <c r="C9" i="7"/>
  <c r="D9" i="7"/>
  <c r="E9" i="7"/>
  <c r="F9" i="7"/>
  <c r="G9" i="7"/>
  <c r="H9" i="7"/>
  <c r="Y9" i="7"/>
  <c r="I9" i="7"/>
  <c r="L9" i="7"/>
  <c r="Q9" i="7"/>
  <c r="R9" i="7"/>
  <c r="S9" i="7"/>
  <c r="T9" i="7"/>
  <c r="U9" i="7"/>
  <c r="W9" i="7"/>
  <c r="Z9" i="7"/>
  <c r="A10" i="7"/>
  <c r="B10" i="7"/>
  <c r="C10" i="7"/>
  <c r="D10" i="7"/>
  <c r="E10" i="7"/>
  <c r="F10" i="7"/>
  <c r="G10" i="7"/>
  <c r="H10" i="7"/>
  <c r="Y10" i="7"/>
  <c r="I10" i="7"/>
  <c r="L10" i="7"/>
  <c r="Q10" i="7"/>
  <c r="R10" i="7"/>
  <c r="S10" i="7"/>
  <c r="T10" i="7"/>
  <c r="U10" i="7"/>
  <c r="W10" i="7"/>
  <c r="Z10" i="7"/>
  <c r="A11" i="7"/>
  <c r="B11" i="7"/>
  <c r="C11" i="7"/>
  <c r="D11" i="7"/>
  <c r="E11" i="7"/>
  <c r="F11" i="7"/>
  <c r="G11" i="7"/>
  <c r="H11" i="7"/>
  <c r="Y11" i="7"/>
  <c r="I11" i="7"/>
  <c r="L11" i="7"/>
  <c r="M11" i="7"/>
  <c r="Q11" i="7"/>
  <c r="S11" i="7"/>
  <c r="T11" i="7"/>
  <c r="U11" i="7"/>
  <c r="W11" i="7"/>
  <c r="Z11" i="7"/>
  <c r="A12" i="7"/>
  <c r="B12" i="7"/>
  <c r="C12" i="7"/>
  <c r="D12" i="7"/>
  <c r="E12" i="7"/>
  <c r="F12" i="7"/>
  <c r="G12" i="7"/>
  <c r="H12" i="7"/>
  <c r="Y12" i="7"/>
  <c r="I12" i="7"/>
  <c r="L12" i="7"/>
  <c r="N12" i="7"/>
  <c r="Q12" i="7"/>
  <c r="S12" i="7"/>
  <c r="T12" i="7"/>
  <c r="U12" i="7"/>
  <c r="W12" i="7"/>
  <c r="Z12" i="7"/>
  <c r="A13" i="7"/>
  <c r="B13" i="7"/>
  <c r="C13" i="7"/>
  <c r="D13" i="7"/>
  <c r="E13" i="7"/>
  <c r="F13" i="7"/>
  <c r="G13" i="7"/>
  <c r="H13" i="7"/>
  <c r="Y13" i="7"/>
  <c r="I13" i="7"/>
  <c r="L13" i="7"/>
  <c r="M13" i="7"/>
  <c r="Q13" i="7"/>
  <c r="S13" i="7"/>
  <c r="T13" i="7"/>
  <c r="U13" i="7"/>
  <c r="W13" i="7"/>
  <c r="Z13" i="7"/>
  <c r="A14" i="7"/>
  <c r="B14" i="7"/>
  <c r="C14" i="7"/>
  <c r="D14" i="7"/>
  <c r="E14" i="7"/>
  <c r="F14" i="7"/>
  <c r="G14" i="7"/>
  <c r="H14" i="7"/>
  <c r="Y14" i="7"/>
  <c r="I14" i="7"/>
  <c r="L14" i="7"/>
  <c r="Q14" i="7"/>
  <c r="S14" i="7"/>
  <c r="T14" i="7"/>
  <c r="U14" i="7"/>
  <c r="W14" i="7"/>
  <c r="Z14" i="7"/>
  <c r="A15" i="7"/>
  <c r="B15" i="7"/>
  <c r="C15" i="7"/>
  <c r="D15" i="7"/>
  <c r="E15" i="7"/>
  <c r="F15" i="7"/>
  <c r="G15" i="7"/>
  <c r="H15" i="7"/>
  <c r="Y15" i="7"/>
  <c r="I15" i="7"/>
  <c r="L15" i="7"/>
  <c r="Q15" i="7"/>
  <c r="S15" i="7"/>
  <c r="T15" i="7"/>
  <c r="U15" i="7"/>
  <c r="W15" i="7"/>
  <c r="Z15" i="7"/>
  <c r="A16" i="7"/>
  <c r="B16" i="7"/>
  <c r="C16" i="7"/>
  <c r="D16" i="7"/>
  <c r="E16" i="7"/>
  <c r="F16" i="7"/>
  <c r="G16" i="7"/>
  <c r="H16" i="7"/>
  <c r="L16" i="7"/>
  <c r="M16" i="7"/>
  <c r="Q16" i="7"/>
  <c r="S16" i="7"/>
  <c r="T16" i="7"/>
  <c r="U16" i="7"/>
  <c r="W16" i="7"/>
  <c r="Y16" i="7"/>
  <c r="Z16" i="7"/>
  <c r="A17" i="7"/>
  <c r="B17" i="7"/>
  <c r="C17" i="7"/>
  <c r="D17" i="7"/>
  <c r="E17" i="7"/>
  <c r="F17" i="7"/>
  <c r="G17" i="7"/>
  <c r="H17" i="7"/>
  <c r="Y17" i="7"/>
  <c r="I17" i="7"/>
  <c r="L17" i="7"/>
  <c r="M17" i="7"/>
  <c r="Q17" i="7"/>
  <c r="S17" i="7"/>
  <c r="T17" i="7"/>
  <c r="U17" i="7"/>
  <c r="W17" i="7"/>
  <c r="Z17" i="7"/>
  <c r="A18" i="7"/>
  <c r="B18" i="7"/>
  <c r="C18" i="7"/>
  <c r="D18" i="7"/>
  <c r="E18" i="7"/>
  <c r="F18" i="7"/>
  <c r="G18" i="7"/>
  <c r="H18" i="7"/>
  <c r="Y18" i="7"/>
  <c r="I18" i="7"/>
  <c r="L18" i="7"/>
  <c r="Q18" i="7"/>
  <c r="S18" i="7"/>
  <c r="T18" i="7"/>
  <c r="U18" i="7"/>
  <c r="W18" i="7"/>
  <c r="Z18" i="7"/>
  <c r="A19" i="7"/>
  <c r="B19" i="7"/>
  <c r="C19" i="7"/>
  <c r="D19" i="7"/>
  <c r="E19" i="7"/>
  <c r="F19" i="7"/>
  <c r="G19" i="7"/>
  <c r="H19" i="7"/>
  <c r="Y19" i="7"/>
  <c r="I19" i="7"/>
  <c r="L19" i="7"/>
  <c r="N19" i="7"/>
  <c r="Q19" i="7"/>
  <c r="S19" i="7"/>
  <c r="T19" i="7"/>
  <c r="U19" i="7"/>
  <c r="W19" i="7"/>
  <c r="Z19" i="7"/>
  <c r="A20" i="7"/>
  <c r="B20" i="7"/>
  <c r="C20" i="7"/>
  <c r="D20" i="7"/>
  <c r="E20" i="7"/>
  <c r="F20" i="7"/>
  <c r="G20" i="7"/>
  <c r="H20" i="7"/>
  <c r="Y20" i="7"/>
  <c r="I20" i="7"/>
  <c r="L20" i="7"/>
  <c r="M20" i="7"/>
  <c r="N20" i="7"/>
  <c r="Q20" i="7"/>
  <c r="S20" i="7"/>
  <c r="T20" i="7"/>
  <c r="U20" i="7"/>
  <c r="W20" i="7"/>
  <c r="Z20" i="7"/>
  <c r="A21" i="7"/>
  <c r="B21" i="7"/>
  <c r="C21" i="7"/>
  <c r="D21" i="7"/>
  <c r="E21" i="7"/>
  <c r="F21" i="7"/>
  <c r="G21" i="7"/>
  <c r="H21" i="7"/>
  <c r="Y21" i="7"/>
  <c r="I21" i="7"/>
  <c r="L21" i="7"/>
  <c r="M21" i="7"/>
  <c r="Q21" i="7"/>
  <c r="S21" i="7"/>
  <c r="T21" i="7"/>
  <c r="U21" i="7"/>
  <c r="W21" i="7"/>
  <c r="Z21" i="7"/>
  <c r="A22" i="7"/>
  <c r="B22" i="7"/>
  <c r="C22" i="7"/>
  <c r="D22" i="7"/>
  <c r="E22" i="7"/>
  <c r="F22" i="7"/>
  <c r="G22" i="7"/>
  <c r="H22" i="7"/>
  <c r="Y22" i="7"/>
  <c r="I22" i="7"/>
  <c r="L22" i="7"/>
  <c r="M22" i="7"/>
  <c r="Q22" i="7"/>
  <c r="S22" i="7"/>
  <c r="T22" i="7"/>
  <c r="U22" i="7"/>
  <c r="W22" i="7"/>
  <c r="Z22" i="7"/>
  <c r="A23" i="7"/>
  <c r="B23" i="7"/>
  <c r="C23" i="7"/>
  <c r="D23" i="7"/>
  <c r="E23" i="7"/>
  <c r="F23" i="7"/>
  <c r="G23" i="7"/>
  <c r="H23" i="7"/>
  <c r="Y23" i="7"/>
  <c r="I23" i="7"/>
  <c r="L23" i="7"/>
  <c r="Q23" i="7"/>
  <c r="S23" i="7"/>
  <c r="T23" i="7"/>
  <c r="U23" i="7"/>
  <c r="W23" i="7"/>
  <c r="Z23" i="7"/>
  <c r="A24" i="7"/>
  <c r="B24" i="7"/>
  <c r="C24" i="7"/>
  <c r="D24" i="7"/>
  <c r="E24" i="7"/>
  <c r="F24" i="7"/>
  <c r="G24" i="7"/>
  <c r="H24" i="7"/>
  <c r="Y24" i="7"/>
  <c r="I24" i="7"/>
  <c r="L24" i="7"/>
  <c r="Q24" i="7"/>
  <c r="S24" i="7"/>
  <c r="T24" i="7"/>
  <c r="U24" i="7"/>
  <c r="W24" i="7"/>
  <c r="Z24" i="7"/>
  <c r="A25" i="7"/>
  <c r="B25" i="7"/>
  <c r="C25" i="7"/>
  <c r="D25" i="7"/>
  <c r="E25" i="7"/>
  <c r="F25" i="7"/>
  <c r="G25" i="7"/>
  <c r="H25" i="7"/>
  <c r="Y25" i="7"/>
  <c r="I25" i="7"/>
  <c r="L25" i="7"/>
  <c r="M25" i="7"/>
  <c r="Q25" i="7"/>
  <c r="S25" i="7"/>
  <c r="T25" i="7"/>
  <c r="U25" i="7"/>
  <c r="W25" i="7"/>
  <c r="Z25" i="7"/>
  <c r="A26" i="7"/>
  <c r="B26" i="7"/>
  <c r="C26" i="7"/>
  <c r="D26" i="7"/>
  <c r="E26" i="7"/>
  <c r="F26" i="7"/>
  <c r="G26" i="7"/>
  <c r="H26" i="7"/>
  <c r="Y26" i="7"/>
  <c r="I26" i="7"/>
  <c r="L26" i="7"/>
  <c r="Q26" i="7"/>
  <c r="S26" i="7"/>
  <c r="T26" i="7"/>
  <c r="U26" i="7"/>
  <c r="W26" i="7"/>
  <c r="Z26" i="7"/>
  <c r="A27" i="7"/>
  <c r="B27" i="7"/>
  <c r="C27" i="7"/>
  <c r="D27" i="7"/>
  <c r="E27" i="7"/>
  <c r="F27" i="7"/>
  <c r="G27" i="7"/>
  <c r="H27" i="7"/>
  <c r="Y27" i="7"/>
  <c r="I27" i="7"/>
  <c r="L27" i="7"/>
  <c r="N27" i="7"/>
  <c r="Q27" i="7"/>
  <c r="S27" i="7"/>
  <c r="T27" i="7"/>
  <c r="U27" i="7"/>
  <c r="W27" i="7"/>
  <c r="Z27" i="7"/>
  <c r="A28" i="7"/>
  <c r="B28" i="7"/>
  <c r="C28" i="7"/>
  <c r="D28" i="7"/>
  <c r="E28" i="7"/>
  <c r="F28" i="7"/>
  <c r="G28" i="7"/>
  <c r="H28" i="7"/>
  <c r="Y28" i="7"/>
  <c r="I28" i="7"/>
  <c r="L28" i="7"/>
  <c r="M28" i="7"/>
  <c r="Q28" i="7"/>
  <c r="S28" i="7"/>
  <c r="T28" i="7"/>
  <c r="U28" i="7"/>
  <c r="W28" i="7"/>
  <c r="Z28" i="7"/>
  <c r="A29" i="7"/>
  <c r="B29" i="7"/>
  <c r="C29" i="7"/>
  <c r="D29" i="7"/>
  <c r="E29" i="7"/>
  <c r="F29" i="7"/>
  <c r="G29" i="7"/>
  <c r="H29" i="7"/>
  <c r="Y29" i="7"/>
  <c r="I29" i="7"/>
  <c r="L29" i="7"/>
  <c r="Q29" i="7"/>
  <c r="S29" i="7"/>
  <c r="T29" i="7"/>
  <c r="U29" i="7"/>
  <c r="W29" i="7"/>
  <c r="Z29" i="7"/>
  <c r="A30" i="7"/>
  <c r="B30" i="7"/>
  <c r="C30" i="7"/>
  <c r="D30" i="7"/>
  <c r="E30" i="7"/>
  <c r="F30" i="7"/>
  <c r="G30" i="7"/>
  <c r="H30" i="7"/>
  <c r="Y30" i="7"/>
  <c r="I30" i="7"/>
  <c r="L30" i="7"/>
  <c r="M30" i="7"/>
  <c r="Q30" i="7"/>
  <c r="S30" i="7"/>
  <c r="T30" i="7"/>
  <c r="U30" i="7"/>
  <c r="W30" i="7"/>
  <c r="Z30" i="7"/>
  <c r="A31" i="7"/>
  <c r="B31" i="7"/>
  <c r="C31" i="7"/>
  <c r="D31" i="7"/>
  <c r="E31" i="7"/>
  <c r="F31" i="7"/>
  <c r="H31" i="7"/>
  <c r="Y31" i="7"/>
  <c r="I31" i="7"/>
  <c r="L31" i="7"/>
  <c r="N31" i="7"/>
  <c r="Q31" i="7"/>
  <c r="S31" i="7"/>
  <c r="T31" i="7"/>
  <c r="U31" i="7"/>
  <c r="W31" i="7"/>
  <c r="Z31" i="7"/>
  <c r="A32" i="7"/>
  <c r="B32" i="7"/>
  <c r="C32" i="7"/>
  <c r="D32" i="7"/>
  <c r="E32" i="7"/>
  <c r="Y32" i="7"/>
  <c r="I32" i="7"/>
  <c r="L32" i="7"/>
  <c r="M32" i="7"/>
  <c r="Q32" i="7"/>
  <c r="S32" i="7"/>
  <c r="T32" i="7"/>
  <c r="U32" i="7"/>
  <c r="W32" i="7"/>
  <c r="Z32" i="7"/>
  <c r="A33" i="7"/>
  <c r="B33" i="7"/>
  <c r="C33" i="7"/>
  <c r="D33" i="7"/>
  <c r="E33" i="7"/>
  <c r="F33" i="7"/>
  <c r="H33" i="7"/>
  <c r="Y33" i="7"/>
  <c r="I33" i="7"/>
  <c r="L33" i="7"/>
  <c r="M33" i="7"/>
  <c r="Q33" i="7"/>
  <c r="S33" i="7"/>
  <c r="T33" i="7"/>
  <c r="U33" i="7"/>
  <c r="W33" i="7"/>
  <c r="Z33" i="7"/>
  <c r="A34" i="7"/>
  <c r="B34" i="7"/>
  <c r="C34" i="7"/>
  <c r="D34" i="7"/>
  <c r="E34" i="7"/>
  <c r="F34" i="7"/>
  <c r="H34" i="7"/>
  <c r="Y34" i="7"/>
  <c r="I34" i="7"/>
  <c r="L34" i="7"/>
  <c r="M34" i="7"/>
  <c r="Q34" i="7"/>
  <c r="S34" i="7"/>
  <c r="T34" i="7"/>
  <c r="U34" i="7"/>
  <c r="W34" i="7"/>
  <c r="Z34" i="7"/>
  <c r="A35" i="7"/>
  <c r="B35" i="7"/>
  <c r="C35" i="7"/>
  <c r="D35" i="7"/>
  <c r="E35" i="7"/>
  <c r="F35" i="7"/>
  <c r="H35" i="7"/>
  <c r="Y35" i="7"/>
  <c r="I35" i="7"/>
  <c r="L35" i="7"/>
  <c r="Q35" i="7"/>
  <c r="S35" i="7"/>
  <c r="T35" i="7"/>
  <c r="U35" i="7"/>
  <c r="W35" i="7"/>
  <c r="Z35" i="7"/>
  <c r="A36" i="7"/>
  <c r="B36" i="7"/>
  <c r="C36" i="7"/>
  <c r="D36" i="7"/>
  <c r="E36" i="7"/>
  <c r="F36" i="7"/>
  <c r="H36" i="7"/>
  <c r="Y36" i="7"/>
  <c r="I36" i="7"/>
  <c r="L36" i="7"/>
  <c r="M36" i="7"/>
  <c r="Q36" i="7"/>
  <c r="S36" i="7"/>
  <c r="T36" i="7"/>
  <c r="U36" i="7"/>
  <c r="W36" i="7"/>
  <c r="Z36" i="7"/>
  <c r="A37" i="7"/>
  <c r="B37" i="7"/>
  <c r="C37" i="7"/>
  <c r="D37" i="7"/>
  <c r="E37" i="7"/>
  <c r="F37" i="7"/>
  <c r="H37" i="7"/>
  <c r="Y37" i="7"/>
  <c r="I37" i="7"/>
  <c r="L37" i="7"/>
  <c r="M37" i="7"/>
  <c r="Q37" i="7"/>
  <c r="S37" i="7"/>
  <c r="T37" i="7"/>
  <c r="U37" i="7"/>
  <c r="W37" i="7"/>
  <c r="Z37" i="7"/>
  <c r="A38" i="7"/>
  <c r="B38" i="7"/>
  <c r="C38" i="7"/>
  <c r="D38" i="7"/>
  <c r="E38" i="7"/>
  <c r="F38" i="7"/>
  <c r="H38" i="7"/>
  <c r="Y38" i="7"/>
  <c r="I38" i="7"/>
  <c r="L38" i="7"/>
  <c r="N38" i="7"/>
  <c r="Q38" i="7"/>
  <c r="S38" i="7"/>
  <c r="T38" i="7"/>
  <c r="U38" i="7"/>
  <c r="W38" i="7"/>
  <c r="Z38" i="7"/>
  <c r="A39" i="7"/>
  <c r="B39" i="7"/>
  <c r="C39" i="7"/>
  <c r="D39" i="7"/>
  <c r="E39" i="7"/>
  <c r="F39" i="7"/>
  <c r="H39" i="7"/>
  <c r="Y39" i="7"/>
  <c r="I39" i="7"/>
  <c r="L39" i="7"/>
  <c r="M39" i="7"/>
  <c r="Q39" i="7"/>
  <c r="S39" i="7"/>
  <c r="T39" i="7"/>
  <c r="U39" i="7"/>
  <c r="W39" i="7"/>
  <c r="Z39" i="7"/>
  <c r="A40" i="7"/>
  <c r="B40" i="7"/>
  <c r="C40" i="7"/>
  <c r="D40" i="7"/>
  <c r="E40" i="7"/>
  <c r="F40" i="7"/>
  <c r="H40" i="7"/>
  <c r="Y40" i="7"/>
  <c r="I40" i="7"/>
  <c r="L40" i="7"/>
  <c r="Q40" i="7"/>
  <c r="S40" i="7"/>
  <c r="T40" i="7"/>
  <c r="U40" i="7"/>
  <c r="W40" i="7"/>
  <c r="Z40" i="7"/>
  <c r="A41" i="7"/>
  <c r="B41" i="7"/>
  <c r="C41" i="7"/>
  <c r="D41" i="7"/>
  <c r="E41" i="7"/>
  <c r="F41" i="7"/>
  <c r="H41" i="7"/>
  <c r="Y41" i="7"/>
  <c r="I41" i="7"/>
  <c r="L41" i="7"/>
  <c r="M41" i="7"/>
  <c r="Q41" i="7"/>
  <c r="S41" i="7"/>
  <c r="T41" i="7"/>
  <c r="U41" i="7"/>
  <c r="W41" i="7"/>
  <c r="Z41" i="7"/>
  <c r="A42" i="7"/>
  <c r="B42" i="7"/>
  <c r="C42" i="7"/>
  <c r="D42" i="7"/>
  <c r="E42" i="7"/>
  <c r="F42" i="7"/>
  <c r="H42" i="7"/>
  <c r="Y42" i="7"/>
  <c r="I42" i="7"/>
  <c r="L42" i="7"/>
  <c r="Q42" i="7"/>
  <c r="S42" i="7"/>
  <c r="T42" i="7"/>
  <c r="U42" i="7"/>
  <c r="W42" i="7"/>
  <c r="Z42" i="7"/>
  <c r="A43" i="7"/>
  <c r="B43" i="7"/>
  <c r="C43" i="7"/>
  <c r="D43" i="7"/>
  <c r="E43" i="7"/>
  <c r="Y43" i="7"/>
  <c r="I43" i="7"/>
  <c r="L43" i="7"/>
  <c r="Q43" i="7"/>
  <c r="S43" i="7"/>
  <c r="T43" i="7"/>
  <c r="U43" i="7"/>
  <c r="W43" i="7"/>
  <c r="Z43" i="7"/>
  <c r="A44" i="7"/>
  <c r="B44" i="7"/>
  <c r="C44" i="7"/>
  <c r="D44" i="7"/>
  <c r="E44" i="7"/>
  <c r="F44" i="7"/>
  <c r="H44" i="7"/>
  <c r="Y44" i="7"/>
  <c r="I44" i="7"/>
  <c r="L44" i="7"/>
  <c r="M44" i="7"/>
  <c r="N44" i="7"/>
  <c r="Q44" i="7"/>
  <c r="S44" i="7"/>
  <c r="T44" i="7"/>
  <c r="U44" i="7"/>
  <c r="W44" i="7"/>
  <c r="Z44" i="7"/>
  <c r="A45" i="7"/>
  <c r="B45" i="7"/>
  <c r="C45" i="7"/>
  <c r="D45" i="7"/>
  <c r="E45" i="7"/>
  <c r="Y45" i="7"/>
  <c r="I45" i="7"/>
  <c r="L45" i="7"/>
  <c r="Q45" i="7"/>
  <c r="S45" i="7"/>
  <c r="T45" i="7"/>
  <c r="U45" i="7"/>
  <c r="W45" i="7"/>
  <c r="Z45" i="7"/>
  <c r="A46" i="7"/>
  <c r="B46" i="7"/>
  <c r="C46" i="7"/>
  <c r="D46" i="7"/>
  <c r="E46" i="7"/>
  <c r="Y46" i="7"/>
  <c r="I46" i="7"/>
  <c r="L46" i="7"/>
  <c r="Q46" i="7"/>
  <c r="S46" i="7"/>
  <c r="T46" i="7"/>
  <c r="U46" i="7"/>
  <c r="W46" i="7"/>
  <c r="Z46" i="7"/>
  <c r="A47" i="7"/>
  <c r="B47" i="7"/>
  <c r="C47" i="7"/>
  <c r="D47" i="7"/>
  <c r="E47" i="7"/>
  <c r="F47" i="7"/>
  <c r="H47" i="7"/>
  <c r="Y47" i="7"/>
  <c r="I47" i="7"/>
  <c r="L47" i="7"/>
  <c r="Q47" i="7"/>
  <c r="S47" i="7"/>
  <c r="T47" i="7"/>
  <c r="U47" i="7"/>
  <c r="W47" i="7"/>
  <c r="Z47" i="7"/>
  <c r="A48" i="7"/>
  <c r="B48" i="7"/>
  <c r="C48" i="7"/>
  <c r="D48" i="7"/>
  <c r="E48" i="7"/>
  <c r="F48" i="7"/>
  <c r="H48" i="7"/>
  <c r="Y48" i="7"/>
  <c r="I48" i="7"/>
  <c r="L48" i="7"/>
  <c r="M48" i="7"/>
  <c r="N48" i="7"/>
  <c r="Q48" i="7"/>
  <c r="S48" i="7"/>
  <c r="T48" i="7"/>
  <c r="U48" i="7"/>
  <c r="W48" i="7"/>
  <c r="Z48" i="7"/>
  <c r="A49" i="7"/>
  <c r="B49" i="7"/>
  <c r="C49" i="7"/>
  <c r="D49" i="7"/>
  <c r="E49" i="7"/>
  <c r="F49" i="7"/>
  <c r="H49" i="7"/>
  <c r="Y49" i="7"/>
  <c r="I49" i="7"/>
  <c r="L49" i="7"/>
  <c r="M49" i="7"/>
  <c r="Q49" i="7"/>
  <c r="S49" i="7"/>
  <c r="T49" i="7"/>
  <c r="U49" i="7"/>
  <c r="W49" i="7"/>
  <c r="Z49" i="7"/>
  <c r="A50" i="7"/>
  <c r="B50" i="7"/>
  <c r="C50" i="7"/>
  <c r="D50" i="7"/>
  <c r="E50" i="7"/>
  <c r="F50" i="7"/>
  <c r="H50" i="7"/>
  <c r="Y50" i="7"/>
  <c r="I50" i="7"/>
  <c r="L50" i="7"/>
  <c r="M50" i="7"/>
  <c r="Q50" i="7"/>
  <c r="S50" i="7"/>
  <c r="T50" i="7"/>
  <c r="U50" i="7"/>
  <c r="W50" i="7"/>
  <c r="Z50" i="7"/>
  <c r="A51" i="7"/>
  <c r="B51" i="7"/>
  <c r="C51" i="7"/>
  <c r="D51" i="7"/>
  <c r="E51" i="7"/>
  <c r="Y51" i="7"/>
  <c r="I51" i="7"/>
  <c r="L51" i="7"/>
  <c r="N51" i="7"/>
  <c r="Q51" i="7"/>
  <c r="S51" i="7"/>
  <c r="T51" i="7"/>
  <c r="U51" i="7"/>
  <c r="W51" i="7"/>
  <c r="Z51" i="7"/>
  <c r="A52" i="7"/>
  <c r="B52" i="7"/>
  <c r="C52" i="7"/>
  <c r="D52" i="7"/>
  <c r="E52" i="7"/>
  <c r="Y52" i="7"/>
  <c r="I52" i="7"/>
  <c r="L52" i="7"/>
  <c r="M52" i="7"/>
  <c r="Q52" i="7"/>
  <c r="S52" i="7"/>
  <c r="T52" i="7"/>
  <c r="U52" i="7"/>
  <c r="W52" i="7"/>
  <c r="Z52" i="7"/>
  <c r="A53" i="7"/>
  <c r="B53" i="7"/>
  <c r="C53" i="7"/>
  <c r="D53" i="7"/>
  <c r="E53" i="7"/>
  <c r="F53" i="7"/>
  <c r="H53" i="7"/>
  <c r="Y53" i="7"/>
  <c r="I53" i="7"/>
  <c r="L53" i="7"/>
  <c r="M53" i="7"/>
  <c r="Q53" i="7"/>
  <c r="S53" i="7"/>
  <c r="T53" i="7"/>
  <c r="U53" i="7"/>
  <c r="W53" i="7"/>
  <c r="Z53" i="7"/>
  <c r="A54" i="7"/>
  <c r="B54" i="7"/>
  <c r="C54" i="7"/>
  <c r="D54" i="7"/>
  <c r="E54" i="7"/>
  <c r="Y54" i="7"/>
  <c r="I54" i="7"/>
  <c r="L54" i="7"/>
  <c r="N54" i="7"/>
  <c r="Q54" i="7"/>
  <c r="S54" i="7"/>
  <c r="T54" i="7"/>
  <c r="U54" i="7"/>
  <c r="W54" i="7"/>
  <c r="Z54" i="7"/>
  <c r="A55" i="7"/>
  <c r="B55" i="7"/>
  <c r="C55" i="7"/>
  <c r="D55" i="7"/>
  <c r="E55" i="7"/>
  <c r="F55" i="7"/>
  <c r="Y55" i="7"/>
  <c r="I55" i="7"/>
  <c r="L55" i="7"/>
  <c r="M55" i="7"/>
  <c r="N55" i="7"/>
  <c r="Q55" i="7"/>
  <c r="S55" i="7"/>
  <c r="T55" i="7"/>
  <c r="U55" i="7"/>
  <c r="W55" i="7"/>
  <c r="Z55" i="7"/>
  <c r="A56" i="7"/>
  <c r="B56" i="7"/>
  <c r="C56" i="7"/>
  <c r="D56" i="7"/>
  <c r="E56" i="7"/>
  <c r="F56" i="7"/>
  <c r="H56" i="7"/>
  <c r="Y56" i="7"/>
  <c r="I56" i="7"/>
  <c r="L56" i="7"/>
  <c r="Q56" i="7"/>
  <c r="S56" i="7"/>
  <c r="T56" i="7"/>
  <c r="U56" i="7"/>
  <c r="W56" i="7"/>
  <c r="Z56" i="7"/>
  <c r="A57" i="7"/>
  <c r="B57" i="7"/>
  <c r="C57" i="7"/>
  <c r="D57" i="7"/>
  <c r="E57" i="7"/>
  <c r="F57" i="7"/>
  <c r="H57" i="7"/>
  <c r="Y57" i="7"/>
  <c r="I57" i="7"/>
  <c r="J57" i="7"/>
  <c r="L57" i="7"/>
  <c r="Q57" i="7"/>
  <c r="S57" i="7"/>
  <c r="T57" i="7"/>
  <c r="U57" i="7"/>
  <c r="W57" i="7"/>
  <c r="Z57" i="7"/>
  <c r="A58" i="7"/>
  <c r="B58" i="7"/>
  <c r="C58" i="7"/>
  <c r="D58" i="7"/>
  <c r="E58" i="7"/>
  <c r="Y58" i="7"/>
  <c r="I58" i="7"/>
  <c r="L58" i="7"/>
  <c r="Q58" i="7"/>
  <c r="S58" i="7"/>
  <c r="T58" i="7"/>
  <c r="U58" i="7"/>
  <c r="W58" i="7"/>
  <c r="Z58" i="7"/>
  <c r="A59" i="7"/>
  <c r="B59" i="7"/>
  <c r="C59" i="7"/>
  <c r="D59" i="7"/>
  <c r="E59" i="7"/>
  <c r="Y59" i="7"/>
  <c r="I59" i="7"/>
  <c r="L59" i="7"/>
  <c r="M59" i="7"/>
  <c r="Q59" i="7"/>
  <c r="S59" i="7"/>
  <c r="T59" i="7"/>
  <c r="U59" i="7"/>
  <c r="W59" i="7"/>
  <c r="Z59" i="7"/>
  <c r="A60" i="7"/>
  <c r="B60" i="7"/>
  <c r="C60" i="7"/>
  <c r="D60" i="7"/>
  <c r="E60" i="7"/>
  <c r="Y60" i="7"/>
  <c r="I60" i="7"/>
  <c r="L60" i="7"/>
  <c r="Q60" i="7"/>
  <c r="S60" i="7"/>
  <c r="T60" i="7"/>
  <c r="U60" i="7"/>
  <c r="W60" i="7"/>
  <c r="Z60" i="7"/>
  <c r="A61" i="7"/>
  <c r="B61" i="7"/>
  <c r="C61" i="7"/>
  <c r="D61" i="7"/>
  <c r="E61" i="7"/>
  <c r="Y61" i="7"/>
  <c r="I61" i="7"/>
  <c r="L61" i="7"/>
  <c r="M61" i="7"/>
  <c r="Q61" i="7"/>
  <c r="S61" i="7"/>
  <c r="T61" i="7"/>
  <c r="U61" i="7"/>
  <c r="W61" i="7"/>
  <c r="Z61" i="7"/>
  <c r="A62" i="7"/>
  <c r="B62" i="7"/>
  <c r="C62" i="7"/>
  <c r="D62" i="7"/>
  <c r="E62" i="7"/>
  <c r="Y62" i="7"/>
  <c r="I62" i="7"/>
  <c r="L62" i="7"/>
  <c r="Q62" i="7"/>
  <c r="S62" i="7"/>
  <c r="T62" i="7"/>
  <c r="U62" i="7"/>
  <c r="W62" i="7"/>
  <c r="Z62" i="7"/>
  <c r="A63" i="7"/>
  <c r="B63" i="7"/>
  <c r="C63" i="7"/>
  <c r="D63" i="7"/>
  <c r="E63" i="7"/>
  <c r="Y63" i="7"/>
  <c r="I63" i="7"/>
  <c r="J63" i="7"/>
  <c r="L63" i="7"/>
  <c r="M63" i="7"/>
  <c r="Q63" i="7"/>
  <c r="S63" i="7"/>
  <c r="T63" i="7"/>
  <c r="U63" i="7"/>
  <c r="W63" i="7"/>
  <c r="Z63" i="7"/>
  <c r="A64" i="7"/>
  <c r="B64" i="7"/>
  <c r="C64" i="7"/>
  <c r="D64" i="7"/>
  <c r="E64" i="7"/>
  <c r="Y64" i="7"/>
  <c r="I64" i="7"/>
  <c r="L64" i="7"/>
  <c r="Q64" i="7"/>
  <c r="S64" i="7"/>
  <c r="T64" i="7"/>
  <c r="U64" i="7"/>
  <c r="W64" i="7"/>
  <c r="Z64" i="7"/>
  <c r="A65" i="7"/>
  <c r="B65" i="7"/>
  <c r="C65" i="7"/>
  <c r="D65" i="7"/>
  <c r="E65" i="7"/>
  <c r="Y65" i="7"/>
  <c r="I65" i="7"/>
  <c r="L65" i="7"/>
  <c r="Q65" i="7"/>
  <c r="S65" i="7"/>
  <c r="T65" i="7"/>
  <c r="U65" i="7"/>
  <c r="W65" i="7"/>
  <c r="Z65" i="7"/>
  <c r="A66" i="7"/>
  <c r="B66" i="7"/>
  <c r="C66" i="7"/>
  <c r="D66" i="7"/>
  <c r="E66" i="7"/>
  <c r="Y66" i="7"/>
  <c r="I66" i="7"/>
  <c r="L66" i="7"/>
  <c r="Q66" i="7"/>
  <c r="S66" i="7"/>
  <c r="T66" i="7"/>
  <c r="U66" i="7"/>
  <c r="W66" i="7"/>
  <c r="Z66" i="7"/>
  <c r="A67" i="7"/>
  <c r="B67" i="7"/>
  <c r="C67" i="7"/>
  <c r="D67" i="7"/>
  <c r="E67" i="7"/>
  <c r="Y67" i="7"/>
  <c r="I67" i="7"/>
  <c r="L67" i="7"/>
  <c r="Q67" i="7"/>
  <c r="S67" i="7"/>
  <c r="T67" i="7"/>
  <c r="U67" i="7"/>
  <c r="W67" i="7"/>
  <c r="Z67" i="7"/>
  <c r="A68" i="7"/>
  <c r="B68" i="7"/>
  <c r="C68" i="7"/>
  <c r="D68" i="7"/>
  <c r="E68" i="7"/>
  <c r="Y68" i="7"/>
  <c r="I68" i="7"/>
  <c r="L68" i="7"/>
  <c r="Q68" i="7"/>
  <c r="S68" i="7"/>
  <c r="T68" i="7"/>
  <c r="U68" i="7"/>
  <c r="W68" i="7"/>
  <c r="Z68" i="7"/>
  <c r="A69" i="7"/>
  <c r="B69" i="7"/>
  <c r="C69" i="7"/>
  <c r="D69" i="7"/>
  <c r="E69" i="7"/>
  <c r="F69" i="7"/>
  <c r="H69" i="7"/>
  <c r="Y69" i="7"/>
  <c r="I69" i="7"/>
  <c r="L69" i="7"/>
  <c r="Q69" i="7"/>
  <c r="S69" i="7"/>
  <c r="T69" i="7"/>
  <c r="U69" i="7"/>
  <c r="W69" i="7"/>
  <c r="Z69" i="7"/>
  <c r="A70" i="7"/>
  <c r="B70" i="7"/>
  <c r="C70" i="7"/>
  <c r="D70" i="7"/>
  <c r="E70" i="7"/>
  <c r="Y70" i="7"/>
  <c r="I70" i="7"/>
  <c r="L70" i="7"/>
  <c r="Q70" i="7"/>
  <c r="S70" i="7"/>
  <c r="T70" i="7"/>
  <c r="U70" i="7"/>
  <c r="W70" i="7"/>
  <c r="Z70" i="7"/>
  <c r="A71" i="7"/>
  <c r="B71" i="7"/>
  <c r="C71" i="7"/>
  <c r="D71" i="7"/>
  <c r="E71" i="7"/>
  <c r="Y71" i="7"/>
  <c r="I71" i="7"/>
  <c r="L71" i="7"/>
  <c r="Q71" i="7"/>
  <c r="S71" i="7"/>
  <c r="T71" i="7"/>
  <c r="U71" i="7"/>
  <c r="W71" i="7"/>
  <c r="Z71" i="7"/>
  <c r="A72" i="7"/>
  <c r="B72" i="7"/>
  <c r="C72" i="7"/>
  <c r="D72" i="7"/>
  <c r="E72" i="7"/>
  <c r="Y72" i="7"/>
  <c r="I72" i="7"/>
  <c r="J72" i="7"/>
  <c r="L72" i="7"/>
  <c r="M72" i="7"/>
  <c r="Q72" i="7"/>
  <c r="S72" i="7"/>
  <c r="T72" i="7"/>
  <c r="U72" i="7"/>
  <c r="W72" i="7"/>
  <c r="Z72" i="7"/>
  <c r="A73" i="7"/>
  <c r="B73" i="7"/>
  <c r="C73" i="7"/>
  <c r="D73" i="7"/>
  <c r="E73" i="7"/>
  <c r="F73" i="7"/>
  <c r="H73" i="7"/>
  <c r="Y73" i="7"/>
  <c r="I73" i="7"/>
  <c r="J73" i="7"/>
  <c r="L73" i="7"/>
  <c r="M73" i="7"/>
  <c r="Q73" i="7"/>
  <c r="S73" i="7"/>
  <c r="T73" i="7"/>
  <c r="U73" i="7"/>
  <c r="W73" i="7"/>
  <c r="Z73" i="7"/>
  <c r="E76" i="7"/>
  <c r="E77" i="7"/>
  <c r="E78" i="7"/>
  <c r="E79" i="7"/>
  <c r="C4" i="4" l="1"/>
  <c r="E5" i="4" s="1"/>
  <c r="H2" i="3"/>
  <c r="K2" i="3"/>
  <c r="N2" i="3"/>
  <c r="H3" i="3"/>
  <c r="I3" i="3"/>
  <c r="J3" i="3"/>
  <c r="K3" i="3"/>
  <c r="L3" i="3"/>
  <c r="M3" i="3"/>
  <c r="N3" i="3"/>
  <c r="O3" i="3"/>
  <c r="P3" i="3"/>
  <c r="C4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4" i="4"/>
  <c r="H7" i="4"/>
  <c r="H10" i="4"/>
  <c r="I15" i="4"/>
  <c r="H18" i="4"/>
  <c r="I23" i="4"/>
  <c r="H26" i="4"/>
  <c r="I31" i="4"/>
  <c r="H34" i="4"/>
  <c r="I39" i="4"/>
  <c r="H42" i="4"/>
  <c r="I47" i="4"/>
  <c r="H50" i="4"/>
  <c r="H58" i="4"/>
  <c r="H66" i="4"/>
  <c r="H54" i="4"/>
  <c r="H17" i="4"/>
  <c r="I38" i="4"/>
  <c r="H57" i="4"/>
  <c r="I25" i="4"/>
  <c r="H44" i="4"/>
  <c r="I65" i="4"/>
  <c r="J4" i="4"/>
  <c r="I10" i="4"/>
  <c r="H13" i="4"/>
  <c r="I18" i="4"/>
  <c r="H21" i="4"/>
  <c r="I26" i="4"/>
  <c r="H29" i="4"/>
  <c r="I34" i="4"/>
  <c r="H37" i="4"/>
  <c r="I42" i="4"/>
  <c r="H45" i="4"/>
  <c r="I50" i="4"/>
  <c r="H53" i="4"/>
  <c r="I58" i="4"/>
  <c r="H61" i="4"/>
  <c r="I66" i="4"/>
  <c r="F4" i="4"/>
  <c r="H8" i="4"/>
  <c r="I13" i="4"/>
  <c r="H16" i="4"/>
  <c r="I21" i="4"/>
  <c r="H24" i="4"/>
  <c r="I29" i="4"/>
  <c r="H32" i="4"/>
  <c r="I37" i="4"/>
  <c r="H40" i="4"/>
  <c r="I45" i="4"/>
  <c r="H48" i="4"/>
  <c r="I53" i="4"/>
  <c r="H56" i="4"/>
  <c r="I61" i="4"/>
  <c r="H64" i="4"/>
  <c r="B15" i="3"/>
  <c r="H14" i="4"/>
  <c r="I19" i="4"/>
  <c r="I27" i="4"/>
  <c r="H30" i="4"/>
  <c r="I43" i="4"/>
  <c r="H46" i="4"/>
  <c r="H62" i="4"/>
  <c r="H9" i="4"/>
  <c r="I22" i="4"/>
  <c r="I30" i="4"/>
  <c r="H41" i="4"/>
  <c r="I54" i="4"/>
  <c r="I62" i="4"/>
  <c r="I9" i="4"/>
  <c r="I17" i="4"/>
  <c r="H28" i="4"/>
  <c r="H36" i="4"/>
  <c r="H52" i="4"/>
  <c r="H60" i="4"/>
  <c r="I8" i="4"/>
  <c r="H11" i="4"/>
  <c r="I16" i="4"/>
  <c r="H19" i="4"/>
  <c r="I24" i="4"/>
  <c r="H27" i="4"/>
  <c r="I32" i="4"/>
  <c r="H35" i="4"/>
  <c r="I40" i="4"/>
  <c r="H43" i="4"/>
  <c r="I48" i="4"/>
  <c r="H51" i="4"/>
  <c r="I56" i="4"/>
  <c r="H59" i="4"/>
  <c r="I64" i="4"/>
  <c r="H67" i="4"/>
  <c r="G4" i="3"/>
  <c r="H5" i="4"/>
  <c r="I11" i="4"/>
  <c r="H22" i="4"/>
  <c r="I35" i="4"/>
  <c r="I51" i="4"/>
  <c r="I67" i="4"/>
  <c r="H25" i="4"/>
  <c r="I46" i="4"/>
  <c r="H6" i="4"/>
  <c r="H20" i="4"/>
  <c r="I41" i="4"/>
  <c r="I57" i="4"/>
  <c r="I49" i="4"/>
  <c r="I33" i="4"/>
  <c r="H12" i="4"/>
  <c r="H65" i="4"/>
  <c r="H49" i="4"/>
  <c r="H33" i="4"/>
  <c r="I14" i="4"/>
  <c r="I59" i="4"/>
  <c r="H38" i="4"/>
  <c r="I63" i="4"/>
  <c r="I55" i="4"/>
  <c r="H63" i="4"/>
  <c r="I60" i="4"/>
  <c r="H55" i="4"/>
  <c r="I52" i="4"/>
  <c r="H47" i="4"/>
  <c r="I44" i="4"/>
  <c r="H39" i="4"/>
  <c r="I36" i="4"/>
  <c r="H31" i="4"/>
  <c r="I28" i="4"/>
  <c r="H23" i="4"/>
  <c r="I20" i="4"/>
  <c r="H15" i="4"/>
  <c r="I12" i="4"/>
  <c r="X73" i="7"/>
  <c r="X72" i="7"/>
  <c r="X71" i="7"/>
  <c r="X70" i="7"/>
  <c r="X69" i="7"/>
  <c r="X68" i="7"/>
  <c r="X67" i="7"/>
  <c r="X66" i="7"/>
  <c r="X65" i="7"/>
  <c r="X64" i="7"/>
  <c r="X63" i="7"/>
  <c r="X62" i="7"/>
  <c r="X61" i="7"/>
  <c r="X60" i="7"/>
  <c r="X59" i="7"/>
  <c r="X58" i="7"/>
  <c r="X57" i="7"/>
  <c r="X56" i="7"/>
  <c r="X55" i="7"/>
  <c r="X54" i="7"/>
  <c r="X53" i="7"/>
  <c r="X52" i="7"/>
  <c r="X51" i="7"/>
  <c r="X50" i="7"/>
  <c r="X49" i="7"/>
  <c r="X48" i="7"/>
  <c r="X47" i="7"/>
  <c r="X46" i="7"/>
  <c r="X45" i="7"/>
  <c r="X44" i="7"/>
  <c r="X43" i="7"/>
  <c r="X42" i="7"/>
  <c r="X41" i="7"/>
  <c r="X40" i="7"/>
  <c r="X39" i="7"/>
  <c r="X38" i="7"/>
  <c r="X37" i="7"/>
  <c r="X36" i="7"/>
  <c r="X35" i="7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X16" i="7"/>
  <c r="X15" i="7"/>
  <c r="X14" i="7"/>
  <c r="X13" i="7"/>
  <c r="X12" i="7"/>
  <c r="X11" i="7"/>
  <c r="X10" i="7"/>
  <c r="X9" i="7"/>
  <c r="X8" i="7"/>
  <c r="X7" i="7"/>
  <c r="X6" i="7"/>
  <c r="X5" i="7"/>
  <c r="X4" i="7"/>
  <c r="X3" i="7"/>
  <c r="K3" i="7" l="1"/>
  <c r="K4" i="7"/>
  <c r="K5" i="7"/>
  <c r="K6" i="7"/>
  <c r="K7" i="7"/>
  <c r="K8" i="7"/>
  <c r="K9" i="7"/>
  <c r="K10" i="7"/>
  <c r="O10" i="7" s="1"/>
  <c r="K11" i="7"/>
  <c r="K12" i="7"/>
  <c r="K13" i="7"/>
  <c r="K14" i="7"/>
  <c r="K15" i="7"/>
  <c r="K16" i="7"/>
  <c r="K17" i="7"/>
  <c r="K18" i="7"/>
  <c r="O18" i="7" s="1"/>
  <c r="K19" i="7"/>
  <c r="K20" i="7"/>
  <c r="K21" i="7"/>
  <c r="K22" i="7"/>
  <c r="K23" i="7"/>
  <c r="K24" i="7"/>
  <c r="K25" i="7"/>
  <c r="K26" i="7"/>
  <c r="O26" i="7" s="1"/>
  <c r="K27" i="7"/>
  <c r="K28" i="7"/>
  <c r="K29" i="7"/>
  <c r="K30" i="7"/>
  <c r="K31" i="7"/>
  <c r="K32" i="7"/>
  <c r="K33" i="7"/>
  <c r="K34" i="7"/>
  <c r="O34" i="7" s="1"/>
  <c r="K35" i="7"/>
  <c r="K36" i="7"/>
  <c r="K37" i="7"/>
  <c r="K38" i="7"/>
  <c r="K39" i="7"/>
  <c r="K40" i="7"/>
  <c r="K41" i="7"/>
  <c r="K42" i="7"/>
  <c r="O42" i="7" s="1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O66" i="7" s="1"/>
  <c r="K67" i="7"/>
  <c r="K68" i="7"/>
  <c r="K69" i="7"/>
  <c r="K70" i="7"/>
  <c r="K71" i="7"/>
  <c r="K72" i="7"/>
  <c r="K73" i="7"/>
  <c r="E65" i="4"/>
  <c r="E64" i="4"/>
  <c r="E63" i="4"/>
  <c r="E47" i="4"/>
  <c r="E40" i="4"/>
  <c r="E39" i="4"/>
  <c r="E33" i="4"/>
  <c r="E19" i="4"/>
  <c r="E49" i="4"/>
  <c r="E48" i="4"/>
  <c r="E59" i="4"/>
  <c r="E24" i="4"/>
  <c r="E50" i="4"/>
  <c r="E23" i="4"/>
  <c r="E12" i="4"/>
  <c r="E58" i="4"/>
  <c r="E35" i="4"/>
  <c r="E51" i="4"/>
  <c r="E34" i="4"/>
  <c r="E57" i="4"/>
  <c r="E43" i="4"/>
  <c r="E32" i="4"/>
  <c r="E67" i="4"/>
  <c r="E56" i="4"/>
  <c r="E42" i="4"/>
  <c r="E31" i="4"/>
  <c r="E66" i="4"/>
  <c r="E55" i="4"/>
  <c r="E41" i="4"/>
  <c r="E26" i="4"/>
  <c r="E62" i="4"/>
  <c r="E54" i="4"/>
  <c r="E46" i="4"/>
  <c r="E38" i="4"/>
  <c r="E29" i="4"/>
  <c r="E16" i="4"/>
  <c r="E18" i="4"/>
  <c r="E61" i="4"/>
  <c r="E53" i="4"/>
  <c r="E45" i="4"/>
  <c r="E37" i="4"/>
  <c r="E28" i="4"/>
  <c r="E15" i="4"/>
  <c r="E60" i="4"/>
  <c r="E52" i="4"/>
  <c r="E44" i="4"/>
  <c r="E36" i="4"/>
  <c r="E27" i="4"/>
  <c r="E14" i="4"/>
  <c r="E22" i="4"/>
  <c r="E11" i="4"/>
  <c r="E30" i="4"/>
  <c r="E20" i="4"/>
  <c r="E9" i="4"/>
  <c r="E21" i="4"/>
  <c r="E13" i="4"/>
  <c r="E25" i="4"/>
  <c r="E17" i="4"/>
  <c r="E8" i="4"/>
  <c r="E7" i="4"/>
  <c r="E10" i="4"/>
  <c r="E6" i="4"/>
  <c r="B14" i="27"/>
  <c r="AC1" i="27"/>
  <c r="AU1" i="27"/>
  <c r="B5" i="27"/>
  <c r="B30" i="27"/>
  <c r="B25" i="27"/>
  <c r="B23" i="27"/>
  <c r="B22" i="27"/>
  <c r="B24" i="27"/>
  <c r="B6" i="27"/>
  <c r="B26" i="27"/>
  <c r="B7" i="27"/>
  <c r="B27" i="27"/>
  <c r="H4" i="3"/>
  <c r="E5" i="27"/>
  <c r="W5" i="27"/>
  <c r="D25" i="27"/>
  <c r="E6" i="27"/>
  <c r="W6" i="27"/>
  <c r="E7" i="27"/>
  <c r="W7" i="27"/>
  <c r="J26" i="27"/>
  <c r="F5" i="27"/>
  <c r="X5" i="27"/>
  <c r="F6" i="27"/>
  <c r="X6" i="27"/>
  <c r="F7" i="27"/>
  <c r="X7" i="27"/>
  <c r="I6" i="27"/>
  <c r="U6" i="27"/>
  <c r="I7" i="27"/>
  <c r="U7" i="27"/>
  <c r="X1" i="27"/>
  <c r="G5" i="27"/>
  <c r="D23" i="27"/>
  <c r="D24" i="27"/>
  <c r="G6" i="27"/>
  <c r="D26" i="27"/>
  <c r="G7" i="27"/>
  <c r="Y1" i="27"/>
  <c r="I5" i="27"/>
  <c r="U5" i="27"/>
  <c r="J23" i="27"/>
  <c r="J25" i="27"/>
  <c r="D22" i="27"/>
  <c r="J5" i="27"/>
  <c r="J6" i="27"/>
  <c r="J7" i="27"/>
  <c r="K5" i="27"/>
  <c r="D30" i="27"/>
  <c r="J22" i="27"/>
  <c r="K6" i="27"/>
  <c r="J24" i="27"/>
  <c r="K7" i="27"/>
  <c r="D27" i="27"/>
  <c r="D5" i="27"/>
  <c r="V5" i="27"/>
  <c r="D6" i="27"/>
  <c r="V6" i="27"/>
  <c r="D7" i="27"/>
  <c r="V7" i="27"/>
  <c r="O70" i="7" l="1"/>
  <c r="O62" i="7"/>
  <c r="O46" i="7"/>
  <c r="O38" i="7"/>
  <c r="O30" i="7"/>
  <c r="O22" i="7"/>
  <c r="O14" i="7"/>
  <c r="O6" i="7"/>
  <c r="O54" i="7"/>
  <c r="O72" i="7"/>
  <c r="O64" i="7"/>
  <c r="O56" i="7"/>
  <c r="O32" i="7"/>
  <c r="O24" i="7"/>
  <c r="O16" i="7"/>
  <c r="O8" i="7"/>
  <c r="O71" i="7"/>
  <c r="O55" i="7"/>
  <c r="O47" i="7"/>
  <c r="O69" i="7"/>
  <c r="O61" i="7"/>
  <c r="O45" i="7"/>
  <c r="O13" i="7"/>
  <c r="O5" i="7"/>
  <c r="O63" i="7"/>
  <c r="O39" i="7"/>
  <c r="O31" i="7"/>
  <c r="O23" i="7"/>
  <c r="O15" i="7"/>
  <c r="O7" i="7"/>
  <c r="O67" i="7"/>
  <c r="O59" i="7"/>
  <c r="O51" i="7"/>
  <c r="O43" i="7"/>
  <c r="O35" i="7"/>
  <c r="P48" i="7"/>
  <c r="O48" i="7"/>
  <c r="O40" i="7"/>
  <c r="K77" i="7"/>
  <c r="O58" i="7"/>
  <c r="O50" i="7"/>
  <c r="P50" i="7"/>
  <c r="O73" i="7"/>
  <c r="O65" i="7"/>
  <c r="O57" i="7"/>
  <c r="O49" i="7"/>
  <c r="K78" i="7"/>
  <c r="O41" i="7"/>
  <c r="O33" i="7"/>
  <c r="O25" i="7"/>
  <c r="P25" i="7"/>
  <c r="O17" i="7"/>
  <c r="O9" i="7"/>
  <c r="O29" i="7"/>
  <c r="K76" i="7"/>
  <c r="O53" i="7"/>
  <c r="P53" i="7"/>
  <c r="O37" i="7"/>
  <c r="O21" i="7"/>
  <c r="O68" i="7"/>
  <c r="O60" i="7"/>
  <c r="O52" i="7"/>
  <c r="P52" i="7"/>
  <c r="P44" i="7"/>
  <c r="O44" i="7"/>
  <c r="O36" i="7"/>
  <c r="O28" i="7"/>
  <c r="P28" i="7"/>
  <c r="O20" i="7"/>
  <c r="O12" i="7"/>
  <c r="O4" i="7"/>
  <c r="O27" i="7"/>
  <c r="O19" i="7"/>
  <c r="O11" i="7"/>
  <c r="O7" i="27"/>
  <c r="Q7" i="27" s="1"/>
  <c r="R7" i="27" s="1"/>
  <c r="O6" i="27"/>
  <c r="O5" i="27"/>
  <c r="H7" i="27"/>
  <c r="H6" i="27"/>
  <c r="H5" i="27"/>
  <c r="Z7" i="27"/>
  <c r="Z6" i="27"/>
  <c r="Y6" i="27"/>
  <c r="Z5" i="27"/>
  <c r="Y5" i="27"/>
  <c r="Y7" i="27"/>
  <c r="B8" i="27"/>
  <c r="B28" i="27"/>
  <c r="B29" i="27"/>
  <c r="B9" i="27"/>
  <c r="B31" i="27"/>
  <c r="B10" i="27"/>
  <c r="B35" i="27"/>
  <c r="B32" i="27"/>
  <c r="B33" i="27"/>
  <c r="B11" i="27"/>
  <c r="B34" i="27"/>
  <c r="B12" i="27"/>
  <c r="B37" i="27"/>
  <c r="B36" i="27"/>
  <c r="B13" i="27"/>
  <c r="B38" i="27"/>
  <c r="B39" i="27"/>
  <c r="F8" i="27"/>
  <c r="X8" i="27"/>
  <c r="D9" i="27"/>
  <c r="V9" i="27"/>
  <c r="D10" i="27"/>
  <c r="V10" i="27"/>
  <c r="J32" i="27"/>
  <c r="I11" i="27"/>
  <c r="U11" i="27"/>
  <c r="J34" i="27"/>
  <c r="I12" i="27"/>
  <c r="U12" i="27"/>
  <c r="E13" i="27"/>
  <c r="W13" i="27"/>
  <c r="J37" i="27"/>
  <c r="D14" i="27"/>
  <c r="V14" i="27"/>
  <c r="E10" i="27"/>
  <c r="F13" i="27"/>
  <c r="E14" i="27"/>
  <c r="D29" i="27"/>
  <c r="G9" i="27"/>
  <c r="D31" i="27"/>
  <c r="K11" i="27"/>
  <c r="D34" i="27"/>
  <c r="D37" i="27"/>
  <c r="I13" i="27"/>
  <c r="G14" i="27"/>
  <c r="D13" i="27"/>
  <c r="G8" i="27"/>
  <c r="E9" i="27"/>
  <c r="W9" i="27"/>
  <c r="W10" i="27"/>
  <c r="D32" i="27"/>
  <c r="X13" i="27"/>
  <c r="W14" i="27"/>
  <c r="J31" i="27"/>
  <c r="K12" i="27"/>
  <c r="U13" i="27"/>
  <c r="J39" i="27"/>
  <c r="I8" i="27"/>
  <c r="U8" i="27"/>
  <c r="F9" i="27"/>
  <c r="X9" i="27"/>
  <c r="F10" i="27"/>
  <c r="X10" i="27"/>
  <c r="J11" i="27"/>
  <c r="J12" i="27"/>
  <c r="G13" i="27"/>
  <c r="F14" i="27"/>
  <c r="X14" i="27"/>
  <c r="G10" i="27"/>
  <c r="J36" i="27"/>
  <c r="K14" i="27"/>
  <c r="J8" i="27"/>
  <c r="J28" i="27"/>
  <c r="I9" i="27"/>
  <c r="U9" i="27"/>
  <c r="J30" i="27"/>
  <c r="I10" i="27"/>
  <c r="U10" i="27"/>
  <c r="D11" i="27"/>
  <c r="V11" i="27"/>
  <c r="D12" i="27"/>
  <c r="V12" i="27"/>
  <c r="D39" i="27"/>
  <c r="I14" i="27"/>
  <c r="U14" i="27"/>
  <c r="K8" i="27"/>
  <c r="D28" i="27"/>
  <c r="E11" i="27"/>
  <c r="W11" i="27"/>
  <c r="J33" i="27"/>
  <c r="E12" i="27"/>
  <c r="W12" i="27"/>
  <c r="D36" i="27"/>
  <c r="J13" i="27"/>
  <c r="J38" i="27"/>
  <c r="D8" i="27"/>
  <c r="V8" i="27"/>
  <c r="J9" i="27"/>
  <c r="J10" i="27"/>
  <c r="F11" i="27"/>
  <c r="X11" i="27"/>
  <c r="F12" i="27"/>
  <c r="X12" i="27"/>
  <c r="K13" i="27"/>
  <c r="D38" i="27"/>
  <c r="J14" i="27"/>
  <c r="E8" i="27"/>
  <c r="W8" i="27"/>
  <c r="J27" i="27"/>
  <c r="K9" i="27"/>
  <c r="J29" i="27"/>
  <c r="K10" i="27"/>
  <c r="D35" i="27"/>
  <c r="D33" i="27"/>
  <c r="G11" i="27"/>
  <c r="G12" i="27"/>
  <c r="J35" i="27"/>
  <c r="V13" i="27"/>
  <c r="P7" i="27" l="1"/>
  <c r="S7" i="27" s="1"/>
  <c r="T7" i="27" s="1"/>
  <c r="M7" i="27" s="1"/>
  <c r="N7" i="27" s="1"/>
  <c r="L7" i="27"/>
  <c r="H12" i="27"/>
  <c r="H11" i="27"/>
  <c r="L11" i="27" s="1"/>
  <c r="Y12" i="27"/>
  <c r="Z12" i="27"/>
  <c r="Y11" i="27"/>
  <c r="Z11" i="27"/>
  <c r="O8" i="27"/>
  <c r="O12" i="27"/>
  <c r="O11" i="27"/>
  <c r="H10" i="27"/>
  <c r="Z14" i="27"/>
  <c r="H13" i="27"/>
  <c r="Z10" i="27"/>
  <c r="Y10" i="27"/>
  <c r="Z9" i="27"/>
  <c r="Y9" i="27"/>
  <c r="H8" i="27"/>
  <c r="O13" i="27"/>
  <c r="H14" i="27"/>
  <c r="L14" i="27" s="1"/>
  <c r="H9" i="27"/>
  <c r="L9" i="27" s="1"/>
  <c r="Z13" i="27"/>
  <c r="Y13" i="27"/>
  <c r="O14" i="27"/>
  <c r="P14" i="27" s="1"/>
  <c r="S14" i="27" s="1"/>
  <c r="T14" i="27" s="1"/>
  <c r="O10" i="27"/>
  <c r="O9" i="27"/>
  <c r="Z8" i="27"/>
  <c r="Y8" i="27"/>
  <c r="L5" i="27"/>
  <c r="L6" i="27"/>
  <c r="Q5" i="27"/>
  <c r="R5" i="27" s="1"/>
  <c r="P5" i="27"/>
  <c r="S5" i="27" s="1"/>
  <c r="T5" i="27" s="1"/>
  <c r="Q6" i="27"/>
  <c r="R6" i="27" s="1"/>
  <c r="P6" i="27"/>
  <c r="S6" i="27" s="1"/>
  <c r="T6" i="27" s="1"/>
  <c r="Y14" i="27"/>
  <c r="AD18" i="27"/>
  <c r="AD19" i="27"/>
  <c r="AD20" i="27"/>
  <c r="AD21" i="27"/>
  <c r="F22" i="27"/>
  <c r="G22" i="27"/>
  <c r="I22" i="27"/>
  <c r="Q14" i="27" l="1"/>
  <c r="R14" i="27" s="1"/>
  <c r="M14" i="27" s="1"/>
  <c r="N14" i="27" s="1"/>
  <c r="Q10" i="27"/>
  <c r="R10" i="27" s="1"/>
  <c r="P10" i="27"/>
  <c r="S10" i="27" s="1"/>
  <c r="T10" i="27" s="1"/>
  <c r="Q12" i="27"/>
  <c r="R12" i="27" s="1"/>
  <c r="P12" i="27"/>
  <c r="S12" i="27" s="1"/>
  <c r="T12" i="27" s="1"/>
  <c r="M5" i="27"/>
  <c r="N5" i="27" s="1"/>
  <c r="Q8" i="27"/>
  <c r="R8" i="27" s="1"/>
  <c r="P8" i="27"/>
  <c r="S8" i="27" s="1"/>
  <c r="T8" i="27" s="1"/>
  <c r="L13" i="27"/>
  <c r="Q13" i="27"/>
  <c r="R13" i="27" s="1"/>
  <c r="P13" i="27"/>
  <c r="S13" i="27" s="1"/>
  <c r="T13" i="27" s="1"/>
  <c r="L10" i="27"/>
  <c r="M6" i="27"/>
  <c r="N6" i="27" s="1"/>
  <c r="Q9" i="27"/>
  <c r="R9" i="27" s="1"/>
  <c r="P9" i="27"/>
  <c r="S9" i="27" s="1"/>
  <c r="T9" i="27" s="1"/>
  <c r="L8" i="27"/>
  <c r="Q11" i="27"/>
  <c r="R11" i="27" s="1"/>
  <c r="P11" i="27"/>
  <c r="S11" i="27" s="1"/>
  <c r="T11" i="27" s="1"/>
  <c r="L12" i="27"/>
  <c r="H22" i="27"/>
  <c r="AD22" i="27"/>
  <c r="AB23" i="27"/>
  <c r="AD23" i="27"/>
  <c r="AB24" i="27"/>
  <c r="AD24" i="27"/>
  <c r="AC24" i="27" s="1"/>
  <c r="AB25" i="27"/>
  <c r="AD25" i="27"/>
  <c r="AB26" i="27"/>
  <c r="AD26" i="27"/>
  <c r="AC26" i="27" s="1"/>
  <c r="AB27" i="27"/>
  <c r="AD27" i="27"/>
  <c r="AW30" i="27"/>
  <c r="AX30" i="27"/>
  <c r="AY30" i="27"/>
  <c r="AZ30" i="27"/>
  <c r="BA30" i="27"/>
  <c r="BB30" i="27"/>
  <c r="BC30" i="27"/>
  <c r="BD30" i="27"/>
  <c r="BE30" i="27"/>
  <c r="BF30" i="27"/>
  <c r="BG30" i="27"/>
  <c r="BH30" i="27"/>
  <c r="BI30" i="27"/>
  <c r="BJ30" i="27"/>
  <c r="BK30" i="27"/>
  <c r="BL30" i="27"/>
  <c r="BM30" i="27"/>
  <c r="BN30" i="27"/>
  <c r="BO30" i="27"/>
  <c r="BP30" i="27"/>
  <c r="BQ30" i="27"/>
  <c r="BR30" i="27"/>
  <c r="BS30" i="27"/>
  <c r="BT30" i="27"/>
  <c r="BU30" i="27"/>
  <c r="BV30" i="27"/>
  <c r="BW30" i="27"/>
  <c r="BX30" i="27"/>
  <c r="BY30" i="27"/>
  <c r="BZ30" i="27"/>
  <c r="CA30" i="27"/>
  <c r="CB30" i="27"/>
  <c r="CC30" i="27"/>
  <c r="CD30" i="27"/>
  <c r="CE30" i="27"/>
  <c r="CF30" i="27"/>
  <c r="CG30" i="27"/>
  <c r="CH30" i="27"/>
  <c r="CI30" i="27"/>
  <c r="CJ30" i="27"/>
  <c r="CK30" i="27"/>
  <c r="CL30" i="27"/>
  <c r="CM30" i="27"/>
  <c r="CN30" i="27"/>
  <c r="CO30" i="27"/>
  <c r="CP30" i="27"/>
  <c r="CQ30" i="27"/>
  <c r="CR30" i="27"/>
  <c r="CS30" i="27"/>
  <c r="CT30" i="27"/>
  <c r="CU30" i="27"/>
  <c r="CV30" i="27"/>
  <c r="CW30" i="27"/>
  <c r="CX30" i="27"/>
  <c r="CY30" i="27"/>
  <c r="G26" i="27"/>
  <c r="G29" i="27"/>
  <c r="I31" i="27"/>
  <c r="I33" i="27"/>
  <c r="I35" i="27"/>
  <c r="I37" i="27"/>
  <c r="I39" i="27"/>
  <c r="F25" i="27"/>
  <c r="I26" i="27"/>
  <c r="I29" i="27"/>
  <c r="G25" i="27"/>
  <c r="F32" i="27"/>
  <c r="F34" i="27"/>
  <c r="F36" i="27"/>
  <c r="F38" i="27"/>
  <c r="F24" i="27"/>
  <c r="I25" i="27"/>
  <c r="F28" i="27"/>
  <c r="F30" i="27"/>
  <c r="G32" i="27"/>
  <c r="G36" i="27"/>
  <c r="G38" i="27"/>
  <c r="G24" i="27"/>
  <c r="G28" i="27"/>
  <c r="I36" i="27"/>
  <c r="I38" i="27"/>
  <c r="G34" i="27"/>
  <c r="F23" i="27"/>
  <c r="I24" i="27"/>
  <c r="F27" i="27"/>
  <c r="I28" i="27"/>
  <c r="I30" i="27"/>
  <c r="F31" i="27"/>
  <c r="F35" i="27"/>
  <c r="F39" i="27"/>
  <c r="I23" i="27"/>
  <c r="I27" i="27"/>
  <c r="G31" i="27"/>
  <c r="G35" i="27"/>
  <c r="G39" i="27"/>
  <c r="G30" i="27"/>
  <c r="I32" i="27"/>
  <c r="G23" i="27"/>
  <c r="G27" i="27"/>
  <c r="F33" i="27"/>
  <c r="F37" i="27"/>
  <c r="F26" i="27"/>
  <c r="F29" i="27"/>
  <c r="G33" i="27"/>
  <c r="G37" i="27"/>
  <c r="I34" i="27"/>
  <c r="M12" i="27" l="1"/>
  <c r="N12" i="27" s="1"/>
  <c r="AC27" i="27"/>
  <c r="AC23" i="27"/>
  <c r="M8" i="27"/>
  <c r="N8" i="27" s="1"/>
  <c r="AC25" i="27"/>
  <c r="M13" i="27"/>
  <c r="N13" i="27" s="1"/>
  <c r="M10" i="27"/>
  <c r="N10" i="27" s="1"/>
  <c r="H37" i="27"/>
  <c r="H33" i="27"/>
  <c r="H27" i="27"/>
  <c r="H23" i="27"/>
  <c r="H30" i="27"/>
  <c r="H39" i="27"/>
  <c r="H35" i="27"/>
  <c r="H31" i="27"/>
  <c r="H34" i="27"/>
  <c r="H28" i="27"/>
  <c r="H24" i="27"/>
  <c r="H38" i="27"/>
  <c r="H36" i="27"/>
  <c r="H32" i="27"/>
  <c r="H25" i="27"/>
  <c r="H29" i="27"/>
  <c r="H26" i="27"/>
  <c r="M9" i="27"/>
  <c r="N9" i="27" s="1"/>
  <c r="M11" i="27"/>
  <c r="N11" i="27" s="1"/>
  <c r="B7" i="1"/>
  <c r="E40" i="1"/>
  <c r="E18" i="1"/>
  <c r="D33" i="1"/>
  <c r="E12" i="1"/>
  <c r="E33" i="1"/>
  <c r="E38" i="1"/>
  <c r="D22" i="1"/>
  <c r="E19" i="1"/>
  <c r="E26" i="1"/>
  <c r="D37" i="1"/>
  <c r="D12" i="1"/>
  <c r="E25" i="1"/>
  <c r="E39" i="1"/>
  <c r="D27" i="1"/>
  <c r="D21" i="1"/>
  <c r="D20" i="1"/>
  <c r="D11" i="1"/>
  <c r="E22" i="1"/>
  <c r="D17" i="1"/>
  <c r="D23" i="1"/>
  <c r="E30" i="1"/>
  <c r="D24" i="1"/>
  <c r="D10" i="1"/>
  <c r="D15" i="1"/>
  <c r="E9" i="1"/>
  <c r="E8" i="1"/>
  <c r="E34" i="1"/>
  <c r="D36" i="1"/>
  <c r="D29" i="1"/>
  <c r="E16" i="1"/>
  <c r="D42" i="1"/>
  <c r="E23" i="1"/>
  <c r="E41" i="1"/>
  <c r="E37" i="1"/>
  <c r="E20" i="1"/>
  <c r="E32" i="1"/>
  <c r="E15" i="1"/>
  <c r="E36" i="1"/>
  <c r="D28" i="1"/>
  <c r="D35" i="1"/>
  <c r="D39" i="1"/>
  <c r="E24" i="1"/>
  <c r="D8" i="1"/>
  <c r="E28" i="1"/>
  <c r="D32" i="1"/>
  <c r="E27" i="1"/>
  <c r="E31" i="1"/>
  <c r="D19" i="1"/>
  <c r="D40" i="1"/>
  <c r="E21" i="1"/>
  <c r="D14" i="1"/>
  <c r="D34" i="1"/>
  <c r="E14" i="1"/>
  <c r="E35" i="1"/>
  <c r="E13" i="1"/>
  <c r="D16" i="1"/>
  <c r="D13" i="1"/>
  <c r="D18" i="1"/>
  <c r="D41" i="1"/>
  <c r="D26" i="1"/>
  <c r="E42" i="1"/>
  <c r="D38" i="1"/>
  <c r="E29" i="1"/>
  <c r="E17" i="1"/>
  <c r="D30" i="1"/>
  <c r="D9" i="1"/>
  <c r="D31" i="1"/>
  <c r="E11" i="1"/>
  <c r="E10" i="1"/>
  <c r="D25" i="1"/>
  <c r="C4" i="1" l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G35" i="1"/>
  <c r="A36" i="1"/>
  <c r="A37" i="1"/>
  <c r="A38" i="1"/>
  <c r="A39" i="1"/>
  <c r="A40" i="1"/>
  <c r="A41" i="1"/>
  <c r="A42" i="1"/>
  <c r="A43" i="1"/>
  <c r="F7" i="1"/>
  <c r="A55" i="23" l="1"/>
  <c r="A38" i="23"/>
  <c r="H38" i="23"/>
  <c r="H55" i="23"/>
  <c r="B38" i="23"/>
  <c r="B55" i="23"/>
  <c r="J38" i="23"/>
  <c r="D55" i="23"/>
  <c r="K55" i="23"/>
  <c r="K38" i="23"/>
  <c r="L38" i="23"/>
  <c r="L55" i="23"/>
  <c r="J55" i="23"/>
  <c r="D38" i="23"/>
  <c r="A118" i="23" l="1"/>
  <c r="H118" i="23"/>
  <c r="J118" i="23"/>
  <c r="D118" i="23"/>
  <c r="K118" i="23"/>
  <c r="B118" i="23"/>
  <c r="L118" i="23"/>
  <c r="A61" i="23" l="1"/>
  <c r="H61" i="23"/>
  <c r="J61" i="23"/>
  <c r="L61" i="23"/>
  <c r="D61" i="23"/>
  <c r="B61" i="23"/>
  <c r="K61" i="23"/>
  <c r="A74" i="23" l="1"/>
  <c r="H74" i="23"/>
  <c r="K74" i="23"/>
  <c r="D74" i="23"/>
  <c r="L74" i="23"/>
  <c r="J74" i="23"/>
  <c r="B74" i="23"/>
  <c r="A92" i="23" l="1"/>
  <c r="H92" i="23"/>
  <c r="J92" i="23"/>
  <c r="D92" i="23"/>
  <c r="B92" i="23"/>
  <c r="L92" i="23"/>
  <c r="K92" i="23"/>
  <c r="A155" i="23" l="1"/>
  <c r="H155" i="23"/>
  <c r="D155" i="23"/>
  <c r="B155" i="23"/>
  <c r="K155" i="23"/>
  <c r="J155" i="23"/>
  <c r="L155" i="23"/>
  <c r="A211" i="23" l="1"/>
  <c r="A139" i="23"/>
  <c r="B8" i="2" l="1"/>
  <c r="B9" i="2"/>
  <c r="B10" i="2"/>
  <c r="B11" i="2"/>
  <c r="B13" i="2"/>
  <c r="B14" i="2"/>
  <c r="B15" i="2"/>
  <c r="B16" i="2"/>
  <c r="H211" i="23"/>
  <c r="I4" i="23"/>
  <c r="H139" i="23"/>
  <c r="K139" i="23"/>
  <c r="D139" i="23"/>
  <c r="V2" i="23"/>
  <c r="B139" i="23"/>
  <c r="D211" i="23"/>
  <c r="L211" i="23"/>
  <c r="J211" i="23"/>
  <c r="J139" i="23"/>
  <c r="K211" i="23"/>
  <c r="L139" i="23"/>
  <c r="B211" i="23"/>
  <c r="D210" i="23"/>
  <c r="N1" i="23" l="1"/>
  <c r="O2" i="23"/>
  <c r="O1" i="23" s="1"/>
  <c r="P2" i="23"/>
  <c r="Q1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6" i="23"/>
  <c r="A57" i="23"/>
  <c r="A58" i="23"/>
  <c r="A59" i="23"/>
  <c r="A60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6" i="23"/>
  <c r="A157" i="23"/>
  <c r="A158" i="23"/>
  <c r="A159" i="23"/>
  <c r="A160" i="23"/>
  <c r="A161" i="23"/>
  <c r="A162" i="23"/>
  <c r="A163" i="23"/>
  <c r="A164" i="23"/>
  <c r="A165" i="23"/>
  <c r="A166" i="23"/>
  <c r="Z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205" i="23"/>
  <c r="A206" i="23"/>
  <c r="A207" i="23"/>
  <c r="A208" i="23"/>
  <c r="A209" i="23"/>
  <c r="A210" i="23"/>
  <c r="A212" i="23"/>
  <c r="A213" i="23"/>
  <c r="A214" i="23"/>
  <c r="A215" i="23"/>
  <c r="A216" i="23"/>
  <c r="A217" i="23"/>
  <c r="A218" i="23"/>
  <c r="A219" i="23"/>
  <c r="A220" i="23"/>
  <c r="A221" i="23"/>
  <c r="A222" i="23"/>
  <c r="A223" i="23"/>
  <c r="A224" i="23"/>
  <c r="A225" i="23"/>
  <c r="A226" i="23"/>
  <c r="A227" i="23"/>
  <c r="A228" i="23"/>
  <c r="A229" i="23"/>
  <c r="A230" i="23"/>
  <c r="A231" i="23"/>
  <c r="A232" i="23"/>
  <c r="A233" i="23"/>
  <c r="A234" i="23"/>
  <c r="A235" i="23"/>
  <c r="A236" i="23"/>
  <c r="A237" i="23"/>
  <c r="A238" i="23"/>
  <c r="A239" i="23"/>
  <c r="A240" i="23"/>
  <c r="A241" i="23"/>
  <c r="A242" i="23"/>
  <c r="A243" i="23"/>
  <c r="A244" i="23"/>
  <c r="A245" i="23"/>
  <c r="A246" i="23"/>
  <c r="A247" i="23"/>
  <c r="A248" i="23"/>
  <c r="A249" i="23"/>
  <c r="O55" i="23"/>
  <c r="N38" i="23"/>
  <c r="O38" i="23"/>
  <c r="O118" i="23"/>
  <c r="N55" i="23"/>
  <c r="N118" i="23"/>
  <c r="M55" i="23" l="1"/>
  <c r="M38" i="23"/>
  <c r="M118" i="23"/>
  <c r="R1" i="23"/>
  <c r="P1" i="23"/>
  <c r="S1" i="23"/>
  <c r="H31" i="23"/>
  <c r="H208" i="23"/>
  <c r="H9" i="23"/>
  <c r="H36" i="23"/>
  <c r="H160" i="23"/>
  <c r="H23" i="23"/>
  <c r="H165" i="23"/>
  <c r="H206" i="23"/>
  <c r="H136" i="23"/>
  <c r="H32" i="23"/>
  <c r="H58" i="23"/>
  <c r="L5" i="23"/>
  <c r="H246" i="23"/>
  <c r="H112" i="23"/>
  <c r="H151" i="23"/>
  <c r="H236" i="23"/>
  <c r="H89" i="23"/>
  <c r="H197" i="23"/>
  <c r="H202" i="23"/>
  <c r="H122" i="23"/>
  <c r="H245" i="23"/>
  <c r="H126" i="23"/>
  <c r="H53" i="23"/>
  <c r="H43" i="23"/>
  <c r="H176" i="23"/>
  <c r="H223" i="23"/>
  <c r="H237" i="23"/>
  <c r="H200" i="23"/>
  <c r="H238" i="23"/>
  <c r="H97" i="23"/>
  <c r="H87" i="23"/>
  <c r="H77" i="23"/>
  <c r="H11" i="23"/>
  <c r="H150" i="23"/>
  <c r="H172" i="23"/>
  <c r="H81" i="23"/>
  <c r="H21" i="23"/>
  <c r="H37" i="23"/>
  <c r="H59" i="23"/>
  <c r="H244" i="23"/>
  <c r="H16" i="23"/>
  <c r="H184" i="23"/>
  <c r="H121" i="23"/>
  <c r="H203" i="23"/>
  <c r="H103" i="23"/>
  <c r="H142" i="23"/>
  <c r="H115" i="23"/>
  <c r="H213" i="23"/>
  <c r="H123" i="23"/>
  <c r="H188" i="23"/>
  <c r="H171" i="23"/>
  <c r="H170" i="23"/>
  <c r="H228" i="23"/>
  <c r="H73" i="23"/>
  <c r="H7" i="23"/>
  <c r="B5" i="23"/>
  <c r="H25" i="23"/>
  <c r="H214" i="23"/>
  <c r="H226" i="23"/>
  <c r="H177" i="23"/>
  <c r="H24" i="23"/>
  <c r="H144" i="23"/>
  <c r="H60" i="23"/>
  <c r="H28" i="23"/>
  <c r="H72" i="23"/>
  <c r="H64" i="23"/>
  <c r="H94" i="23"/>
  <c r="H163" i="23"/>
  <c r="H222" i="23"/>
  <c r="H233" i="23"/>
  <c r="H35" i="23"/>
  <c r="H241" i="23"/>
  <c r="H104" i="23"/>
  <c r="H44" i="23"/>
  <c r="H218" i="23"/>
  <c r="H159" i="23"/>
  <c r="H84" i="23"/>
  <c r="H68" i="23"/>
  <c r="H124" i="23"/>
  <c r="H108" i="23"/>
  <c r="H40" i="23"/>
  <c r="H127" i="23"/>
  <c r="H117" i="23"/>
  <c r="H225" i="23"/>
  <c r="H248" i="23"/>
  <c r="H199" i="23"/>
  <c r="H80" i="23"/>
  <c r="H140" i="23"/>
  <c r="H27" i="23"/>
  <c r="H167" i="23"/>
  <c r="H164" i="23"/>
  <c r="H75" i="23"/>
  <c r="H221" i="23"/>
  <c r="H166" i="23"/>
  <c r="H162" i="23"/>
  <c r="H132" i="23"/>
  <c r="H234" i="23"/>
  <c r="H235" i="23"/>
  <c r="D5" i="23"/>
  <c r="H179" i="23"/>
  <c r="H34" i="23"/>
  <c r="H195" i="23"/>
  <c r="H217" i="23"/>
  <c r="H181" i="23"/>
  <c r="H114" i="23"/>
  <c r="H134" i="23"/>
  <c r="H169" i="23"/>
  <c r="K5" i="23"/>
  <c r="H240" i="23"/>
  <c r="H148" i="23"/>
  <c r="H224" i="23"/>
  <c r="H205" i="23"/>
  <c r="H109" i="23"/>
  <c r="H232" i="23"/>
  <c r="H183" i="23"/>
  <c r="H230" i="23"/>
  <c r="H173" i="23"/>
  <c r="H33" i="23"/>
  <c r="H154" i="23"/>
  <c r="H193" i="23"/>
  <c r="H96" i="23"/>
  <c r="H45" i="23"/>
  <c r="H50" i="23"/>
  <c r="H219" i="23"/>
  <c r="H113" i="23"/>
  <c r="H209" i="23"/>
  <c r="H201" i="23"/>
  <c r="H51" i="23"/>
  <c r="H229" i="23"/>
  <c r="H6" i="23"/>
  <c r="H119" i="23"/>
  <c r="H120" i="23"/>
  <c r="H99" i="23"/>
  <c r="H145" i="23"/>
  <c r="H107" i="23"/>
  <c r="H129" i="23"/>
  <c r="H48" i="23"/>
  <c r="H88" i="23"/>
  <c r="H17" i="23"/>
  <c r="H215" i="23"/>
  <c r="H30" i="23"/>
  <c r="H187" i="23"/>
  <c r="H149" i="23"/>
  <c r="H190" i="23"/>
  <c r="H8" i="23"/>
  <c r="H161" i="23"/>
  <c r="H29" i="23"/>
  <c r="H20" i="23"/>
  <c r="H54" i="23"/>
  <c r="H41" i="23"/>
  <c r="H111" i="23"/>
  <c r="H106" i="23"/>
  <c r="H102" i="23"/>
  <c r="H157" i="23"/>
  <c r="H152" i="23"/>
  <c r="H168" i="23"/>
  <c r="H189" i="23"/>
  <c r="H137" i="23"/>
  <c r="H131" i="23"/>
  <c r="H46" i="23"/>
  <c r="H66" i="23"/>
  <c r="H52" i="23"/>
  <c r="H227" i="23"/>
  <c r="H110" i="23"/>
  <c r="H116" i="23"/>
  <c r="H249" i="23"/>
  <c r="H242" i="23"/>
  <c r="H212" i="23"/>
  <c r="H180" i="23"/>
  <c r="H216" i="23"/>
  <c r="H98" i="23"/>
  <c r="H192" i="23"/>
  <c r="J5" i="23"/>
  <c r="H86" i="23"/>
  <c r="H135" i="23"/>
  <c r="H82" i="23"/>
  <c r="H39" i="23"/>
  <c r="H76" i="23"/>
  <c r="H79" i="23"/>
  <c r="H175" i="23"/>
  <c r="H13" i="23"/>
  <c r="H133" i="23"/>
  <c r="H147" i="23"/>
  <c r="H47" i="23"/>
  <c r="H128" i="23"/>
  <c r="H10" i="23"/>
  <c r="H182" i="23"/>
  <c r="H185" i="23"/>
  <c r="H42" i="23"/>
  <c r="H186" i="23"/>
  <c r="H143" i="23"/>
  <c r="H207" i="23"/>
  <c r="H93" i="23"/>
  <c r="H101" i="23"/>
  <c r="H15" i="23"/>
  <c r="H22" i="23"/>
  <c r="H243" i="23"/>
  <c r="H191" i="23"/>
  <c r="H26" i="23"/>
  <c r="H239" i="23"/>
  <c r="H62" i="23"/>
  <c r="H95" i="23"/>
  <c r="H19" i="23"/>
  <c r="H85" i="23"/>
  <c r="H56" i="23"/>
  <c r="H105" i="23"/>
  <c r="H65" i="23"/>
  <c r="H63" i="23"/>
  <c r="H5" i="23"/>
  <c r="H125" i="23"/>
  <c r="H156" i="23"/>
  <c r="H153" i="23"/>
  <c r="H78" i="23"/>
  <c r="H220" i="23"/>
  <c r="H12" i="23"/>
  <c r="H71" i="23"/>
  <c r="H158" i="23"/>
  <c r="H198" i="23"/>
  <c r="H194" i="23"/>
  <c r="H146" i="23"/>
  <c r="H18" i="23"/>
  <c r="H83" i="23"/>
  <c r="H141" i="23"/>
  <c r="H210" i="23"/>
  <c r="H178" i="23"/>
  <c r="H196" i="23"/>
  <c r="H49" i="23"/>
  <c r="H57" i="23"/>
  <c r="H90" i="23"/>
  <c r="H70" i="23"/>
  <c r="H174" i="23"/>
  <c r="H204" i="23"/>
  <c r="H14" i="23"/>
  <c r="H231" i="23"/>
  <c r="H67" i="23"/>
  <c r="H247" i="23"/>
  <c r="H138" i="23"/>
  <c r="H100" i="23"/>
  <c r="H130" i="23"/>
  <c r="H91" i="23"/>
  <c r="H69" i="23"/>
  <c r="Q38" i="23"/>
  <c r="R38" i="23"/>
  <c r="R118" i="23"/>
  <c r="Q55" i="23"/>
  <c r="Q118" i="23"/>
  <c r="R55" i="23"/>
  <c r="P38" i="23"/>
  <c r="E55" i="23" l="1"/>
  <c r="E38" i="23"/>
  <c r="F55" i="23"/>
  <c r="F38" i="23"/>
  <c r="E118" i="23"/>
  <c r="F118" i="23"/>
  <c r="G73" i="7" s="1"/>
  <c r="K6" i="23"/>
  <c r="B122" i="23"/>
  <c r="D122" i="23"/>
  <c r="J122" i="23"/>
  <c r="L122" i="23"/>
  <c r="B6" i="23"/>
  <c r="J6" i="23"/>
  <c r="L6" i="23"/>
  <c r="D6" i="23"/>
  <c r="K122" i="23"/>
  <c r="P55" i="23"/>
  <c r="K249" i="23"/>
  <c r="L12" i="23"/>
  <c r="P152" i="23"/>
  <c r="P130" i="23"/>
  <c r="K48" i="23"/>
  <c r="K77" i="23"/>
  <c r="O101" i="23"/>
  <c r="B165" i="23"/>
  <c r="N190" i="23"/>
  <c r="N13" i="23"/>
  <c r="J123" i="23"/>
  <c r="D163" i="23"/>
  <c r="J7" i="23"/>
  <c r="O62" i="23"/>
  <c r="K31" i="23"/>
  <c r="P11" i="23"/>
  <c r="K34" i="23"/>
  <c r="J213" i="23"/>
  <c r="L190" i="23"/>
  <c r="B244" i="23"/>
  <c r="N195" i="23"/>
  <c r="L226" i="23"/>
  <c r="B19" i="23"/>
  <c r="O148" i="23"/>
  <c r="D13" i="23"/>
  <c r="L83" i="23"/>
  <c r="N139" i="23"/>
  <c r="O232" i="23"/>
  <c r="D223" i="23"/>
  <c r="P226" i="23"/>
  <c r="L91" i="23"/>
  <c r="N205" i="23"/>
  <c r="N198" i="23"/>
  <c r="N32" i="23"/>
  <c r="P222" i="23"/>
  <c r="L240" i="23"/>
  <c r="J192" i="23"/>
  <c r="O105" i="23"/>
  <c r="L146" i="23"/>
  <c r="L149" i="23"/>
  <c r="K233" i="23"/>
  <c r="D217" i="23"/>
  <c r="K213" i="23"/>
  <c r="J185" i="23"/>
  <c r="N78" i="23"/>
  <c r="D46" i="23"/>
  <c r="L117" i="23"/>
  <c r="L102" i="23"/>
  <c r="N134" i="23"/>
  <c r="B30" i="23"/>
  <c r="N228" i="23"/>
  <c r="J26" i="23"/>
  <c r="P145" i="23"/>
  <c r="N103" i="23"/>
  <c r="L220" i="23"/>
  <c r="B167" i="23"/>
  <c r="K56" i="23"/>
  <c r="P21" i="23"/>
  <c r="B37" i="23"/>
  <c r="D71" i="23"/>
  <c r="P191" i="23"/>
  <c r="L109" i="23"/>
  <c r="K21" i="23"/>
  <c r="B163" i="23"/>
  <c r="B21" i="23"/>
  <c r="P133" i="23"/>
  <c r="N123" i="23"/>
  <c r="B18" i="23"/>
  <c r="P230" i="23"/>
  <c r="O41" i="23"/>
  <c r="L197" i="23"/>
  <c r="N56" i="23"/>
  <c r="B116" i="23"/>
  <c r="D77" i="23"/>
  <c r="D136" i="23"/>
  <c r="K10" i="23"/>
  <c r="K172" i="23"/>
  <c r="O5" i="23"/>
  <c r="N193" i="23"/>
  <c r="O225" i="23"/>
  <c r="K198" i="23"/>
  <c r="L97" i="23"/>
  <c r="K183" i="23"/>
  <c r="K171" i="23"/>
  <c r="L154" i="23"/>
  <c r="B31" i="23"/>
  <c r="L99" i="23"/>
  <c r="J236" i="23"/>
  <c r="N136" i="23"/>
  <c r="K143" i="23"/>
  <c r="J24" i="23"/>
  <c r="B223" i="23"/>
  <c r="D45" i="23"/>
  <c r="N141" i="23"/>
  <c r="P195" i="23"/>
  <c r="P192" i="23"/>
  <c r="O245" i="23"/>
  <c r="P103" i="23"/>
  <c r="N148" i="23"/>
  <c r="O84" i="23"/>
  <c r="K102" i="23"/>
  <c r="L27" i="23"/>
  <c r="P118" i="23"/>
  <c r="B59" i="23"/>
  <c r="P151" i="23"/>
  <c r="L200" i="23"/>
  <c r="D249" i="23"/>
  <c r="J116" i="23"/>
  <c r="K144" i="23"/>
  <c r="D156" i="23"/>
  <c r="J160" i="23"/>
  <c r="J52" i="23"/>
  <c r="P199" i="23"/>
  <c r="J161" i="23"/>
  <c r="L192" i="23"/>
  <c r="N62" i="23"/>
  <c r="J89" i="23"/>
  <c r="D50" i="23"/>
  <c r="B177" i="23"/>
  <c r="J191" i="23"/>
  <c r="D198" i="23"/>
  <c r="D87" i="23"/>
  <c r="D185" i="23"/>
  <c r="N221" i="23"/>
  <c r="J173" i="23"/>
  <c r="K131" i="23"/>
  <c r="P40" i="23"/>
  <c r="N163" i="23"/>
  <c r="D160" i="23"/>
  <c r="P227" i="23"/>
  <c r="B237" i="23"/>
  <c r="L60" i="23"/>
  <c r="N247" i="23"/>
  <c r="D15" i="23"/>
  <c r="N192" i="23"/>
  <c r="B138" i="23"/>
  <c r="K195" i="23"/>
  <c r="B32" i="23"/>
  <c r="O122" i="23"/>
  <c r="O210" i="23"/>
  <c r="L65" i="23"/>
  <c r="N213" i="23"/>
  <c r="J70" i="23"/>
  <c r="B196" i="23"/>
  <c r="J60" i="23"/>
  <c r="N98" i="23"/>
  <c r="D193" i="23"/>
  <c r="K99" i="23"/>
  <c r="D109" i="23"/>
  <c r="L142" i="23"/>
  <c r="B197" i="23"/>
  <c r="K43" i="23"/>
  <c r="K156" i="23"/>
  <c r="D190" i="23"/>
  <c r="O89" i="23"/>
  <c r="L111" i="23"/>
  <c r="B132" i="23"/>
  <c r="L25" i="23"/>
  <c r="N162" i="23"/>
  <c r="O187" i="23"/>
  <c r="B39" i="23"/>
  <c r="B53" i="23"/>
  <c r="D133" i="23"/>
  <c r="L43" i="23"/>
  <c r="D35" i="23"/>
  <c r="B8" i="23"/>
  <c r="P201" i="23"/>
  <c r="O133" i="23"/>
  <c r="K229" i="23"/>
  <c r="J170" i="23"/>
  <c r="D108" i="23"/>
  <c r="L63" i="23"/>
  <c r="O95" i="23"/>
  <c r="N230" i="23"/>
  <c r="P177" i="23"/>
  <c r="P65" i="23"/>
  <c r="J168" i="23"/>
  <c r="D93" i="23"/>
  <c r="D140" i="23"/>
  <c r="P45" i="23"/>
  <c r="N125" i="23"/>
  <c r="K94" i="23"/>
  <c r="N168" i="23"/>
  <c r="O144" i="23"/>
  <c r="N47" i="23"/>
  <c r="L214" i="23"/>
  <c r="K121" i="23"/>
  <c r="L81" i="23"/>
  <c r="D113" i="23"/>
  <c r="J56" i="23"/>
  <c r="N18" i="23"/>
  <c r="N171" i="23"/>
  <c r="J171" i="23"/>
  <c r="D150" i="23"/>
  <c r="L124" i="23"/>
  <c r="J50" i="23"/>
  <c r="K208" i="23"/>
  <c r="B77" i="23"/>
  <c r="P160" i="23"/>
  <c r="K191" i="23"/>
  <c r="D169" i="23"/>
  <c r="K70" i="23"/>
  <c r="K97" i="23"/>
  <c r="J246" i="23"/>
  <c r="O109" i="23"/>
  <c r="O220" i="23"/>
  <c r="K212" i="23"/>
  <c r="K223" i="23"/>
  <c r="J228" i="23"/>
  <c r="O50" i="23"/>
  <c r="L76" i="23"/>
  <c r="D179" i="23"/>
  <c r="B209" i="23"/>
  <c r="O219" i="23"/>
  <c r="P77" i="23"/>
  <c r="P197" i="23"/>
  <c r="N249" i="23"/>
  <c r="L11" i="23"/>
  <c r="D31" i="23"/>
  <c r="B109" i="23"/>
  <c r="O141" i="23"/>
  <c r="L94" i="23"/>
  <c r="J226" i="23"/>
  <c r="L82" i="23"/>
  <c r="O27" i="23"/>
  <c r="B216" i="23"/>
  <c r="K239" i="23"/>
  <c r="J172" i="23"/>
  <c r="B80" i="23"/>
  <c r="D42" i="23"/>
  <c r="P228" i="23"/>
  <c r="O63" i="23"/>
  <c r="N101" i="23"/>
  <c r="L115" i="23"/>
  <c r="D121" i="23"/>
  <c r="B227" i="23"/>
  <c r="B243" i="23"/>
  <c r="P208" i="23"/>
  <c r="D100" i="23"/>
  <c r="O60" i="23"/>
  <c r="P88" i="23"/>
  <c r="P18" i="23"/>
  <c r="P246" i="23"/>
  <c r="B24" i="23"/>
  <c r="B121" i="23"/>
  <c r="K26" i="23"/>
  <c r="O115" i="23"/>
  <c r="D170" i="23"/>
  <c r="J179" i="23"/>
  <c r="O196" i="23"/>
  <c r="D110" i="23"/>
  <c r="O74" i="23"/>
  <c r="K35" i="23"/>
  <c r="B91" i="23"/>
  <c r="L203" i="23"/>
  <c r="N233" i="23"/>
  <c r="L46" i="23"/>
  <c r="J247" i="23"/>
  <c r="D112" i="23"/>
  <c r="L66" i="23"/>
  <c r="P101" i="23"/>
  <c r="D89" i="23"/>
  <c r="J248" i="23"/>
  <c r="D57" i="23"/>
  <c r="K215" i="23"/>
  <c r="O234" i="23"/>
  <c r="N236" i="23"/>
  <c r="L70" i="23"/>
  <c r="L135" i="23"/>
  <c r="D64" i="23"/>
  <c r="P170" i="23"/>
  <c r="L133" i="23"/>
  <c r="J157" i="23"/>
  <c r="K54" i="23"/>
  <c r="B9" i="23"/>
  <c r="K62" i="23"/>
  <c r="D47" i="23"/>
  <c r="N77" i="23"/>
  <c r="B108" i="23"/>
  <c r="D10" i="23"/>
  <c r="D161" i="23"/>
  <c r="B231" i="23"/>
  <c r="P245" i="23"/>
  <c r="B115" i="23"/>
  <c r="P9" i="23"/>
  <c r="D131" i="23"/>
  <c r="O244" i="23"/>
  <c r="J188" i="23"/>
  <c r="O29" i="23"/>
  <c r="P158" i="23"/>
  <c r="L232" i="23"/>
  <c r="L161" i="23"/>
  <c r="L95" i="23"/>
  <c r="P156" i="23"/>
  <c r="L140" i="23"/>
  <c r="O126" i="23"/>
  <c r="K146" i="23"/>
  <c r="O134" i="23"/>
  <c r="O215" i="23"/>
  <c r="J35" i="23"/>
  <c r="D162" i="23"/>
  <c r="J232" i="23"/>
  <c r="K159" i="23"/>
  <c r="D238" i="23"/>
  <c r="N89" i="23"/>
  <c r="B117" i="23"/>
  <c r="N100" i="23"/>
  <c r="L57" i="23"/>
  <c r="J212" i="23"/>
  <c r="O241" i="23"/>
  <c r="B240" i="23"/>
  <c r="O32" i="23"/>
  <c r="B140" i="23"/>
  <c r="B57" i="23"/>
  <c r="B232" i="23"/>
  <c r="O80" i="23"/>
  <c r="D151" i="23"/>
  <c r="D84" i="23"/>
  <c r="B186" i="23"/>
  <c r="L180" i="23"/>
  <c r="L224" i="23"/>
  <c r="O15" i="23"/>
  <c r="K13" i="23"/>
  <c r="O30" i="23"/>
  <c r="N155" i="23"/>
  <c r="K58" i="23"/>
  <c r="P14" i="23"/>
  <c r="N94" i="23"/>
  <c r="L187" i="23"/>
  <c r="L237" i="23"/>
  <c r="L164" i="23"/>
  <c r="O184" i="23"/>
  <c r="N179" i="23"/>
  <c r="B124" i="23"/>
  <c r="P71" i="23"/>
  <c r="N146" i="23"/>
  <c r="L221" i="23"/>
  <c r="L167" i="23"/>
  <c r="D141" i="23"/>
  <c r="D66" i="23"/>
  <c r="N10" i="23"/>
  <c r="P90" i="23"/>
  <c r="L156" i="23"/>
  <c r="K201" i="23"/>
  <c r="P206" i="23"/>
  <c r="P163" i="23"/>
  <c r="N176" i="23"/>
  <c r="D208" i="23"/>
  <c r="K192" i="23"/>
  <c r="L185" i="23"/>
  <c r="L173" i="23"/>
  <c r="K170" i="23"/>
  <c r="D90" i="23"/>
  <c r="P17" i="23"/>
  <c r="O44" i="23"/>
  <c r="K220" i="23"/>
  <c r="O198" i="23"/>
  <c r="K238" i="23"/>
  <c r="N135" i="23"/>
  <c r="P27" i="23"/>
  <c r="J121" i="23"/>
  <c r="L243" i="23"/>
  <c r="N244" i="23"/>
  <c r="N225" i="23"/>
  <c r="J18" i="23"/>
  <c r="B46" i="23"/>
  <c r="K67" i="23"/>
  <c r="P89" i="23"/>
  <c r="K200" i="23"/>
  <c r="K11" i="23"/>
  <c r="J166" i="23"/>
  <c r="N145" i="23"/>
  <c r="K230" i="23"/>
  <c r="K248" i="23"/>
  <c r="B171" i="23"/>
  <c r="O185" i="23"/>
  <c r="K20" i="23"/>
  <c r="D247" i="23"/>
  <c r="L69" i="23"/>
  <c r="K95" i="23"/>
  <c r="D76" i="23"/>
  <c r="B226" i="23"/>
  <c r="L53" i="23"/>
  <c r="O12" i="23"/>
  <c r="O73" i="23"/>
  <c r="B110" i="23"/>
  <c r="P114" i="23"/>
  <c r="D222" i="23"/>
  <c r="N15" i="23"/>
  <c r="D41" i="23"/>
  <c r="J75" i="23"/>
  <c r="K162" i="23"/>
  <c r="P123" i="23"/>
  <c r="O162" i="23"/>
  <c r="N91" i="23"/>
  <c r="D68" i="23"/>
  <c r="P147" i="23"/>
  <c r="D130" i="23"/>
  <c r="K65" i="23"/>
  <c r="D102" i="23"/>
  <c r="K181" i="23"/>
  <c r="O147" i="23"/>
  <c r="B85" i="23"/>
  <c r="P41" i="23"/>
  <c r="B113" i="23"/>
  <c r="K81" i="23"/>
  <c r="O39" i="23"/>
  <c r="O194" i="23"/>
  <c r="O71" i="23"/>
  <c r="B95" i="23"/>
  <c r="L59" i="23"/>
  <c r="J214" i="23"/>
  <c r="P13" i="23"/>
  <c r="L18" i="23"/>
  <c r="O139" i="23"/>
  <c r="P7" i="23"/>
  <c r="N219" i="23"/>
  <c r="L231" i="23"/>
  <c r="L126" i="23"/>
  <c r="L130" i="23"/>
  <c r="D24" i="23"/>
  <c r="K234" i="23"/>
  <c r="N64" i="23"/>
  <c r="B157" i="23"/>
  <c r="K135" i="23"/>
  <c r="K106" i="23"/>
  <c r="O112" i="23"/>
  <c r="P83" i="23"/>
  <c r="P144" i="23"/>
  <c r="N152" i="23"/>
  <c r="B36" i="23"/>
  <c r="B20" i="23"/>
  <c r="P30" i="23"/>
  <c r="K176" i="23"/>
  <c r="D43" i="23"/>
  <c r="J133" i="23"/>
  <c r="L244" i="23"/>
  <c r="O10" i="23"/>
  <c r="J101" i="23"/>
  <c r="O175" i="23"/>
  <c r="K80" i="23"/>
  <c r="O168" i="23"/>
  <c r="N88" i="23"/>
  <c r="K147" i="23"/>
  <c r="N245" i="23"/>
  <c r="L151" i="23"/>
  <c r="D98" i="23"/>
  <c r="L168" i="23"/>
  <c r="O16" i="23"/>
  <c r="B17" i="23"/>
  <c r="L188" i="23"/>
  <c r="P116" i="23"/>
  <c r="O173" i="23"/>
  <c r="D240" i="23"/>
  <c r="J199" i="23"/>
  <c r="O23" i="23"/>
  <c r="N51" i="23"/>
  <c r="N224" i="23"/>
  <c r="N28" i="23"/>
  <c r="D85" i="23"/>
  <c r="B143" i="23"/>
  <c r="P213" i="23"/>
  <c r="O116" i="23"/>
  <c r="N106" i="23"/>
  <c r="D165" i="23"/>
  <c r="B179" i="23"/>
  <c r="L141" i="23"/>
  <c r="N184" i="23"/>
  <c r="B89" i="23"/>
  <c r="D180" i="23"/>
  <c r="L20" i="23"/>
  <c r="N76" i="23"/>
  <c r="P240" i="23"/>
  <c r="N160" i="23"/>
  <c r="P136" i="23"/>
  <c r="K57" i="23"/>
  <c r="P98" i="23"/>
  <c r="D135" i="23"/>
  <c r="O53" i="23"/>
  <c r="J165" i="23"/>
  <c r="P216" i="23"/>
  <c r="B103" i="23"/>
  <c r="D44" i="23"/>
  <c r="P128" i="23"/>
  <c r="N209" i="23"/>
  <c r="D124" i="23"/>
  <c r="D159" i="23"/>
  <c r="O64" i="23"/>
  <c r="D241" i="23"/>
  <c r="L241" i="23"/>
  <c r="D220" i="23"/>
  <c r="N65" i="23"/>
  <c r="B213" i="23"/>
  <c r="B160" i="23"/>
  <c r="D189" i="23"/>
  <c r="L202" i="23"/>
  <c r="O114" i="23"/>
  <c r="D48" i="23"/>
  <c r="K49" i="23"/>
  <c r="P112" i="23"/>
  <c r="O177" i="23"/>
  <c r="P121" i="23"/>
  <c r="D209" i="23"/>
  <c r="B101" i="23"/>
  <c r="K140" i="23"/>
  <c r="K8" i="23"/>
  <c r="J158" i="23"/>
  <c r="P180" i="23"/>
  <c r="O66" i="23"/>
  <c r="K51" i="23"/>
  <c r="J178" i="23"/>
  <c r="K116" i="23"/>
  <c r="L56" i="23"/>
  <c r="L23" i="23"/>
  <c r="L230" i="23"/>
  <c r="O157" i="23"/>
  <c r="P166" i="23"/>
  <c r="O100" i="23"/>
  <c r="K160" i="23"/>
  <c r="N45" i="23"/>
  <c r="N242" i="23"/>
  <c r="P224" i="23"/>
  <c r="B114" i="23"/>
  <c r="K110" i="23"/>
  <c r="O231" i="23"/>
  <c r="N142" i="23"/>
  <c r="B159" i="23"/>
  <c r="L98" i="23"/>
  <c r="L162" i="23"/>
  <c r="N234" i="23"/>
  <c r="J202" i="23"/>
  <c r="D212" i="23"/>
  <c r="J220" i="23"/>
  <c r="N108" i="23"/>
  <c r="O228" i="23"/>
  <c r="B69" i="23"/>
  <c r="B79" i="23"/>
  <c r="N12" i="23"/>
  <c r="B188" i="23"/>
  <c r="N24" i="23"/>
  <c r="P231" i="23"/>
  <c r="J245" i="23"/>
  <c r="K136" i="23"/>
  <c r="O92" i="23"/>
  <c r="O170" i="23"/>
  <c r="P248" i="23"/>
  <c r="L246" i="23"/>
  <c r="N72" i="23"/>
  <c r="J137" i="23"/>
  <c r="K107" i="23"/>
  <c r="J190" i="23"/>
  <c r="B222" i="23"/>
  <c r="J144" i="23"/>
  <c r="P142" i="23"/>
  <c r="D11" i="23"/>
  <c r="J183" i="23"/>
  <c r="L165" i="23"/>
  <c r="O88" i="23"/>
  <c r="N150" i="23"/>
  <c r="J221" i="23"/>
  <c r="J216" i="23"/>
  <c r="L77" i="23"/>
  <c r="J77" i="23"/>
  <c r="O190" i="23"/>
  <c r="L249" i="23"/>
  <c r="J45" i="23"/>
  <c r="P49" i="23"/>
  <c r="O224" i="23"/>
  <c r="P66" i="23"/>
  <c r="P137" i="23"/>
  <c r="D36" i="23"/>
  <c r="N82" i="23"/>
  <c r="D69" i="23"/>
  <c r="O76" i="23"/>
  <c r="O227" i="23"/>
  <c r="D117" i="23"/>
  <c r="O153" i="23"/>
  <c r="L15" i="23"/>
  <c r="L215" i="23"/>
  <c r="J110" i="23"/>
  <c r="P175" i="23"/>
  <c r="O72" i="23"/>
  <c r="P32" i="23"/>
  <c r="B126" i="23"/>
  <c r="J47" i="23"/>
  <c r="D199" i="23"/>
  <c r="L247" i="23"/>
  <c r="O154" i="23"/>
  <c r="B174" i="23"/>
  <c r="B247" i="23"/>
  <c r="B128" i="23"/>
  <c r="L176" i="23"/>
  <c r="D65" i="23"/>
  <c r="J90" i="23"/>
  <c r="O150" i="23"/>
  <c r="B204" i="23"/>
  <c r="P63" i="23"/>
  <c r="N231" i="23"/>
  <c r="L21" i="23"/>
  <c r="L29" i="23"/>
  <c r="N243" i="23"/>
  <c r="B193" i="23"/>
  <c r="P48" i="23"/>
  <c r="N204" i="23"/>
  <c r="O131" i="23"/>
  <c r="K85" i="23"/>
  <c r="D19" i="23"/>
  <c r="N11" i="23"/>
  <c r="B151" i="23"/>
  <c r="J229" i="23"/>
  <c r="P241" i="23"/>
  <c r="K69" i="23"/>
  <c r="K113" i="23"/>
  <c r="K148" i="23"/>
  <c r="K123" i="23"/>
  <c r="P190" i="23"/>
  <c r="J64" i="23"/>
  <c r="D127" i="23"/>
  <c r="J143" i="23"/>
  <c r="K243" i="23"/>
  <c r="N201" i="23"/>
  <c r="L216" i="23"/>
  <c r="K177" i="23"/>
  <c r="P85" i="23"/>
  <c r="L32" i="23"/>
  <c r="N159" i="23"/>
  <c r="O36" i="23"/>
  <c r="P236" i="23"/>
  <c r="B45" i="23"/>
  <c r="D75" i="23"/>
  <c r="O206" i="23"/>
  <c r="P140" i="23"/>
  <c r="O35" i="23"/>
  <c r="J112" i="23"/>
  <c r="J162" i="23"/>
  <c r="L132" i="23"/>
  <c r="D216" i="23"/>
  <c r="O208" i="23"/>
  <c r="D147" i="23"/>
  <c r="N105" i="23"/>
  <c r="B145" i="23"/>
  <c r="J147" i="23"/>
  <c r="P126" i="23"/>
  <c r="L50" i="23"/>
  <c r="B194" i="23"/>
  <c r="K111" i="23"/>
  <c r="L239" i="23"/>
  <c r="O128" i="23"/>
  <c r="P91" i="23"/>
  <c r="P6" i="23"/>
  <c r="J57" i="23"/>
  <c r="L39" i="23"/>
  <c r="K128" i="23"/>
  <c r="D144" i="23"/>
  <c r="K168" i="23"/>
  <c r="N153" i="23"/>
  <c r="P238" i="23"/>
  <c r="P75" i="23"/>
  <c r="P61" i="23"/>
  <c r="L49" i="23"/>
  <c r="N144" i="23"/>
  <c r="P76" i="23"/>
  <c r="D20" i="23"/>
  <c r="O6" i="23"/>
  <c r="N81" i="23"/>
  <c r="N43" i="23"/>
  <c r="J91" i="23"/>
  <c r="L217" i="23"/>
  <c r="N241" i="23"/>
  <c r="D83" i="23"/>
  <c r="O193" i="23"/>
  <c r="D115" i="23"/>
  <c r="O169" i="23"/>
  <c r="O86" i="23"/>
  <c r="D218" i="23"/>
  <c r="N121" i="23"/>
  <c r="P29" i="23"/>
  <c r="D195" i="23"/>
  <c r="L114" i="23"/>
  <c r="J129" i="23"/>
  <c r="D16" i="23"/>
  <c r="B16" i="23"/>
  <c r="J249" i="23"/>
  <c r="L14" i="23"/>
  <c r="D196" i="23"/>
  <c r="O117" i="23"/>
  <c r="P183" i="23"/>
  <c r="L44" i="23"/>
  <c r="K182" i="23"/>
  <c r="L166" i="23"/>
  <c r="P134" i="23"/>
  <c r="K197" i="23"/>
  <c r="B206" i="23"/>
  <c r="N58" i="23"/>
  <c r="N112" i="23"/>
  <c r="P39" i="23"/>
  <c r="K19" i="23"/>
  <c r="L101" i="23"/>
  <c r="L223" i="23"/>
  <c r="D239" i="23"/>
  <c r="O13" i="23"/>
  <c r="L159" i="23"/>
  <c r="B76" i="23"/>
  <c r="K44" i="23"/>
  <c r="P129" i="23"/>
  <c r="O79" i="23"/>
  <c r="S38" i="23"/>
  <c r="L86" i="23"/>
  <c r="B168" i="23"/>
  <c r="J223" i="23"/>
  <c r="N59" i="23"/>
  <c r="B201" i="23"/>
  <c r="B134" i="23"/>
  <c r="N165" i="23"/>
  <c r="K41" i="23"/>
  <c r="J239" i="23"/>
  <c r="P73" i="23"/>
  <c r="J145" i="23"/>
  <c r="K173" i="23"/>
  <c r="N143" i="23"/>
  <c r="N174" i="23"/>
  <c r="J84" i="23"/>
  <c r="L73" i="23"/>
  <c r="J34" i="23"/>
  <c r="P185" i="23"/>
  <c r="O143" i="23"/>
  <c r="P57" i="23"/>
  <c r="J113" i="23"/>
  <c r="K193" i="23"/>
  <c r="D186" i="23"/>
  <c r="P202" i="23"/>
  <c r="P149" i="23"/>
  <c r="L87" i="23"/>
  <c r="O8" i="23"/>
  <c r="B130" i="23"/>
  <c r="B63" i="23"/>
  <c r="J28" i="23"/>
  <c r="N191" i="23"/>
  <c r="N222" i="23"/>
  <c r="O160" i="23"/>
  <c r="J68" i="23"/>
  <c r="D116" i="23"/>
  <c r="J53" i="23"/>
  <c r="K247" i="23"/>
  <c r="B86" i="23"/>
  <c r="O31" i="23"/>
  <c r="D106" i="23"/>
  <c r="D73" i="23"/>
  <c r="O191" i="23"/>
  <c r="O179" i="23"/>
  <c r="P146" i="23"/>
  <c r="P221" i="23"/>
  <c r="D34" i="23"/>
  <c r="O236" i="23"/>
  <c r="N66" i="23"/>
  <c r="O22" i="23"/>
  <c r="J87" i="23"/>
  <c r="J107" i="23"/>
  <c r="K138" i="23"/>
  <c r="D200" i="23"/>
  <c r="D232" i="23"/>
  <c r="O188" i="23"/>
  <c r="L127" i="23"/>
  <c r="O203" i="23"/>
  <c r="J102" i="23"/>
  <c r="O156" i="23"/>
  <c r="D120" i="23"/>
  <c r="L208" i="23"/>
  <c r="K232" i="23"/>
  <c r="B218" i="23"/>
  <c r="D237" i="23"/>
  <c r="P33" i="23"/>
  <c r="K127" i="23"/>
  <c r="D126" i="23"/>
  <c r="N44" i="23"/>
  <c r="B225" i="23"/>
  <c r="O90" i="23"/>
  <c r="D148" i="23"/>
  <c r="D26" i="23"/>
  <c r="J208" i="23"/>
  <c r="B164" i="23"/>
  <c r="B68" i="23"/>
  <c r="L89" i="23"/>
  <c r="P79" i="23"/>
  <c r="N189" i="23"/>
  <c r="K76" i="23"/>
  <c r="J131" i="23"/>
  <c r="J128" i="23"/>
  <c r="P15" i="23"/>
  <c r="B220" i="23"/>
  <c r="P122" i="23"/>
  <c r="N17" i="23"/>
  <c r="P86" i="23"/>
  <c r="J125" i="23"/>
  <c r="B26" i="23"/>
  <c r="J184" i="23"/>
  <c r="O28" i="23"/>
  <c r="B98" i="23"/>
  <c r="D18" i="23"/>
  <c r="D49" i="23"/>
  <c r="D173" i="23"/>
  <c r="L131" i="23"/>
  <c r="O47" i="23"/>
  <c r="B42" i="23"/>
  <c r="L106" i="23"/>
  <c r="K189" i="23"/>
  <c r="J27" i="23"/>
  <c r="K240" i="23"/>
  <c r="N73" i="23"/>
  <c r="N21" i="23"/>
  <c r="P26" i="23"/>
  <c r="L222" i="23"/>
  <c r="L40" i="23"/>
  <c r="D79" i="23"/>
  <c r="N23" i="23"/>
  <c r="N229" i="23"/>
  <c r="D243" i="23"/>
  <c r="D132" i="23"/>
  <c r="D207" i="23"/>
  <c r="B137" i="23"/>
  <c r="N140" i="23"/>
  <c r="N25" i="23"/>
  <c r="K161" i="23"/>
  <c r="L119" i="23"/>
  <c r="J151" i="23"/>
  <c r="K22" i="23"/>
  <c r="B148" i="23"/>
  <c r="K218" i="23"/>
  <c r="J243" i="23"/>
  <c r="N157" i="23"/>
  <c r="P193" i="23"/>
  <c r="L212" i="23"/>
  <c r="L128" i="23"/>
  <c r="N237" i="23"/>
  <c r="K224" i="23"/>
  <c r="O230" i="23"/>
  <c r="B41" i="23"/>
  <c r="J186" i="23"/>
  <c r="J233" i="23"/>
  <c r="O124" i="23"/>
  <c r="L105" i="23"/>
  <c r="B208" i="23"/>
  <c r="P169" i="23"/>
  <c r="L218" i="23"/>
  <c r="P69" i="23"/>
  <c r="B202" i="23"/>
  <c r="B191" i="23"/>
  <c r="O93" i="23"/>
  <c r="N30" i="23"/>
  <c r="J41" i="23"/>
  <c r="B60" i="23"/>
  <c r="P59" i="23"/>
  <c r="K150" i="23"/>
  <c r="L144" i="23"/>
  <c r="P204" i="23"/>
  <c r="L172" i="23"/>
  <c r="N129" i="23"/>
  <c r="L181" i="23"/>
  <c r="K37" i="23"/>
  <c r="J37" i="23"/>
  <c r="O212" i="23"/>
  <c r="N83" i="23"/>
  <c r="B158" i="23"/>
  <c r="D245" i="23"/>
  <c r="J97" i="23"/>
  <c r="P16" i="23"/>
  <c r="D107" i="23"/>
  <c r="O142" i="23"/>
  <c r="J241" i="23"/>
  <c r="P218" i="23"/>
  <c r="K39" i="23"/>
  <c r="P239" i="23"/>
  <c r="N37" i="23"/>
  <c r="L125" i="23"/>
  <c r="N210" i="23"/>
  <c r="J73" i="23"/>
  <c r="B182" i="23"/>
  <c r="B234" i="23"/>
  <c r="O127" i="23"/>
  <c r="D58" i="23"/>
  <c r="P237" i="23"/>
  <c r="K28" i="23"/>
  <c r="D246" i="23"/>
  <c r="L104" i="23"/>
  <c r="K16" i="23"/>
  <c r="K9" i="23"/>
  <c r="P94" i="23"/>
  <c r="K217" i="23"/>
  <c r="D175" i="23"/>
  <c r="K163" i="23"/>
  <c r="K109" i="23"/>
  <c r="P43" i="23"/>
  <c r="D86" i="23"/>
  <c r="L193" i="23"/>
  <c r="O52" i="23"/>
  <c r="D56" i="23"/>
  <c r="J235" i="23"/>
  <c r="J196" i="23"/>
  <c r="B33" i="23"/>
  <c r="B228" i="23"/>
  <c r="J135" i="23"/>
  <c r="N6" i="23"/>
  <c r="D164" i="23"/>
  <c r="B210" i="23"/>
  <c r="J230" i="23"/>
  <c r="J175" i="23"/>
  <c r="K216" i="23"/>
  <c r="N128" i="23"/>
  <c r="B127" i="23"/>
  <c r="K157" i="23"/>
  <c r="N215" i="23"/>
  <c r="N164" i="23"/>
  <c r="J106" i="23"/>
  <c r="J67" i="23"/>
  <c r="B28" i="23"/>
  <c r="K166" i="23"/>
  <c r="D197" i="23"/>
  <c r="J22" i="23"/>
  <c r="L229" i="23"/>
  <c r="B129" i="23"/>
  <c r="O70" i="23"/>
  <c r="K184" i="23"/>
  <c r="K221" i="23"/>
  <c r="D23" i="23"/>
  <c r="L184" i="23"/>
  <c r="N206" i="23"/>
  <c r="J244" i="23"/>
  <c r="L93" i="23"/>
  <c r="L107" i="23"/>
  <c r="B192" i="23"/>
  <c r="B249" i="23"/>
  <c r="P28" i="23"/>
  <c r="J49" i="23"/>
  <c r="J114" i="23"/>
  <c r="B22" i="23"/>
  <c r="D104" i="23"/>
  <c r="O40" i="23"/>
  <c r="J76" i="23"/>
  <c r="P96" i="23"/>
  <c r="J218" i="23"/>
  <c r="B27" i="23"/>
  <c r="L204" i="23"/>
  <c r="K96" i="23"/>
  <c r="K52" i="23"/>
  <c r="D70" i="23"/>
  <c r="D226" i="23"/>
  <c r="J72" i="23"/>
  <c r="O202" i="23"/>
  <c r="K185" i="23"/>
  <c r="L22" i="23"/>
  <c r="O249" i="23"/>
  <c r="O137" i="23"/>
  <c r="N203" i="23"/>
  <c r="J83" i="23"/>
  <c r="O85" i="23"/>
  <c r="N220" i="23"/>
  <c r="N167" i="23"/>
  <c r="P189" i="23"/>
  <c r="P58" i="23"/>
  <c r="N67" i="23"/>
  <c r="K68" i="23"/>
  <c r="L51" i="23"/>
  <c r="O83" i="23"/>
  <c r="P117" i="23"/>
  <c r="D22" i="23"/>
  <c r="J215" i="23"/>
  <c r="L191" i="23"/>
  <c r="J33" i="23"/>
  <c r="K78" i="23"/>
  <c r="B54" i="23"/>
  <c r="D33" i="23"/>
  <c r="L17" i="23"/>
  <c r="K187" i="23"/>
  <c r="O18" i="23"/>
  <c r="O149" i="23"/>
  <c r="B229" i="23"/>
  <c r="D125" i="23"/>
  <c r="B102" i="23"/>
  <c r="O77" i="23"/>
  <c r="D219" i="23"/>
  <c r="K64" i="23"/>
  <c r="K174" i="23"/>
  <c r="N149" i="23"/>
  <c r="N127" i="23"/>
  <c r="B111" i="23"/>
  <c r="O201" i="23"/>
  <c r="B170" i="23"/>
  <c r="B178" i="23"/>
  <c r="O21" i="23"/>
  <c r="B136" i="23"/>
  <c r="O186" i="23"/>
  <c r="P68" i="23"/>
  <c r="O237" i="23"/>
  <c r="O94" i="23"/>
  <c r="N20" i="23"/>
  <c r="N63" i="23"/>
  <c r="O25" i="23"/>
  <c r="L134" i="23"/>
  <c r="P5" i="23"/>
  <c r="O164" i="23"/>
  <c r="N57" i="23"/>
  <c r="N238" i="23"/>
  <c r="B56" i="23"/>
  <c r="N119" i="23"/>
  <c r="L8" i="23"/>
  <c r="P182" i="23"/>
  <c r="K88" i="23"/>
  <c r="J86" i="23"/>
  <c r="D82" i="23"/>
  <c r="P198" i="23"/>
  <c r="O233" i="23"/>
  <c r="L183" i="23"/>
  <c r="N170" i="23"/>
  <c r="N42" i="23"/>
  <c r="J63" i="23"/>
  <c r="K244" i="23"/>
  <c r="B224" i="23"/>
  <c r="P80" i="23"/>
  <c r="J141" i="23"/>
  <c r="B215" i="23"/>
  <c r="O54" i="23"/>
  <c r="P78" i="23"/>
  <c r="B242" i="23"/>
  <c r="B123" i="23"/>
  <c r="B199" i="23"/>
  <c r="K164" i="23"/>
  <c r="P200" i="23"/>
  <c r="L145" i="23"/>
  <c r="J46" i="23"/>
  <c r="P162" i="23"/>
  <c r="D236" i="23"/>
  <c r="P181" i="23"/>
  <c r="O9" i="23"/>
  <c r="L234" i="23"/>
  <c r="D229" i="23"/>
  <c r="N185" i="23"/>
  <c r="P127" i="23"/>
  <c r="J204" i="23"/>
  <c r="J134" i="23"/>
  <c r="L136" i="23"/>
  <c r="J94" i="23"/>
  <c r="J164" i="23"/>
  <c r="J120" i="23"/>
  <c r="O195" i="23"/>
  <c r="P109" i="23"/>
  <c r="L138" i="23"/>
  <c r="B90" i="23"/>
  <c r="J111" i="23"/>
  <c r="K228" i="23"/>
  <c r="B183" i="23"/>
  <c r="N248" i="23"/>
  <c r="D78" i="23"/>
  <c r="K119" i="23"/>
  <c r="K86" i="23"/>
  <c r="P31" i="23"/>
  <c r="B107" i="23"/>
  <c r="B161" i="23"/>
  <c r="O57" i="23"/>
  <c r="J242" i="23"/>
  <c r="J59" i="23"/>
  <c r="L108" i="23"/>
  <c r="N187" i="23"/>
  <c r="J32" i="23"/>
  <c r="J154" i="23"/>
  <c r="O166" i="23"/>
  <c r="K130" i="23"/>
  <c r="L58" i="23"/>
  <c r="O75" i="23"/>
  <c r="P99" i="23"/>
  <c r="J81" i="23"/>
  <c r="B105" i="23"/>
  <c r="O97" i="23"/>
  <c r="K134" i="23"/>
  <c r="D53" i="23"/>
  <c r="D142" i="23"/>
  <c r="K225" i="23"/>
  <c r="K45" i="23"/>
  <c r="P210" i="23"/>
  <c r="D231" i="23"/>
  <c r="B29" i="23"/>
  <c r="P82" i="23"/>
  <c r="J201" i="23"/>
  <c r="O69" i="23"/>
  <c r="D182" i="23"/>
  <c r="B14" i="23"/>
  <c r="D29" i="23"/>
  <c r="J193" i="23"/>
  <c r="B78" i="23"/>
  <c r="D242" i="23"/>
  <c r="N199" i="23"/>
  <c r="D153" i="23"/>
  <c r="P135" i="23"/>
  <c r="D152" i="23"/>
  <c r="D123" i="23"/>
  <c r="D176" i="23"/>
  <c r="N71" i="23"/>
  <c r="N5" i="23"/>
  <c r="O183" i="23"/>
  <c r="K196" i="23"/>
  <c r="J225" i="23"/>
  <c r="O59" i="23"/>
  <c r="B13" i="23"/>
  <c r="J152" i="23"/>
  <c r="B200" i="23"/>
  <c r="P244" i="23"/>
  <c r="O159" i="23"/>
  <c r="L150" i="23"/>
  <c r="D143" i="23"/>
  <c r="K75" i="23"/>
  <c r="L225" i="23"/>
  <c r="J42" i="23"/>
  <c r="J58" i="23"/>
  <c r="D188" i="23"/>
  <c r="P196" i="23"/>
  <c r="D227" i="23"/>
  <c r="D194" i="23"/>
  <c r="D154" i="23"/>
  <c r="K167" i="23"/>
  <c r="P19" i="23"/>
  <c r="J48" i="23"/>
  <c r="L75" i="23"/>
  <c r="O205" i="23"/>
  <c r="N40" i="23"/>
  <c r="N9" i="23"/>
  <c r="J39" i="23"/>
  <c r="K219" i="23"/>
  <c r="L137" i="23"/>
  <c r="J240" i="23"/>
  <c r="O49" i="23"/>
  <c r="K7" i="23"/>
  <c r="P188" i="23"/>
  <c r="J224" i="23"/>
  <c r="L52" i="23"/>
  <c r="P92" i="23"/>
  <c r="L10" i="23"/>
  <c r="D192" i="23"/>
  <c r="P172" i="23"/>
  <c r="K209" i="23"/>
  <c r="O167" i="23"/>
  <c r="N166" i="23"/>
  <c r="J103" i="23"/>
  <c r="N131" i="23"/>
  <c r="P67" i="23"/>
  <c r="K47" i="23"/>
  <c r="N122" i="23"/>
  <c r="K204" i="23"/>
  <c r="O46" i="23"/>
  <c r="P203" i="23"/>
  <c r="P124" i="23"/>
  <c r="O99" i="23"/>
  <c r="K50" i="23"/>
  <c r="L116" i="23"/>
  <c r="D40" i="23"/>
  <c r="P234" i="23"/>
  <c r="J15" i="23"/>
  <c r="K115" i="23"/>
  <c r="O146" i="23"/>
  <c r="B7" i="23"/>
  <c r="J124" i="23"/>
  <c r="P20" i="23"/>
  <c r="D51" i="23"/>
  <c r="P8" i="23"/>
  <c r="O132" i="23"/>
  <c r="K175" i="23"/>
  <c r="J153" i="23"/>
  <c r="D63" i="23"/>
  <c r="J156" i="23"/>
  <c r="P176" i="23"/>
  <c r="N97" i="23"/>
  <c r="J95" i="23"/>
  <c r="O207" i="23"/>
  <c r="O226" i="23"/>
  <c r="N158" i="23"/>
  <c r="P10" i="23"/>
  <c r="K205" i="23"/>
  <c r="L80" i="23"/>
  <c r="O136" i="23"/>
  <c r="K15" i="23"/>
  <c r="B187" i="23"/>
  <c r="K93" i="23"/>
  <c r="O214" i="23"/>
  <c r="K32" i="23"/>
  <c r="D32" i="23"/>
  <c r="D215" i="23"/>
  <c r="P44" i="23"/>
  <c r="P64" i="23"/>
  <c r="P219" i="23"/>
  <c r="J51" i="23"/>
  <c r="O104" i="23"/>
  <c r="K59" i="23"/>
  <c r="J234" i="23"/>
  <c r="N8" i="23"/>
  <c r="O87" i="23"/>
  <c r="B81" i="23"/>
  <c r="D114" i="23"/>
  <c r="O239" i="23"/>
  <c r="N172" i="23"/>
  <c r="N33" i="23"/>
  <c r="J163" i="23"/>
  <c r="B11" i="23"/>
  <c r="K25" i="23"/>
  <c r="B62" i="23"/>
  <c r="D224" i="23"/>
  <c r="O248" i="23"/>
  <c r="D202" i="23"/>
  <c r="B65" i="23"/>
  <c r="K24" i="23"/>
  <c r="P187" i="23"/>
  <c r="P225" i="23"/>
  <c r="O182" i="23"/>
  <c r="P74" i="23"/>
  <c r="B147" i="23"/>
  <c r="K71" i="23"/>
  <c r="K154" i="23"/>
  <c r="D80" i="23"/>
  <c r="O209" i="23"/>
  <c r="K114" i="23"/>
  <c r="P247" i="23"/>
  <c r="P209" i="23"/>
  <c r="D167" i="23"/>
  <c r="O67" i="23"/>
  <c r="L169" i="23"/>
  <c r="O192" i="23"/>
  <c r="K214" i="23"/>
  <c r="J140" i="23"/>
  <c r="J176" i="23"/>
  <c r="P51" i="23"/>
  <c r="N232" i="23"/>
  <c r="P34" i="23"/>
  <c r="B156" i="23"/>
  <c r="K145" i="23"/>
  <c r="J96" i="23"/>
  <c r="L153" i="23"/>
  <c r="B142" i="23"/>
  <c r="B48" i="23"/>
  <c r="J149" i="23"/>
  <c r="K73" i="23"/>
  <c r="N188" i="23"/>
  <c r="N54" i="23"/>
  <c r="N116" i="23"/>
  <c r="P171" i="23"/>
  <c r="P205" i="23"/>
  <c r="O189" i="23"/>
  <c r="B104" i="23"/>
  <c r="N52" i="23"/>
  <c r="K105" i="23"/>
  <c r="B203" i="23"/>
  <c r="J130" i="23"/>
  <c r="L205" i="23"/>
  <c r="D244" i="23"/>
  <c r="B150" i="23"/>
  <c r="O243" i="23"/>
  <c r="O81" i="23"/>
  <c r="D235" i="23"/>
  <c r="N14" i="23"/>
  <c r="L238" i="23"/>
  <c r="J10" i="23"/>
  <c r="P47" i="23"/>
  <c r="K120" i="23"/>
  <c r="O222" i="23"/>
  <c r="L84" i="23"/>
  <c r="P105" i="23"/>
  <c r="D213" i="23"/>
  <c r="P52" i="23"/>
  <c r="K178" i="23"/>
  <c r="P217" i="23"/>
  <c r="B184" i="23"/>
  <c r="B84" i="23"/>
  <c r="B176" i="23"/>
  <c r="O56" i="23"/>
  <c r="N212" i="23"/>
  <c r="J14" i="23"/>
  <c r="L112" i="23"/>
  <c r="P81" i="23"/>
  <c r="N194" i="23"/>
  <c r="P62" i="23"/>
  <c r="P165" i="23"/>
  <c r="N214" i="23"/>
  <c r="P138" i="23"/>
  <c r="P243" i="23"/>
  <c r="B106" i="23"/>
  <c r="P229" i="23"/>
  <c r="L31" i="23"/>
  <c r="J219" i="23"/>
  <c r="N84" i="23"/>
  <c r="O58" i="23"/>
  <c r="N151" i="23"/>
  <c r="K89" i="23"/>
  <c r="O151" i="23"/>
  <c r="N202" i="23"/>
  <c r="L213" i="23"/>
  <c r="L100" i="23"/>
  <c r="P36" i="23"/>
  <c r="J11" i="23"/>
  <c r="B58" i="23"/>
  <c r="P119" i="23"/>
  <c r="B233" i="23"/>
  <c r="K237" i="23"/>
  <c r="J198" i="23"/>
  <c r="L41" i="23"/>
  <c r="J182" i="23"/>
  <c r="P23" i="23"/>
  <c r="O223" i="23"/>
  <c r="B239" i="23"/>
  <c r="L233" i="23"/>
  <c r="J167" i="23"/>
  <c r="D37" i="23"/>
  <c r="D228" i="23"/>
  <c r="K235" i="23"/>
  <c r="J66" i="23"/>
  <c r="O135" i="23"/>
  <c r="P153" i="23"/>
  <c r="K231" i="23"/>
  <c r="B180" i="23"/>
  <c r="K125" i="23"/>
  <c r="P215" i="23"/>
  <c r="O45" i="23"/>
  <c r="L68" i="23"/>
  <c r="J12" i="23"/>
  <c r="K137" i="23"/>
  <c r="B144" i="23"/>
  <c r="N208" i="23"/>
  <c r="N240" i="23"/>
  <c r="O65" i="23"/>
  <c r="K23" i="23"/>
  <c r="B207" i="23"/>
  <c r="J25" i="23"/>
  <c r="L196" i="23"/>
  <c r="D88" i="23"/>
  <c r="B173" i="23"/>
  <c r="L148" i="23"/>
  <c r="D128" i="23"/>
  <c r="O98" i="23"/>
  <c r="J99" i="23"/>
  <c r="K124" i="23"/>
  <c r="L129" i="23"/>
  <c r="N69" i="23"/>
  <c r="P179" i="23"/>
  <c r="B214" i="23"/>
  <c r="K186" i="23"/>
  <c r="K18" i="23"/>
  <c r="D59" i="23"/>
  <c r="P131" i="23"/>
  <c r="B181" i="23"/>
  <c r="N161" i="23"/>
  <c r="B235" i="23"/>
  <c r="D60" i="23"/>
  <c r="K90" i="23"/>
  <c r="B52" i="23"/>
  <c r="J217" i="23"/>
  <c r="O108" i="23"/>
  <c r="J126" i="23"/>
  <c r="N113" i="23"/>
  <c r="P150" i="23"/>
  <c r="O246" i="23"/>
  <c r="D204" i="23"/>
  <c r="N16" i="23"/>
  <c r="N196" i="23"/>
  <c r="B198" i="23"/>
  <c r="N180" i="23"/>
  <c r="N48" i="23"/>
  <c r="B82" i="23"/>
  <c r="B10" i="23"/>
  <c r="K63" i="23"/>
  <c r="P141" i="23"/>
  <c r="O103" i="23"/>
  <c r="B120" i="23"/>
  <c r="L175" i="23"/>
  <c r="B67" i="23"/>
  <c r="P155" i="23"/>
  <c r="P93" i="23"/>
  <c r="L19" i="23"/>
  <c r="D178" i="23"/>
  <c r="N186" i="23"/>
  <c r="D96" i="23"/>
  <c r="O200" i="23"/>
  <c r="N31" i="23"/>
  <c r="L198" i="23"/>
  <c r="N177" i="23"/>
  <c r="O181" i="23"/>
  <c r="P249" i="23"/>
  <c r="AA166" i="23"/>
  <c r="P113" i="23"/>
  <c r="K227" i="23"/>
  <c r="O107" i="23"/>
  <c r="D138" i="23"/>
  <c r="J29" i="23"/>
  <c r="N35" i="23"/>
  <c r="P87" i="23"/>
  <c r="D172" i="23"/>
  <c r="L177" i="23"/>
  <c r="J210" i="23"/>
  <c r="D99" i="23"/>
  <c r="D201" i="23"/>
  <c r="B119" i="23"/>
  <c r="N87" i="23"/>
  <c r="L199" i="23"/>
  <c r="L30" i="23"/>
  <c r="B88" i="23"/>
  <c r="N211" i="23"/>
  <c r="D157" i="23"/>
  <c r="O130" i="23"/>
  <c r="P24" i="23"/>
  <c r="B125" i="23"/>
  <c r="D7" i="23"/>
  <c r="B146" i="23"/>
  <c r="P37" i="23"/>
  <c r="O138" i="23"/>
  <c r="B25" i="23"/>
  <c r="O102" i="23"/>
  <c r="L72" i="23"/>
  <c r="N92" i="23"/>
  <c r="N99" i="23"/>
  <c r="L210" i="23"/>
  <c r="O33" i="23"/>
  <c r="O213" i="23"/>
  <c r="O152" i="23"/>
  <c r="O129" i="23"/>
  <c r="O161" i="23"/>
  <c r="D94" i="23"/>
  <c r="K126" i="23"/>
  <c r="L178" i="23"/>
  <c r="J71" i="23"/>
  <c r="L160" i="23"/>
  <c r="J209" i="23"/>
  <c r="J85" i="23"/>
  <c r="N34" i="23"/>
  <c r="P232" i="23"/>
  <c r="N133" i="23"/>
  <c r="B246" i="23"/>
  <c r="B248" i="23"/>
  <c r="N227" i="23"/>
  <c r="B133" i="23"/>
  <c r="L13" i="23"/>
  <c r="N50" i="23"/>
  <c r="J177" i="23"/>
  <c r="J9" i="23"/>
  <c r="B230" i="23"/>
  <c r="K188" i="23"/>
  <c r="N102" i="23"/>
  <c r="N216" i="23"/>
  <c r="J78" i="23"/>
  <c r="D62" i="23"/>
  <c r="P46" i="23"/>
  <c r="D12" i="23"/>
  <c r="L62" i="23"/>
  <c r="P60" i="23"/>
  <c r="J100" i="23"/>
  <c r="D25" i="23"/>
  <c r="K152" i="23"/>
  <c r="O145" i="23"/>
  <c r="N239" i="23"/>
  <c r="J16" i="23"/>
  <c r="J44" i="23"/>
  <c r="D230" i="23"/>
  <c r="J80" i="23"/>
  <c r="D81" i="23"/>
  <c r="N169" i="23"/>
  <c r="D166" i="23"/>
  <c r="N175" i="23"/>
  <c r="O125" i="23"/>
  <c r="O48" i="23"/>
  <c r="P235" i="23"/>
  <c r="O178" i="23"/>
  <c r="N74" i="23"/>
  <c r="P212" i="23"/>
  <c r="O158" i="23"/>
  <c r="L248" i="23"/>
  <c r="L245" i="23"/>
  <c r="O82" i="23"/>
  <c r="B162" i="23"/>
  <c r="O211" i="23"/>
  <c r="L35" i="23"/>
  <c r="N70" i="23"/>
  <c r="P242" i="23"/>
  <c r="K222" i="23"/>
  <c r="K79" i="23"/>
  <c r="L235" i="23"/>
  <c r="D21" i="23"/>
  <c r="N226" i="23"/>
  <c r="D191" i="23"/>
  <c r="B23" i="23"/>
  <c r="B15" i="23"/>
  <c r="D28" i="23"/>
  <c r="P111" i="23"/>
  <c r="J88" i="23"/>
  <c r="N68" i="23"/>
  <c r="B70" i="23"/>
  <c r="N126" i="23"/>
  <c r="K210" i="23"/>
  <c r="O217" i="23"/>
  <c r="B94" i="23"/>
  <c r="N183" i="23"/>
  <c r="D91" i="23"/>
  <c r="B40" i="23"/>
  <c r="N200" i="23"/>
  <c r="P84" i="23"/>
  <c r="J159" i="23"/>
  <c r="N96" i="23"/>
  <c r="L28" i="23"/>
  <c r="L163" i="23"/>
  <c r="J36" i="23"/>
  <c r="P186" i="23"/>
  <c r="B212" i="23"/>
  <c r="K194" i="23"/>
  <c r="K42" i="23"/>
  <c r="N138" i="23"/>
  <c r="P223" i="23"/>
  <c r="B87" i="23"/>
  <c r="O106" i="23"/>
  <c r="J13" i="23"/>
  <c r="O199" i="23"/>
  <c r="N61" i="23"/>
  <c r="P72" i="23"/>
  <c r="B35" i="23"/>
  <c r="P106" i="23"/>
  <c r="O51" i="23"/>
  <c r="L207" i="23"/>
  <c r="J136" i="23"/>
  <c r="B34" i="23"/>
  <c r="P110" i="23"/>
  <c r="J104" i="23"/>
  <c r="N114" i="23"/>
  <c r="P12" i="23"/>
  <c r="B50" i="23"/>
  <c r="P107" i="23"/>
  <c r="B190" i="23"/>
  <c r="B51" i="23"/>
  <c r="K104" i="23"/>
  <c r="K241" i="23"/>
  <c r="N86" i="23"/>
  <c r="K236" i="23"/>
  <c r="O43" i="23"/>
  <c r="B93" i="23"/>
  <c r="B166" i="23"/>
  <c r="B112" i="23"/>
  <c r="K242" i="23"/>
  <c r="K179" i="23"/>
  <c r="B83" i="23"/>
  <c r="N115" i="23"/>
  <c r="K40" i="23"/>
  <c r="J79" i="23"/>
  <c r="K207" i="23"/>
  <c r="J19" i="23"/>
  <c r="K132" i="23"/>
  <c r="L195" i="23"/>
  <c r="B152" i="23"/>
  <c r="J138" i="23"/>
  <c r="L7" i="23"/>
  <c r="B217" i="23"/>
  <c r="L123" i="23"/>
  <c r="O26" i="23"/>
  <c r="L242" i="23"/>
  <c r="O24" i="23"/>
  <c r="L33" i="23"/>
  <c r="J43" i="23"/>
  <c r="D111" i="23"/>
  <c r="P70" i="23"/>
  <c r="K112" i="23"/>
  <c r="K246" i="23"/>
  <c r="D183" i="23"/>
  <c r="D174" i="23"/>
  <c r="B47" i="23"/>
  <c r="D54" i="23"/>
  <c r="J150" i="23"/>
  <c r="J21" i="23"/>
  <c r="D134" i="23"/>
  <c r="J194" i="23"/>
  <c r="K91" i="23"/>
  <c r="N235" i="23"/>
  <c r="L121" i="23"/>
  <c r="O119" i="23"/>
  <c r="J105" i="23"/>
  <c r="O68" i="23"/>
  <c r="P102" i="23"/>
  <c r="J197" i="23"/>
  <c r="K83" i="23"/>
  <c r="P56" i="23"/>
  <c r="B175" i="23"/>
  <c r="K190" i="23"/>
  <c r="P211" i="23"/>
  <c r="P220" i="23"/>
  <c r="O204" i="23"/>
  <c r="O240" i="23"/>
  <c r="L157" i="23"/>
  <c r="J174" i="23"/>
  <c r="O19" i="23"/>
  <c r="O140" i="23"/>
  <c r="O174" i="23"/>
  <c r="J98" i="23"/>
  <c r="B172" i="23"/>
  <c r="B149" i="23"/>
  <c r="N26" i="23"/>
  <c r="P233" i="23"/>
  <c r="N178" i="23"/>
  <c r="O42" i="23"/>
  <c r="D39" i="23"/>
  <c r="D119" i="23"/>
  <c r="P104" i="23"/>
  <c r="L79" i="23"/>
  <c r="B71" i="23"/>
  <c r="K169" i="23"/>
  <c r="N120" i="23"/>
  <c r="P164" i="23"/>
  <c r="D171" i="23"/>
  <c r="N7" i="23"/>
  <c r="B189" i="23"/>
  <c r="N109" i="23"/>
  <c r="J222" i="23"/>
  <c r="P42" i="23"/>
  <c r="P108" i="23"/>
  <c r="L54" i="23"/>
  <c r="L189" i="23"/>
  <c r="O110" i="23"/>
  <c r="D103" i="23"/>
  <c r="J148" i="23"/>
  <c r="B195" i="23"/>
  <c r="N27" i="23"/>
  <c r="N173" i="23"/>
  <c r="B241" i="23"/>
  <c r="J146" i="23"/>
  <c r="J65" i="23"/>
  <c r="J195" i="23"/>
  <c r="J169" i="23"/>
  <c r="O235" i="23"/>
  <c r="J189" i="23"/>
  <c r="O61" i="23"/>
  <c r="N49" i="23"/>
  <c r="D149" i="23"/>
  <c r="O171" i="23"/>
  <c r="D137" i="23"/>
  <c r="L96" i="23"/>
  <c r="O242" i="23"/>
  <c r="D184" i="23"/>
  <c r="L206" i="23"/>
  <c r="K30" i="23"/>
  <c r="N147" i="23"/>
  <c r="K66" i="23"/>
  <c r="B245" i="23"/>
  <c r="J117" i="23"/>
  <c r="K84" i="23"/>
  <c r="K226" i="23"/>
  <c r="J17" i="23"/>
  <c r="P50" i="23"/>
  <c r="D67" i="23"/>
  <c r="K29" i="23"/>
  <c r="O155" i="23"/>
  <c r="P95" i="23"/>
  <c r="N117" i="23"/>
  <c r="L67" i="23"/>
  <c r="K199" i="23"/>
  <c r="D177" i="23"/>
  <c r="O247" i="23"/>
  <c r="N39" i="23"/>
  <c r="N80" i="23"/>
  <c r="N36" i="23"/>
  <c r="K141" i="23"/>
  <c r="D158" i="23"/>
  <c r="B236" i="23"/>
  <c r="K206" i="23"/>
  <c r="K82" i="23"/>
  <c r="D97" i="23"/>
  <c r="N29" i="23"/>
  <c r="D30" i="23"/>
  <c r="K133" i="23"/>
  <c r="P22" i="23"/>
  <c r="P214" i="23"/>
  <c r="J231" i="23"/>
  <c r="L110" i="23"/>
  <c r="K103" i="23"/>
  <c r="O34" i="23"/>
  <c r="N75" i="23"/>
  <c r="K17" i="23"/>
  <c r="J108" i="23"/>
  <c r="L26" i="23"/>
  <c r="J206" i="23"/>
  <c r="P120" i="23"/>
  <c r="D221" i="23"/>
  <c r="J40" i="23"/>
  <c r="B205" i="23"/>
  <c r="N93" i="23"/>
  <c r="O20" i="23"/>
  <c r="K165" i="23"/>
  <c r="K14" i="23"/>
  <c r="P173" i="23"/>
  <c r="J31" i="23"/>
  <c r="K36" i="23"/>
  <c r="L236" i="23"/>
  <c r="L85" i="23"/>
  <c r="O91" i="23"/>
  <c r="P132" i="23"/>
  <c r="P167" i="23"/>
  <c r="P139" i="23"/>
  <c r="L186" i="23"/>
  <c r="B72" i="23"/>
  <c r="D214" i="23"/>
  <c r="O111" i="23"/>
  <c r="B43" i="23"/>
  <c r="L227" i="23"/>
  <c r="B135" i="23"/>
  <c r="K158" i="23"/>
  <c r="L88" i="23"/>
  <c r="N182" i="23"/>
  <c r="K27" i="23"/>
  <c r="K245" i="23"/>
  <c r="P207" i="23"/>
  <c r="L103" i="23"/>
  <c r="L90" i="23"/>
  <c r="L194" i="23"/>
  <c r="J109" i="23"/>
  <c r="P115" i="23"/>
  <c r="J238" i="23"/>
  <c r="O165" i="23"/>
  <c r="O11" i="23"/>
  <c r="N124" i="23"/>
  <c r="B96" i="23"/>
  <c r="N207" i="23"/>
  <c r="B221" i="23"/>
  <c r="J30" i="23"/>
  <c r="B75" i="23"/>
  <c r="L170" i="23"/>
  <c r="N22" i="23"/>
  <c r="N110" i="23"/>
  <c r="D17" i="23"/>
  <c r="J187" i="23"/>
  <c r="K117" i="23"/>
  <c r="D9" i="23"/>
  <c r="O216" i="23"/>
  <c r="D14" i="23"/>
  <c r="J62" i="23"/>
  <c r="L42" i="23"/>
  <c r="K153" i="23"/>
  <c r="D187" i="23"/>
  <c r="N79" i="23"/>
  <c r="O37" i="23"/>
  <c r="K101" i="23"/>
  <c r="N223" i="23"/>
  <c r="K53" i="23"/>
  <c r="O229" i="23"/>
  <c r="L36" i="23"/>
  <c r="L147" i="23"/>
  <c r="O113" i="23"/>
  <c r="N217" i="23"/>
  <c r="L64" i="23"/>
  <c r="K203" i="23"/>
  <c r="P174" i="23"/>
  <c r="N60" i="23"/>
  <c r="L219" i="23"/>
  <c r="L47" i="23"/>
  <c r="J207" i="23"/>
  <c r="L34" i="23"/>
  <c r="L158" i="23"/>
  <c r="L45" i="23"/>
  <c r="J93" i="23"/>
  <c r="J200" i="23"/>
  <c r="P97" i="23"/>
  <c r="P159" i="23"/>
  <c r="L143" i="23"/>
  <c r="J20" i="23"/>
  <c r="P100" i="23"/>
  <c r="O121" i="23"/>
  <c r="N154" i="23"/>
  <c r="J23" i="23"/>
  <c r="J8" i="23"/>
  <c r="O96" i="23"/>
  <c r="D27" i="23"/>
  <c r="B64" i="23"/>
  <c r="J132" i="23"/>
  <c r="O17" i="23"/>
  <c r="J205" i="23"/>
  <c r="J127" i="23"/>
  <c r="O7" i="23"/>
  <c r="N137" i="23"/>
  <c r="D8" i="23"/>
  <c r="D233" i="23"/>
  <c r="P161" i="23"/>
  <c r="D248" i="23"/>
  <c r="B238" i="23"/>
  <c r="B49" i="23"/>
  <c r="L201" i="23"/>
  <c r="K202" i="23"/>
  <c r="O78" i="23"/>
  <c r="N19" i="23"/>
  <c r="L71" i="23"/>
  <c r="P194" i="23"/>
  <c r="D105" i="23"/>
  <c r="D146" i="23"/>
  <c r="D234" i="23"/>
  <c r="K180" i="23"/>
  <c r="P143" i="23"/>
  <c r="N197" i="23"/>
  <c r="D95" i="23"/>
  <c r="O221" i="23"/>
  <c r="O180" i="23"/>
  <c r="J119" i="23"/>
  <c r="N107" i="23"/>
  <c r="D168" i="23"/>
  <c r="B97" i="23"/>
  <c r="L174" i="23"/>
  <c r="J237" i="23"/>
  <c r="N90" i="23"/>
  <c r="J180" i="23"/>
  <c r="L179" i="23"/>
  <c r="N130" i="23"/>
  <c r="P25" i="23"/>
  <c r="J69" i="23"/>
  <c r="B154" i="23"/>
  <c r="K100" i="23"/>
  <c r="L37" i="23"/>
  <c r="P125" i="23"/>
  <c r="B169" i="23"/>
  <c r="N218" i="23"/>
  <c r="P148" i="23"/>
  <c r="N156" i="23"/>
  <c r="D129" i="23"/>
  <c r="K142" i="23"/>
  <c r="D145" i="23"/>
  <c r="O120" i="23"/>
  <c r="D52" i="23"/>
  <c r="L209" i="23"/>
  <c r="P154" i="23"/>
  <c r="K129" i="23"/>
  <c r="N181" i="23"/>
  <c r="P54" i="23"/>
  <c r="K149" i="23"/>
  <c r="B66" i="23"/>
  <c r="K12" i="23"/>
  <c r="L113" i="23"/>
  <c r="D205" i="23"/>
  <c r="D206" i="23"/>
  <c r="D72" i="23"/>
  <c r="K151" i="23"/>
  <c r="D225" i="23"/>
  <c r="K72" i="23"/>
  <c r="B141" i="23"/>
  <c r="L171" i="23"/>
  <c r="K33" i="23"/>
  <c r="P184" i="23"/>
  <c r="B12" i="23"/>
  <c r="P168" i="23"/>
  <c r="P35" i="23"/>
  <c r="K108" i="23"/>
  <c r="N104" i="23"/>
  <c r="B219" i="23"/>
  <c r="L120" i="23"/>
  <c r="J203" i="23"/>
  <c r="L9" i="23"/>
  <c r="J227" i="23"/>
  <c r="B153" i="23"/>
  <c r="O218" i="23"/>
  <c r="J181" i="23"/>
  <c r="L78" i="23"/>
  <c r="B44" i="23"/>
  <c r="B185" i="23"/>
  <c r="L182" i="23"/>
  <c r="N46" i="23"/>
  <c r="P178" i="23"/>
  <c r="N95" i="23"/>
  <c r="O197" i="23"/>
  <c r="N53" i="23"/>
  <c r="D203" i="23"/>
  <c r="N246" i="23"/>
  <c r="O123" i="23"/>
  <c r="O172" i="23"/>
  <c r="O238" i="23"/>
  <c r="K87" i="23"/>
  <c r="K46" i="23"/>
  <c r="O163" i="23"/>
  <c r="L24" i="23"/>
  <c r="N132" i="23"/>
  <c r="O14" i="23"/>
  <c r="N41" i="23"/>
  <c r="N85" i="23"/>
  <c r="J82" i="23"/>
  <c r="L228" i="23"/>
  <c r="D181" i="23"/>
  <c r="J115" i="23"/>
  <c r="J54" i="23"/>
  <c r="P157" i="23"/>
  <c r="B99" i="23"/>
  <c r="D101" i="23"/>
  <c r="P53" i="23"/>
  <c r="O176" i="23"/>
  <c r="K60" i="23"/>
  <c r="B73" i="23"/>
  <c r="L152" i="23"/>
  <c r="K98" i="23"/>
  <c r="N111" i="23"/>
  <c r="L16" i="23"/>
  <c r="J142" i="23"/>
  <c r="B131" i="23"/>
  <c r="L48" i="23"/>
  <c r="B100" i="23"/>
  <c r="M48" i="23" l="1"/>
  <c r="M16" i="23"/>
  <c r="M152" i="23"/>
  <c r="M228" i="23"/>
  <c r="M24" i="23"/>
  <c r="M182" i="23"/>
  <c r="M78" i="23"/>
  <c r="M9" i="23"/>
  <c r="M120" i="23"/>
  <c r="M171" i="23"/>
  <c r="M113" i="23"/>
  <c r="M209" i="23"/>
  <c r="M37" i="23"/>
  <c r="M179" i="23"/>
  <c r="M174" i="23"/>
  <c r="M71" i="23"/>
  <c r="M201" i="23"/>
  <c r="M143" i="23"/>
  <c r="M45" i="23"/>
  <c r="M158" i="23"/>
  <c r="M34" i="23"/>
  <c r="M47" i="23"/>
  <c r="M219" i="23"/>
  <c r="M64" i="23"/>
  <c r="M147" i="23"/>
  <c r="M36" i="23"/>
  <c r="M42" i="23"/>
  <c r="M170" i="23"/>
  <c r="M194" i="23"/>
  <c r="M90" i="23"/>
  <c r="M103" i="23"/>
  <c r="M88" i="23"/>
  <c r="M227" i="23"/>
  <c r="M186" i="23"/>
  <c r="M85" i="23"/>
  <c r="M236" i="23"/>
  <c r="M26" i="23"/>
  <c r="M110" i="23"/>
  <c r="M67" i="23"/>
  <c r="M206" i="23"/>
  <c r="M96" i="23"/>
  <c r="M189" i="23"/>
  <c r="M54" i="23"/>
  <c r="M79" i="23"/>
  <c r="M157" i="23"/>
  <c r="M121" i="23"/>
  <c r="M33" i="23"/>
  <c r="M242" i="23"/>
  <c r="M123" i="23"/>
  <c r="M7" i="23"/>
  <c r="M195" i="23"/>
  <c r="M207" i="23"/>
  <c r="M61" i="23"/>
  <c r="M163" i="23"/>
  <c r="M28" i="23"/>
  <c r="M235" i="23"/>
  <c r="M35" i="23"/>
  <c r="M245" i="23"/>
  <c r="M248" i="23"/>
  <c r="M74" i="23"/>
  <c r="M62" i="23"/>
  <c r="M13" i="23"/>
  <c r="M160" i="23"/>
  <c r="M178" i="23"/>
  <c r="M210" i="23"/>
  <c r="M92" i="23"/>
  <c r="M72" i="23"/>
  <c r="M211" i="23"/>
  <c r="M30" i="23"/>
  <c r="M199" i="23"/>
  <c r="M177" i="23"/>
  <c r="AB166" i="23"/>
  <c r="M198" i="23"/>
  <c r="M19" i="23"/>
  <c r="M175" i="23"/>
  <c r="M129" i="23"/>
  <c r="M148" i="23"/>
  <c r="M196" i="23"/>
  <c r="M68" i="23"/>
  <c r="M233" i="23"/>
  <c r="M41" i="23"/>
  <c r="M100" i="23"/>
  <c r="M213" i="23"/>
  <c r="M31" i="23"/>
  <c r="M112" i="23"/>
  <c r="M84" i="23"/>
  <c r="M238" i="23"/>
  <c r="M205" i="23"/>
  <c r="M153" i="23"/>
  <c r="M169" i="23"/>
  <c r="M80" i="23"/>
  <c r="M116" i="23"/>
  <c r="M122" i="23"/>
  <c r="M10" i="23"/>
  <c r="M52" i="23"/>
  <c r="M137" i="23"/>
  <c r="M75" i="23"/>
  <c r="M225" i="23"/>
  <c r="M150" i="23"/>
  <c r="M5" i="23"/>
  <c r="M58" i="23"/>
  <c r="M108" i="23"/>
  <c r="M138" i="23"/>
  <c r="M136" i="23"/>
  <c r="M234" i="23"/>
  <c r="M145" i="23"/>
  <c r="M183" i="23"/>
  <c r="M8" i="23"/>
  <c r="M134" i="23"/>
  <c r="M17" i="23"/>
  <c r="M191" i="23"/>
  <c r="M51" i="23"/>
  <c r="M22" i="23"/>
  <c r="M204" i="23"/>
  <c r="M107" i="23"/>
  <c r="M93" i="23"/>
  <c r="M184" i="23"/>
  <c r="M229" i="23"/>
  <c r="M6" i="23"/>
  <c r="M193" i="23"/>
  <c r="M104" i="23"/>
  <c r="M125" i="23"/>
  <c r="M181" i="23"/>
  <c r="M172" i="23"/>
  <c r="M144" i="23"/>
  <c r="M218" i="23"/>
  <c r="M105" i="23"/>
  <c r="M128" i="23"/>
  <c r="M212" i="23"/>
  <c r="M119" i="23"/>
  <c r="M40" i="23"/>
  <c r="M222" i="23"/>
  <c r="M106" i="23"/>
  <c r="M131" i="23"/>
  <c r="M89" i="23"/>
  <c r="M208" i="23"/>
  <c r="M127" i="23"/>
  <c r="M87" i="23"/>
  <c r="M73" i="23"/>
  <c r="M86" i="23"/>
  <c r="G38" i="23"/>
  <c r="M159" i="23"/>
  <c r="M223" i="23"/>
  <c r="M101" i="23"/>
  <c r="M166" i="23"/>
  <c r="M44" i="23"/>
  <c r="M14" i="23"/>
  <c r="M114" i="23"/>
  <c r="M217" i="23"/>
  <c r="M49" i="23"/>
  <c r="M39" i="23"/>
  <c r="M239" i="23"/>
  <c r="M50" i="23"/>
  <c r="M132" i="23"/>
  <c r="M32" i="23"/>
  <c r="M216" i="23"/>
  <c r="M29" i="23"/>
  <c r="M21" i="23"/>
  <c r="M176" i="23"/>
  <c r="M247" i="23"/>
  <c r="M215" i="23"/>
  <c r="M15" i="23"/>
  <c r="M249" i="23"/>
  <c r="M77" i="23"/>
  <c r="M165" i="23"/>
  <c r="M246" i="23"/>
  <c r="M162" i="23"/>
  <c r="M98" i="23"/>
  <c r="M230" i="23"/>
  <c r="M23" i="23"/>
  <c r="M56" i="23"/>
  <c r="M202" i="23"/>
  <c r="M241" i="23"/>
  <c r="M20" i="23"/>
  <c r="M141" i="23"/>
  <c r="M188" i="23"/>
  <c r="M168" i="23"/>
  <c r="M151" i="23"/>
  <c r="M244" i="23"/>
  <c r="M130" i="23"/>
  <c r="M126" i="23"/>
  <c r="M231" i="23"/>
  <c r="M18" i="23"/>
  <c r="M59" i="23"/>
  <c r="M53" i="23"/>
  <c r="M69" i="23"/>
  <c r="M243" i="23"/>
  <c r="M173" i="23"/>
  <c r="M185" i="23"/>
  <c r="M156" i="23"/>
  <c r="M167" i="23"/>
  <c r="M221" i="23"/>
  <c r="M164" i="23"/>
  <c r="M237" i="23"/>
  <c r="M187" i="23"/>
  <c r="M155" i="23"/>
  <c r="M224" i="23"/>
  <c r="M180" i="23"/>
  <c r="M57" i="23"/>
  <c r="M140" i="23"/>
  <c r="M95" i="23"/>
  <c r="M161" i="23"/>
  <c r="M232" i="23"/>
  <c r="M133" i="23"/>
  <c r="M135" i="23"/>
  <c r="M70" i="23"/>
  <c r="M66" i="23"/>
  <c r="M46" i="23"/>
  <c r="M203" i="23"/>
  <c r="M115" i="23"/>
  <c r="M82" i="23"/>
  <c r="M94" i="23"/>
  <c r="M11" i="23"/>
  <c r="M76" i="23"/>
  <c r="M124" i="23"/>
  <c r="M81" i="23"/>
  <c r="M214" i="23"/>
  <c r="M63" i="23"/>
  <c r="M43" i="23"/>
  <c r="M25" i="23"/>
  <c r="M111" i="23"/>
  <c r="M142" i="23"/>
  <c r="M65" i="23"/>
  <c r="M60" i="23"/>
  <c r="M192" i="23"/>
  <c r="M200" i="23"/>
  <c r="M27" i="23"/>
  <c r="M99" i="23"/>
  <c r="M154" i="23"/>
  <c r="M97" i="23"/>
  <c r="M197" i="23"/>
  <c r="M109" i="23"/>
  <c r="M220" i="23"/>
  <c r="M102" i="23"/>
  <c r="M117" i="23"/>
  <c r="M149" i="23"/>
  <c r="M146" i="23"/>
  <c r="M240" i="23"/>
  <c r="M91" i="23"/>
  <c r="M139" i="23"/>
  <c r="M83" i="23"/>
  <c r="M226" i="23"/>
  <c r="M190" i="23"/>
  <c r="M12" i="23"/>
  <c r="Q95" i="23"/>
  <c r="Q104" i="23"/>
  <c r="Q156" i="23"/>
  <c r="Q90" i="23"/>
  <c r="S143" i="23"/>
  <c r="R17" i="23"/>
  <c r="R229" i="23"/>
  <c r="R165" i="23"/>
  <c r="S95" i="23"/>
  <c r="R235" i="23"/>
  <c r="S42" i="23"/>
  <c r="S164" i="23"/>
  <c r="S233" i="23"/>
  <c r="R240" i="23"/>
  <c r="S12" i="23"/>
  <c r="S186" i="23"/>
  <c r="Q183" i="23"/>
  <c r="Q226" i="23"/>
  <c r="R178" i="23"/>
  <c r="S46" i="23"/>
  <c r="S232" i="23"/>
  <c r="R213" i="23"/>
  <c r="R102" i="23"/>
  <c r="Q211" i="23"/>
  <c r="S87" i="23"/>
  <c r="Q177" i="23"/>
  <c r="S93" i="23"/>
  <c r="R45" i="23"/>
  <c r="S36" i="23"/>
  <c r="S81" i="23"/>
  <c r="S217" i="23"/>
  <c r="Q14" i="23"/>
  <c r="S171" i="23"/>
  <c r="S51" i="23"/>
  <c r="S219" i="23"/>
  <c r="S10" i="23"/>
  <c r="S8" i="23"/>
  <c r="S124" i="23"/>
  <c r="Q166" i="23"/>
  <c r="S188" i="23"/>
  <c r="R59" i="23"/>
  <c r="S135" i="23"/>
  <c r="S200" i="23"/>
  <c r="S198" i="23"/>
  <c r="S5" i="23"/>
  <c r="R186" i="23"/>
  <c r="S117" i="23"/>
  <c r="R85" i="23"/>
  <c r="R70" i="23"/>
  <c r="S237" i="23"/>
  <c r="S239" i="23"/>
  <c r="Q129" i="23"/>
  <c r="S69" i="23"/>
  <c r="Q229" i="23"/>
  <c r="R28" i="23"/>
  <c r="Q44" i="23"/>
  <c r="R188" i="23"/>
  <c r="R160" i="23"/>
  <c r="S57" i="23"/>
  <c r="Q59" i="23"/>
  <c r="R117" i="23"/>
  <c r="R169" i="23"/>
  <c r="R6" i="23"/>
  <c r="S75" i="23"/>
  <c r="S140" i="23"/>
  <c r="Q204" i="23"/>
  <c r="S157" i="23"/>
  <c r="R163" i="23"/>
  <c r="S178" i="23"/>
  <c r="S35" i="23"/>
  <c r="S54" i="23"/>
  <c r="S148" i="23"/>
  <c r="S159" i="23"/>
  <c r="Q60" i="23"/>
  <c r="Q223" i="23"/>
  <c r="Q110" i="23"/>
  <c r="S115" i="23"/>
  <c r="R111" i="23"/>
  <c r="S173" i="23"/>
  <c r="S214" i="23"/>
  <c r="Q36" i="23"/>
  <c r="R155" i="23"/>
  <c r="Q173" i="23"/>
  <c r="Q109" i="23"/>
  <c r="Q120" i="23"/>
  <c r="Q26" i="23"/>
  <c r="R204" i="23"/>
  <c r="Q235" i="23"/>
  <c r="Q114" i="23"/>
  <c r="Q61" i="23"/>
  <c r="R217" i="23"/>
  <c r="S235" i="23"/>
  <c r="Q239" i="23"/>
  <c r="Q34" i="23"/>
  <c r="R138" i="23"/>
  <c r="Q35" i="23"/>
  <c r="Q180" i="23"/>
  <c r="Q161" i="23"/>
  <c r="S215" i="23"/>
  <c r="S229" i="23"/>
  <c r="S52" i="23"/>
  <c r="Q116" i="23"/>
  <c r="R192" i="23"/>
  <c r="S74" i="23"/>
  <c r="Q33" i="23"/>
  <c r="S64" i="23"/>
  <c r="Q158" i="23"/>
  <c r="S203" i="23"/>
  <c r="R167" i="23"/>
  <c r="R49" i="23"/>
  <c r="S210" i="23"/>
  <c r="R166" i="23"/>
  <c r="S109" i="23"/>
  <c r="S78" i="23"/>
  <c r="R77" i="23"/>
  <c r="R83" i="23"/>
  <c r="Q203" i="23"/>
  <c r="R52" i="23"/>
  <c r="S218" i="23"/>
  <c r="Q23" i="23"/>
  <c r="S86" i="23"/>
  <c r="R179" i="23"/>
  <c r="Q222" i="23"/>
  <c r="R143" i="23"/>
  <c r="S39" i="23"/>
  <c r="S238" i="23"/>
  <c r="R206" i="23"/>
  <c r="Q201" i="23"/>
  <c r="S48" i="23"/>
  <c r="R150" i="23"/>
  <c r="Q24" i="23"/>
  <c r="R231" i="23"/>
  <c r="R114" i="23"/>
  <c r="S128" i="23"/>
  <c r="S240" i="23"/>
  <c r="Q106" i="23"/>
  <c r="Q64" i="23"/>
  <c r="Q15" i="23"/>
  <c r="R185" i="23"/>
  <c r="Q135" i="23"/>
  <c r="S163" i="23"/>
  <c r="Q94" i="23"/>
  <c r="Q233" i="23"/>
  <c r="S18" i="23"/>
  <c r="S228" i="23"/>
  <c r="R50" i="23"/>
  <c r="Q171" i="23"/>
  <c r="Q230" i="23"/>
  <c r="Q98" i="23"/>
  <c r="Q221" i="23"/>
  <c r="S133" i="23"/>
  <c r="R148" i="23"/>
  <c r="S55" i="23"/>
  <c r="R238" i="23"/>
  <c r="Q46" i="23"/>
  <c r="S168" i="23"/>
  <c r="Q181" i="23"/>
  <c r="Q218" i="23"/>
  <c r="R96" i="23"/>
  <c r="S97" i="23"/>
  <c r="S174" i="23"/>
  <c r="R37" i="23"/>
  <c r="Q22" i="23"/>
  <c r="R20" i="23"/>
  <c r="S22" i="23"/>
  <c r="Q80" i="23"/>
  <c r="Q27" i="23"/>
  <c r="S220" i="23"/>
  <c r="S110" i="23"/>
  <c r="Q126" i="23"/>
  <c r="R48" i="23"/>
  <c r="R145" i="23"/>
  <c r="Q216" i="23"/>
  <c r="R33" i="23"/>
  <c r="S37" i="23"/>
  <c r="Q31" i="23"/>
  <c r="S155" i="23"/>
  <c r="Q196" i="23"/>
  <c r="S131" i="23"/>
  <c r="S153" i="23"/>
  <c r="R223" i="23"/>
  <c r="S243" i="23"/>
  <c r="Q212" i="23"/>
  <c r="S105" i="23"/>
  <c r="R81" i="23"/>
  <c r="Q54" i="23"/>
  <c r="R182" i="23"/>
  <c r="Q172" i="23"/>
  <c r="S44" i="23"/>
  <c r="R226" i="23"/>
  <c r="S20" i="23"/>
  <c r="R46" i="23"/>
  <c r="S196" i="23"/>
  <c r="R183" i="23"/>
  <c r="Q199" i="23"/>
  <c r="Q187" i="23"/>
  <c r="R195" i="23"/>
  <c r="R9" i="23"/>
  <c r="R54" i="23"/>
  <c r="S182" i="23"/>
  <c r="R25" i="23"/>
  <c r="R21" i="23"/>
  <c r="R149" i="23"/>
  <c r="R137" i="23"/>
  <c r="S96" i="23"/>
  <c r="Q164" i="23"/>
  <c r="R127" i="23"/>
  <c r="R142" i="23"/>
  <c r="S204" i="23"/>
  <c r="S169" i="23"/>
  <c r="S193" i="23"/>
  <c r="Q17" i="23"/>
  <c r="S79" i="23"/>
  <c r="S33" i="23"/>
  <c r="R22" i="23"/>
  <c r="R191" i="23"/>
  <c r="Q191" i="23"/>
  <c r="S185" i="23"/>
  <c r="I38" i="23"/>
  <c r="Q112" i="23"/>
  <c r="R193" i="23"/>
  <c r="S76" i="23"/>
  <c r="Q153" i="23"/>
  <c r="S126" i="23"/>
  <c r="R176" i="23"/>
  <c r="R14" i="23"/>
  <c r="Q53" i="23"/>
  <c r="R120" i="23"/>
  <c r="Q130" i="23"/>
  <c r="Q19" i="23"/>
  <c r="Q137" i="23"/>
  <c r="R216" i="23"/>
  <c r="Q124" i="23"/>
  <c r="Q182" i="23"/>
  <c r="R91" i="23"/>
  <c r="Q75" i="23"/>
  <c r="Q49" i="23"/>
  <c r="Q7" i="23"/>
  <c r="R42" i="23"/>
  <c r="R19" i="23"/>
  <c r="R68" i="23"/>
  <c r="S70" i="23"/>
  <c r="S72" i="23"/>
  <c r="R211" i="23"/>
  <c r="Q74" i="23"/>
  <c r="Q169" i="23"/>
  <c r="Q227" i="23"/>
  <c r="R129" i="23"/>
  <c r="S249" i="23"/>
  <c r="Q48" i="23"/>
  <c r="Q113" i="23"/>
  <c r="Q208" i="23"/>
  <c r="R58" i="23"/>
  <c r="S62" i="23"/>
  <c r="R189" i="23"/>
  <c r="S34" i="23"/>
  <c r="S247" i="23"/>
  <c r="Q8" i="23"/>
  <c r="R136" i="23"/>
  <c r="S67" i="23"/>
  <c r="S92" i="23"/>
  <c r="R159" i="23"/>
  <c r="R69" i="23"/>
  <c r="Q185" i="23"/>
  <c r="Q57" i="23"/>
  <c r="R237" i="23"/>
  <c r="Q127" i="23"/>
  <c r="Q167" i="23"/>
  <c r="S94" i="23"/>
  <c r="R212" i="23"/>
  <c r="R93" i="23"/>
  <c r="Q237" i="23"/>
  <c r="Q140" i="23"/>
  <c r="Q21" i="23"/>
  <c r="R90" i="23"/>
  <c r="R203" i="23"/>
  <c r="S221" i="23"/>
  <c r="S149" i="23"/>
  <c r="S73" i="23"/>
  <c r="R13" i="23"/>
  <c r="Q121" i="23"/>
  <c r="Q43" i="23"/>
  <c r="S91" i="23"/>
  <c r="S32" i="23"/>
  <c r="R76" i="23"/>
  <c r="S49" i="23"/>
  <c r="S142" i="23"/>
  <c r="S166" i="23"/>
  <c r="R177" i="23"/>
  <c r="S136" i="23"/>
  <c r="Q224" i="23"/>
  <c r="R16" i="23"/>
  <c r="R175" i="23"/>
  <c r="S144" i="23"/>
  <c r="Q219" i="23"/>
  <c r="R39" i="23"/>
  <c r="R162" i="23"/>
  <c r="Q244" i="23"/>
  <c r="R15" i="23"/>
  <c r="S156" i="23"/>
  <c r="R244" i="23"/>
  <c r="S170" i="23"/>
  <c r="S160" i="23"/>
  <c r="S201" i="23"/>
  <c r="R89" i="23"/>
  <c r="R210" i="23"/>
  <c r="Q163" i="23"/>
  <c r="S199" i="23"/>
  <c r="S192" i="23"/>
  <c r="R225" i="23"/>
  <c r="R41" i="23"/>
  <c r="Q32" i="23"/>
  <c r="Q139" i="23"/>
  <c r="S130" i="23"/>
  <c r="Q246" i="23"/>
  <c r="R180" i="23"/>
  <c r="R7" i="23"/>
  <c r="R113" i="23"/>
  <c r="Q93" i="23"/>
  <c r="S104" i="23"/>
  <c r="R26" i="23"/>
  <c r="Q86" i="23"/>
  <c r="Q96" i="23"/>
  <c r="Q175" i="23"/>
  <c r="Q87" i="23"/>
  <c r="S150" i="23"/>
  <c r="S119" i="23"/>
  <c r="Q84" i="23"/>
  <c r="S225" i="23"/>
  <c r="R87" i="23"/>
  <c r="S176" i="23"/>
  <c r="R99" i="23"/>
  <c r="Q5" i="23"/>
  <c r="S82" i="23"/>
  <c r="S68" i="23"/>
  <c r="Q220" i="23"/>
  <c r="R40" i="23"/>
  <c r="Q37" i="23"/>
  <c r="Q189" i="23"/>
  <c r="S146" i="23"/>
  <c r="R8" i="23"/>
  <c r="R86" i="23"/>
  <c r="S236" i="23"/>
  <c r="S241" i="23"/>
  <c r="S175" i="23"/>
  <c r="Q150" i="23"/>
  <c r="Q108" i="23"/>
  <c r="R100" i="23"/>
  <c r="S112" i="23"/>
  <c r="Q209" i="23"/>
  <c r="Q184" i="23"/>
  <c r="Q51" i="23"/>
  <c r="R71" i="23"/>
  <c r="Q91" i="23"/>
  <c r="R198" i="23"/>
  <c r="S71" i="23"/>
  <c r="R241" i="23"/>
  <c r="S9" i="23"/>
  <c r="S88" i="23"/>
  <c r="S197" i="23"/>
  <c r="R109" i="23"/>
  <c r="Q213" i="23"/>
  <c r="S151" i="23"/>
  <c r="Q141" i="23"/>
  <c r="S191" i="23"/>
  <c r="Q134" i="23"/>
  <c r="R105" i="23"/>
  <c r="R232" i="23"/>
  <c r="S152" i="23"/>
  <c r="Q85" i="23"/>
  <c r="S56" i="23"/>
  <c r="S107" i="23"/>
  <c r="Q200" i="23"/>
  <c r="R132" i="23"/>
  <c r="R57" i="23"/>
  <c r="S80" i="23"/>
  <c r="R201" i="23"/>
  <c r="S28" i="23"/>
  <c r="Q215" i="23"/>
  <c r="S43" i="23"/>
  <c r="Q30" i="23"/>
  <c r="R156" i="23"/>
  <c r="Q159" i="23"/>
  <c r="S63" i="23"/>
  <c r="R170" i="23"/>
  <c r="Q245" i="23"/>
  <c r="S41" i="23"/>
  <c r="Q10" i="23"/>
  <c r="Q236" i="23"/>
  <c r="R219" i="23"/>
  <c r="R144" i="23"/>
  <c r="R187" i="23"/>
  <c r="Q41" i="23"/>
  <c r="S25" i="23"/>
  <c r="R121" i="23"/>
  <c r="R11" i="23"/>
  <c r="R34" i="23"/>
  <c r="Q147" i="23"/>
  <c r="Q178" i="23"/>
  <c r="S102" i="23"/>
  <c r="S223" i="23"/>
  <c r="Q50" i="23"/>
  <c r="R130" i="23"/>
  <c r="R200" i="23"/>
  <c r="S141" i="23"/>
  <c r="Q214" i="23"/>
  <c r="R67" i="23"/>
  <c r="Q128" i="23"/>
  <c r="S16" i="23"/>
  <c r="Q157" i="23"/>
  <c r="Q73" i="23"/>
  <c r="Q65" i="23"/>
  <c r="Q89" i="23"/>
  <c r="R234" i="23"/>
  <c r="R95" i="23"/>
  <c r="Q162" i="23"/>
  <c r="R84" i="23"/>
  <c r="Q56" i="23"/>
  <c r="R197" i="23"/>
  <c r="S125" i="23"/>
  <c r="R221" i="23"/>
  <c r="R78" i="23"/>
  <c r="S120" i="23"/>
  <c r="S50" i="23"/>
  <c r="R171" i="23"/>
  <c r="S108" i="23"/>
  <c r="S211" i="23"/>
  <c r="R199" i="23"/>
  <c r="S84" i="23"/>
  <c r="R161" i="23"/>
  <c r="R181" i="23"/>
  <c r="R108" i="23"/>
  <c r="R56" i="23"/>
  <c r="Q232" i="23"/>
  <c r="S187" i="23"/>
  <c r="R104" i="23"/>
  <c r="Q122" i="23"/>
  <c r="Q71" i="23"/>
  <c r="S127" i="23"/>
  <c r="Q119" i="23"/>
  <c r="R249" i="23"/>
  <c r="S59" i="23"/>
  <c r="R79" i="23"/>
  <c r="S61" i="23"/>
  <c r="R36" i="23"/>
  <c r="Q11" i="23"/>
  <c r="Q231" i="23"/>
  <c r="S137" i="23"/>
  <c r="R88" i="23"/>
  <c r="S248" i="23"/>
  <c r="Q234" i="23"/>
  <c r="R157" i="23"/>
  <c r="S98" i="23"/>
  <c r="R23" i="23"/>
  <c r="R194" i="23"/>
  <c r="S123" i="23"/>
  <c r="R44" i="23"/>
  <c r="S90" i="23"/>
  <c r="Q179" i="23"/>
  <c r="R30" i="23"/>
  <c r="S245" i="23"/>
  <c r="R60" i="23"/>
  <c r="R27" i="23"/>
  <c r="S77" i="23"/>
  <c r="Q47" i="23"/>
  <c r="S65" i="23"/>
  <c r="S227" i="23"/>
  <c r="S118" i="23"/>
  <c r="S11" i="23"/>
  <c r="Q207" i="23"/>
  <c r="R106" i="23"/>
  <c r="Q102" i="23"/>
  <c r="R152" i="23"/>
  <c r="R103" i="23"/>
  <c r="S138" i="23"/>
  <c r="S202" i="23"/>
  <c r="S129" i="23"/>
  <c r="S183" i="23"/>
  <c r="S216" i="23"/>
  <c r="Q145" i="23"/>
  <c r="S17" i="23"/>
  <c r="Q100" i="23"/>
  <c r="R74" i="23"/>
  <c r="Q136" i="23"/>
  <c r="S222" i="23"/>
  <c r="Q197" i="23"/>
  <c r="Q79" i="23"/>
  <c r="S139" i="23"/>
  <c r="Q39" i="23"/>
  <c r="R214" i="23"/>
  <c r="Q9" i="23"/>
  <c r="S31" i="23"/>
  <c r="Q42" i="23"/>
  <c r="R164" i="23"/>
  <c r="R202" i="23"/>
  <c r="Q241" i="23"/>
  <c r="R131" i="23"/>
  <c r="R153" i="23"/>
  <c r="S66" i="23"/>
  <c r="R53" i="23"/>
  <c r="Q88" i="23"/>
  <c r="S30" i="23"/>
  <c r="S7" i="23"/>
  <c r="R147" i="23"/>
  <c r="S208" i="23"/>
  <c r="Q198" i="23"/>
  <c r="Q154" i="23"/>
  <c r="S24" i="23"/>
  <c r="R243" i="23"/>
  <c r="Q238" i="23"/>
  <c r="S26" i="23"/>
  <c r="Q105" i="23"/>
  <c r="R184" i="23"/>
  <c r="S177" i="23"/>
  <c r="S21" i="23"/>
  <c r="R62" i="23"/>
  <c r="R218" i="23"/>
  <c r="Q138" i="23"/>
  <c r="Q99" i="23"/>
  <c r="S23" i="23"/>
  <c r="Q151" i="23"/>
  <c r="Q52" i="23"/>
  <c r="R209" i="23"/>
  <c r="S234" i="23"/>
  <c r="S172" i="23"/>
  <c r="Q248" i="23"/>
  <c r="S162" i="23"/>
  <c r="Q149" i="23"/>
  <c r="Q67" i="23"/>
  <c r="Q210" i="23"/>
  <c r="S15" i="23"/>
  <c r="Q144" i="23"/>
  <c r="S85" i="23"/>
  <c r="Q72" i="23"/>
  <c r="R66" i="23"/>
  <c r="Q160" i="23"/>
  <c r="S213" i="23"/>
  <c r="Q146" i="23"/>
  <c r="R134" i="23"/>
  <c r="R29" i="23"/>
  <c r="R63" i="23"/>
  <c r="Q249" i="23"/>
  <c r="Q125" i="23"/>
  <c r="S40" i="23"/>
  <c r="S230" i="23"/>
  <c r="Q228" i="23"/>
  <c r="R101" i="23"/>
  <c r="S114" i="23"/>
  <c r="R123" i="23"/>
  <c r="Q68" i="23"/>
  <c r="Q131" i="23"/>
  <c r="S244" i="23"/>
  <c r="Q83" i="23"/>
  <c r="R230" i="23"/>
  <c r="R10" i="23"/>
  <c r="R12" i="23"/>
  <c r="S27" i="23"/>
  <c r="R141" i="23"/>
  <c r="Q103" i="23"/>
  <c r="Q78" i="23"/>
  <c r="S154" i="23"/>
  <c r="Q107" i="23"/>
  <c r="Q29" i="23"/>
  <c r="Q117" i="23"/>
  <c r="Q92" i="23"/>
  <c r="R98" i="23"/>
  <c r="R135" i="23"/>
  <c r="S205" i="23"/>
  <c r="R97" i="23"/>
  <c r="S58" i="23"/>
  <c r="Q6" i="23"/>
  <c r="R190" i="23"/>
  <c r="Q142" i="23"/>
  <c r="S180" i="23"/>
  <c r="Q76" i="23"/>
  <c r="R139" i="23"/>
  <c r="Q176" i="23"/>
  <c r="R126" i="23"/>
  <c r="R196" i="23"/>
  <c r="Q18" i="23"/>
  <c r="S45" i="23"/>
  <c r="R122" i="23"/>
  <c r="Q123" i="23"/>
  <c r="Q205" i="23"/>
  <c r="Q195" i="23"/>
  <c r="S184" i="23"/>
  <c r="S134" i="23"/>
  <c r="Q242" i="23"/>
  <c r="R168" i="23"/>
  <c r="S83" i="23"/>
  <c r="S13" i="23"/>
  <c r="R115" i="23"/>
  <c r="S103" i="23"/>
  <c r="R172" i="23"/>
  <c r="Q82" i="23"/>
  <c r="R112" i="23"/>
  <c r="Q247" i="23"/>
  <c r="R35" i="23"/>
  <c r="Q132" i="23"/>
  <c r="Q217" i="23"/>
  <c r="S167" i="23"/>
  <c r="R174" i="23"/>
  <c r="R51" i="23"/>
  <c r="Q133" i="23"/>
  <c r="Q16" i="23"/>
  <c r="S165" i="23"/>
  <c r="R222" i="23"/>
  <c r="Q188" i="23"/>
  <c r="S99" i="23"/>
  <c r="Q63" i="23"/>
  <c r="R18" i="23"/>
  <c r="S189" i="23"/>
  <c r="Q25" i="23"/>
  <c r="R47" i="23"/>
  <c r="Q174" i="23"/>
  <c r="Q58" i="23"/>
  <c r="S29" i="23"/>
  <c r="R227" i="23"/>
  <c r="S224" i="23"/>
  <c r="S121" i="23"/>
  <c r="Q28" i="23"/>
  <c r="Q152" i="23"/>
  <c r="S89" i="23"/>
  <c r="S206" i="23"/>
  <c r="Q192" i="23"/>
  <c r="Q62" i="23"/>
  <c r="Q148" i="23"/>
  <c r="Q193" i="23"/>
  <c r="S226" i="23"/>
  <c r="R158" i="23"/>
  <c r="R248" i="23"/>
  <c r="Q97" i="23"/>
  <c r="Q40" i="23"/>
  <c r="R75" i="23"/>
  <c r="R94" i="23"/>
  <c r="Q45" i="23"/>
  <c r="R73" i="23"/>
  <c r="R173" i="23"/>
  <c r="Q155" i="23"/>
  <c r="R220" i="23"/>
  <c r="S195" i="23"/>
  <c r="S53" i="23"/>
  <c r="S194" i="23"/>
  <c r="S207" i="23"/>
  <c r="R247" i="23"/>
  <c r="Q115" i="23"/>
  <c r="S111" i="23"/>
  <c r="R107" i="23"/>
  <c r="S179" i="23"/>
  <c r="R65" i="23"/>
  <c r="Q202" i="23"/>
  <c r="R239" i="23"/>
  <c r="R233" i="23"/>
  <c r="Q66" i="23"/>
  <c r="Q81" i="23"/>
  <c r="S6" i="23"/>
  <c r="R72" i="23"/>
  <c r="R228" i="23"/>
  <c r="R64" i="23"/>
  <c r="S116" i="23"/>
  <c r="R133" i="23"/>
  <c r="S145" i="23"/>
  <c r="Q13" i="23"/>
  <c r="S100" i="23"/>
  <c r="R24" i="23"/>
  <c r="R43" i="23"/>
  <c r="R82" i="23"/>
  <c r="R125" i="23"/>
  <c r="S113" i="23"/>
  <c r="Q69" i="23"/>
  <c r="Q240" i="23"/>
  <c r="R151" i="23"/>
  <c r="S209" i="23"/>
  <c r="R146" i="23"/>
  <c r="S19" i="23"/>
  <c r="S181" i="23"/>
  <c r="S122" i="23"/>
  <c r="R236" i="23"/>
  <c r="R128" i="23"/>
  <c r="R224" i="23"/>
  <c r="R116" i="23"/>
  <c r="S147" i="23"/>
  <c r="R215" i="23"/>
  <c r="S158" i="23"/>
  <c r="Q101" i="23"/>
  <c r="Q168" i="23"/>
  <c r="Q190" i="23"/>
  <c r="S161" i="23"/>
  <c r="S132" i="23"/>
  <c r="R61" i="23"/>
  <c r="R140" i="23"/>
  <c r="S106" i="23"/>
  <c r="Q186" i="23"/>
  <c r="R246" i="23"/>
  <c r="Q194" i="23"/>
  <c r="S47" i="23"/>
  <c r="R207" i="23"/>
  <c r="Q20" i="23"/>
  <c r="Q206" i="23"/>
  <c r="Q143" i="23"/>
  <c r="R208" i="23"/>
  <c r="S190" i="23"/>
  <c r="R92" i="23"/>
  <c r="Q225" i="23"/>
  <c r="R80" i="23"/>
  <c r="S101" i="23"/>
  <c r="R5" i="23"/>
  <c r="Q111" i="23"/>
  <c r="S242" i="23"/>
  <c r="S60" i="23"/>
  <c r="Q170" i="23"/>
  <c r="R124" i="23"/>
  <c r="R31" i="23"/>
  <c r="Q165" i="23"/>
  <c r="R154" i="23"/>
  <c r="S231" i="23"/>
  <c r="S14" i="23"/>
  <c r="R32" i="23"/>
  <c r="Q77" i="23"/>
  <c r="S246" i="23"/>
  <c r="R245" i="23"/>
  <c r="R242" i="23"/>
  <c r="R110" i="23"/>
  <c r="R119" i="23"/>
  <c r="Q70" i="23"/>
  <c r="S212" i="23"/>
  <c r="R205" i="23"/>
  <c r="Q243" i="23"/>
  <c r="Q12" i="23"/>
  <c r="E12" i="23" l="1"/>
  <c r="E243" i="23"/>
  <c r="F205" i="23"/>
  <c r="G212" i="23"/>
  <c r="E70" i="23"/>
  <c r="F43" i="7" s="1"/>
  <c r="F119" i="23"/>
  <c r="F110" i="23"/>
  <c r="F242" i="23"/>
  <c r="F245" i="23"/>
  <c r="G246" i="23"/>
  <c r="E77" i="23"/>
  <c r="F32" i="23"/>
  <c r="G14" i="23"/>
  <c r="G231" i="23"/>
  <c r="F154" i="23"/>
  <c r="E165" i="23"/>
  <c r="F31" i="23"/>
  <c r="F124" i="23"/>
  <c r="E170" i="23"/>
  <c r="G60" i="23"/>
  <c r="G242" i="23"/>
  <c r="E111" i="23"/>
  <c r="F68" i="7" s="1"/>
  <c r="F5" i="23"/>
  <c r="G101" i="23"/>
  <c r="F80" i="23"/>
  <c r="E225" i="23"/>
  <c r="F92" i="23"/>
  <c r="G190" i="23"/>
  <c r="F208" i="23"/>
  <c r="E143" i="23"/>
  <c r="E206" i="23"/>
  <c r="E20" i="23"/>
  <c r="F207" i="23"/>
  <c r="G47" i="23"/>
  <c r="E194" i="23"/>
  <c r="F246" i="23"/>
  <c r="E186" i="23"/>
  <c r="G106" i="23"/>
  <c r="F140" i="23"/>
  <c r="F61" i="23"/>
  <c r="G36" i="7" s="1"/>
  <c r="G132" i="23"/>
  <c r="G161" i="23"/>
  <c r="E190" i="23"/>
  <c r="E168" i="23"/>
  <c r="E101" i="23"/>
  <c r="G158" i="23"/>
  <c r="F215" i="23"/>
  <c r="G147" i="23"/>
  <c r="F116" i="23"/>
  <c r="G71" i="7" s="1"/>
  <c r="F224" i="23"/>
  <c r="F128" i="23"/>
  <c r="F236" i="23"/>
  <c r="G122" i="23"/>
  <c r="G181" i="23"/>
  <c r="G19" i="23"/>
  <c r="F146" i="23"/>
  <c r="G209" i="23"/>
  <c r="F151" i="23"/>
  <c r="E240" i="23"/>
  <c r="E69" i="23"/>
  <c r="G113" i="23"/>
  <c r="F125" i="23"/>
  <c r="F82" i="23"/>
  <c r="G51" i="7" s="1"/>
  <c r="F43" i="23"/>
  <c r="F24" i="23"/>
  <c r="G100" i="23"/>
  <c r="H62" i="7" s="1"/>
  <c r="E13" i="23"/>
  <c r="G145" i="23"/>
  <c r="F133" i="23"/>
  <c r="G116" i="23"/>
  <c r="H71" i="7" s="1"/>
  <c r="F64" i="23"/>
  <c r="G39" i="7" s="1"/>
  <c r="F228" i="23"/>
  <c r="F72" i="23"/>
  <c r="G6" i="23"/>
  <c r="E81" i="23"/>
  <c r="E66" i="23"/>
  <c r="F233" i="23"/>
  <c r="F239" i="23"/>
  <c r="E202" i="23"/>
  <c r="F65" i="23"/>
  <c r="G179" i="23"/>
  <c r="F107" i="23"/>
  <c r="G111" i="23"/>
  <c r="H68" i="7" s="1"/>
  <c r="E115" i="23"/>
  <c r="F247" i="23"/>
  <c r="G207" i="23"/>
  <c r="G194" i="23"/>
  <c r="G53" i="23"/>
  <c r="G195" i="23"/>
  <c r="F220" i="23"/>
  <c r="E155" i="23"/>
  <c r="F173" i="23"/>
  <c r="F73" i="23"/>
  <c r="G45" i="7" s="1"/>
  <c r="E45" i="23"/>
  <c r="F94" i="23"/>
  <c r="F75" i="23"/>
  <c r="E40" i="23"/>
  <c r="E97" i="23"/>
  <c r="F60" i="7" s="1"/>
  <c r="F248" i="23"/>
  <c r="F158" i="23"/>
  <c r="G226" i="23"/>
  <c r="E193" i="23"/>
  <c r="E148" i="23"/>
  <c r="E62" i="23"/>
  <c r="E192" i="23"/>
  <c r="G206" i="23"/>
  <c r="G89" i="23"/>
  <c r="E152" i="23"/>
  <c r="E28" i="23"/>
  <c r="G121" i="23"/>
  <c r="G224" i="23"/>
  <c r="F227" i="23"/>
  <c r="G29" i="23"/>
  <c r="E58" i="23"/>
  <c r="E174" i="23"/>
  <c r="F47" i="23"/>
  <c r="E25" i="23"/>
  <c r="G189" i="23"/>
  <c r="F18" i="23"/>
  <c r="E63" i="23"/>
  <c r="G99" i="23"/>
  <c r="E188" i="23"/>
  <c r="F222" i="23"/>
  <c r="G165" i="23"/>
  <c r="E16" i="23"/>
  <c r="E133" i="23"/>
  <c r="F51" i="23"/>
  <c r="F174" i="23"/>
  <c r="G167" i="23"/>
  <c r="E217" i="23"/>
  <c r="E132" i="23"/>
  <c r="F35" i="23"/>
  <c r="E247" i="23"/>
  <c r="F112" i="23"/>
  <c r="G69" i="7" s="1"/>
  <c r="E82" i="23"/>
  <c r="F51" i="7" s="1"/>
  <c r="F172" i="23"/>
  <c r="G103" i="23"/>
  <c r="F115" i="23"/>
  <c r="G13" i="23"/>
  <c r="G83" i="23"/>
  <c r="F168" i="23"/>
  <c r="E242" i="23"/>
  <c r="G134" i="23"/>
  <c r="G184" i="23"/>
  <c r="E195" i="23"/>
  <c r="E205" i="23"/>
  <c r="E123" i="23"/>
  <c r="F122" i="23"/>
  <c r="G45" i="23"/>
  <c r="E18" i="23"/>
  <c r="F196" i="23"/>
  <c r="F126" i="23"/>
  <c r="E176" i="23"/>
  <c r="F139" i="23"/>
  <c r="E76" i="23"/>
  <c r="G180" i="23"/>
  <c r="E142" i="23"/>
  <c r="F190" i="23"/>
  <c r="E6" i="23"/>
  <c r="G58" i="23"/>
  <c r="F97" i="23"/>
  <c r="G60" i="7" s="1"/>
  <c r="G205" i="23"/>
  <c r="F135" i="23"/>
  <c r="F98" i="23"/>
  <c r="G61" i="7" s="1"/>
  <c r="E92" i="23"/>
  <c r="E117" i="23"/>
  <c r="F72" i="7" s="1"/>
  <c r="E29" i="23"/>
  <c r="E107" i="23"/>
  <c r="G154" i="23"/>
  <c r="E78" i="23"/>
  <c r="E103" i="23"/>
  <c r="F141" i="23"/>
  <c r="G27" i="23"/>
  <c r="F12" i="23"/>
  <c r="F10" i="23"/>
  <c r="F230" i="23"/>
  <c r="E83" i="23"/>
  <c r="G244" i="23"/>
  <c r="E131" i="23"/>
  <c r="E68" i="23"/>
  <c r="F123" i="23"/>
  <c r="G114" i="23"/>
  <c r="H70" i="7" s="1"/>
  <c r="F101" i="23"/>
  <c r="E228" i="23"/>
  <c r="G230" i="23"/>
  <c r="G40" i="23"/>
  <c r="E125" i="23"/>
  <c r="E249" i="23"/>
  <c r="F63" i="23"/>
  <c r="G38" i="7" s="1"/>
  <c r="F29" i="23"/>
  <c r="F134" i="23"/>
  <c r="E146" i="23"/>
  <c r="G213" i="23"/>
  <c r="E160" i="23"/>
  <c r="F66" i="23"/>
  <c r="G40" i="7" s="1"/>
  <c r="E72" i="23"/>
  <c r="G85" i="23"/>
  <c r="E144" i="23"/>
  <c r="G15" i="23"/>
  <c r="E210" i="23"/>
  <c r="E67" i="23"/>
  <c r="E149" i="23"/>
  <c r="G162" i="23"/>
  <c r="E248" i="23"/>
  <c r="G172" i="23"/>
  <c r="G234" i="23"/>
  <c r="F209" i="23"/>
  <c r="E52" i="23"/>
  <c r="E151" i="23"/>
  <c r="G23" i="23"/>
  <c r="E99" i="23"/>
  <c r="E138" i="23"/>
  <c r="F218" i="23"/>
  <c r="F62" i="23"/>
  <c r="G37" i="7" s="1"/>
  <c r="G21" i="23"/>
  <c r="G177" i="23"/>
  <c r="F184" i="23"/>
  <c r="E105" i="23"/>
  <c r="F65" i="7" s="1"/>
  <c r="G26" i="23"/>
  <c r="E238" i="23"/>
  <c r="F243" i="23"/>
  <c r="G24" i="23"/>
  <c r="E154" i="23"/>
  <c r="E198" i="23"/>
  <c r="G208" i="23"/>
  <c r="F147" i="23"/>
  <c r="G7" i="23"/>
  <c r="G30" i="23"/>
  <c r="E88" i="23"/>
  <c r="F53" i="23"/>
  <c r="G66" i="23"/>
  <c r="F153" i="23"/>
  <c r="F131" i="23"/>
  <c r="E241" i="23"/>
  <c r="F202" i="23"/>
  <c r="F164" i="23"/>
  <c r="E42" i="23"/>
  <c r="G31" i="23"/>
  <c r="E9" i="23"/>
  <c r="F214" i="23"/>
  <c r="E39" i="23"/>
  <c r="G139" i="23"/>
  <c r="E79" i="23"/>
  <c r="E197" i="23"/>
  <c r="G222" i="23"/>
  <c r="E136" i="23"/>
  <c r="F74" i="23"/>
  <c r="G46" i="7" s="1"/>
  <c r="E100" i="23"/>
  <c r="F62" i="7" s="1"/>
  <c r="G17" i="23"/>
  <c r="E145" i="23"/>
  <c r="G216" i="23"/>
  <c r="G183" i="23"/>
  <c r="G129" i="23"/>
  <c r="G202" i="23"/>
  <c r="G138" i="23"/>
  <c r="F103" i="23"/>
  <c r="F152" i="23"/>
  <c r="E102" i="23"/>
  <c r="F63" i="7" s="1"/>
  <c r="F106" i="23"/>
  <c r="E207" i="23"/>
  <c r="G11" i="23"/>
  <c r="G118" i="23"/>
  <c r="G227" i="23"/>
  <c r="G65" i="23"/>
  <c r="E47" i="23"/>
  <c r="G77" i="23"/>
  <c r="F27" i="23"/>
  <c r="F60" i="23"/>
  <c r="G245" i="23"/>
  <c r="F30" i="23"/>
  <c r="E179" i="23"/>
  <c r="G90" i="23"/>
  <c r="H55" i="7" s="1"/>
  <c r="F44" i="23"/>
  <c r="G123" i="23"/>
  <c r="F194" i="23"/>
  <c r="F23" i="23"/>
  <c r="G98" i="23"/>
  <c r="H61" i="7" s="1"/>
  <c r="F157" i="23"/>
  <c r="E234" i="23"/>
  <c r="G248" i="23"/>
  <c r="F88" i="23"/>
  <c r="G137" i="23"/>
  <c r="E231" i="23"/>
  <c r="E11" i="23"/>
  <c r="F36" i="23"/>
  <c r="G61" i="23"/>
  <c r="F79" i="23"/>
  <c r="G49" i="7" s="1"/>
  <c r="G59" i="23"/>
  <c r="F249" i="23"/>
  <c r="E119" i="23"/>
  <c r="G127" i="23"/>
  <c r="E71" i="23"/>
  <c r="E122" i="23"/>
  <c r="F104" i="23"/>
  <c r="G64" i="7" s="1"/>
  <c r="G187" i="23"/>
  <c r="E232" i="23"/>
  <c r="F56" i="23"/>
  <c r="G33" i="7" s="1"/>
  <c r="F108" i="23"/>
  <c r="G66" i="7" s="1"/>
  <c r="F181" i="23"/>
  <c r="F161" i="23"/>
  <c r="G84" i="23"/>
  <c r="H52" i="7" s="1"/>
  <c r="F199" i="23"/>
  <c r="G211" i="23"/>
  <c r="G108" i="23"/>
  <c r="H66" i="7" s="1"/>
  <c r="F171" i="23"/>
  <c r="G50" i="23"/>
  <c r="G120" i="23"/>
  <c r="F78" i="23"/>
  <c r="F221" i="23"/>
  <c r="G125" i="23"/>
  <c r="F197" i="23"/>
  <c r="E56" i="23"/>
  <c r="F84" i="23"/>
  <c r="G52" i="7" s="1"/>
  <c r="E162" i="23"/>
  <c r="F95" i="23"/>
  <c r="G58" i="7" s="1"/>
  <c r="F234" i="23"/>
  <c r="E89" i="23"/>
  <c r="E65" i="23"/>
  <c r="E73" i="23"/>
  <c r="F45" i="7" s="1"/>
  <c r="E157" i="23"/>
  <c r="G16" i="23"/>
  <c r="E128" i="23"/>
  <c r="F67" i="23"/>
  <c r="G41" i="7" s="1"/>
  <c r="E214" i="23"/>
  <c r="G141" i="23"/>
  <c r="F200" i="23"/>
  <c r="F130" i="23"/>
  <c r="E50" i="23"/>
  <c r="G223" i="23"/>
  <c r="G102" i="23"/>
  <c r="H63" i="7" s="1"/>
  <c r="E178" i="23"/>
  <c r="E147" i="23"/>
  <c r="F34" i="23"/>
  <c r="F11" i="23"/>
  <c r="F121" i="23"/>
  <c r="G25" i="23"/>
  <c r="E41" i="23"/>
  <c r="F187" i="23"/>
  <c r="F144" i="23"/>
  <c r="F219" i="23"/>
  <c r="E236" i="23"/>
  <c r="E10" i="23"/>
  <c r="G41" i="23"/>
  <c r="E245" i="23"/>
  <c r="F170" i="23"/>
  <c r="G63" i="23"/>
  <c r="E159" i="23"/>
  <c r="F156" i="23"/>
  <c r="E30" i="23"/>
  <c r="G43" i="23"/>
  <c r="E215" i="23"/>
  <c r="G28" i="23"/>
  <c r="F201" i="23"/>
  <c r="G80" i="23"/>
  <c r="F57" i="23"/>
  <c r="F132" i="23"/>
  <c r="E200" i="23"/>
  <c r="G107" i="23"/>
  <c r="G56" i="23"/>
  <c r="E85" i="23"/>
  <c r="G152" i="23"/>
  <c r="F232" i="23"/>
  <c r="F105" i="23"/>
  <c r="G65" i="7" s="1"/>
  <c r="E134" i="23"/>
  <c r="G191" i="23"/>
  <c r="E141" i="23"/>
  <c r="G151" i="23"/>
  <c r="E213" i="23"/>
  <c r="F109" i="23"/>
  <c r="G67" i="7" s="1"/>
  <c r="G197" i="23"/>
  <c r="G88" i="23"/>
  <c r="G9" i="23"/>
  <c r="F241" i="23"/>
  <c r="G71" i="23"/>
  <c r="F198" i="23"/>
  <c r="E91" i="23"/>
  <c r="F71" i="23"/>
  <c r="G44" i="7" s="1"/>
  <c r="E51" i="23"/>
  <c r="E184" i="23"/>
  <c r="E209" i="23"/>
  <c r="G112" i="23"/>
  <c r="F100" i="23"/>
  <c r="G62" i="7" s="1"/>
  <c r="E108" i="23"/>
  <c r="F66" i="7" s="1"/>
  <c r="E150" i="23"/>
  <c r="G175" i="23"/>
  <c r="G241" i="23"/>
  <c r="G236" i="23"/>
  <c r="F86" i="23"/>
  <c r="G53" i="7" s="1"/>
  <c r="F8" i="23"/>
  <c r="G146" i="23"/>
  <c r="E189" i="23"/>
  <c r="E37" i="23"/>
  <c r="F40" i="23"/>
  <c r="E220" i="23"/>
  <c r="G68" i="23"/>
  <c r="G82" i="23"/>
  <c r="H51" i="7" s="1"/>
  <c r="E5" i="23"/>
  <c r="F99" i="23"/>
  <c r="G176" i="23"/>
  <c r="F87" i="23"/>
  <c r="G54" i="7" s="1"/>
  <c r="G225" i="23"/>
  <c r="E84" i="23"/>
  <c r="F52" i="7" s="1"/>
  <c r="G119" i="23"/>
  <c r="G150" i="23"/>
  <c r="E87" i="23"/>
  <c r="F54" i="7" s="1"/>
  <c r="E175" i="23"/>
  <c r="E96" i="23"/>
  <c r="F59" i="7" s="1"/>
  <c r="E86" i="23"/>
  <c r="F26" i="23"/>
  <c r="G104" i="23"/>
  <c r="H64" i="7" s="1"/>
  <c r="E93" i="23"/>
  <c r="F113" i="23"/>
  <c r="F7" i="23"/>
  <c r="F180" i="23"/>
  <c r="E246" i="23"/>
  <c r="G130" i="23"/>
  <c r="E139" i="23"/>
  <c r="E32" i="23"/>
  <c r="F41" i="23"/>
  <c r="F225" i="23"/>
  <c r="G192" i="23"/>
  <c r="G199" i="23"/>
  <c r="E163" i="23"/>
  <c r="F210" i="23"/>
  <c r="F89" i="23"/>
  <c r="G201" i="23"/>
  <c r="G160" i="23"/>
  <c r="G170" i="23"/>
  <c r="F244" i="23"/>
  <c r="G156" i="23"/>
  <c r="F15" i="23"/>
  <c r="E244" i="23"/>
  <c r="F162" i="23"/>
  <c r="F39" i="23"/>
  <c r="E219" i="23"/>
  <c r="G144" i="23"/>
  <c r="F175" i="23"/>
  <c r="F16" i="23"/>
  <c r="E224" i="23"/>
  <c r="G136" i="23"/>
  <c r="F177" i="23"/>
  <c r="G166" i="23"/>
  <c r="G142" i="23"/>
  <c r="G49" i="23"/>
  <c r="F76" i="23"/>
  <c r="G47" i="7" s="1"/>
  <c r="G32" i="23"/>
  <c r="G91" i="23"/>
  <c r="E43" i="23"/>
  <c r="E121" i="23"/>
  <c r="F13" i="23"/>
  <c r="G73" i="23"/>
  <c r="H45" i="7" s="1"/>
  <c r="G149" i="23"/>
  <c r="G221" i="23"/>
  <c r="F203" i="23"/>
  <c r="F90" i="23"/>
  <c r="G55" i="7" s="1"/>
  <c r="E21" i="23"/>
  <c r="E140" i="23"/>
  <c r="E237" i="23"/>
  <c r="F93" i="23"/>
  <c r="G57" i="7" s="1"/>
  <c r="F212" i="23"/>
  <c r="G94" i="23"/>
  <c r="E167" i="23"/>
  <c r="E127" i="23"/>
  <c r="F237" i="23"/>
  <c r="E57" i="23"/>
  <c r="E185" i="23"/>
  <c r="F69" i="23"/>
  <c r="G42" i="7" s="1"/>
  <c r="F159" i="23"/>
  <c r="G92" i="23"/>
  <c r="G67" i="23"/>
  <c r="F136" i="23"/>
  <c r="E8" i="23"/>
  <c r="G247" i="23"/>
  <c r="G34" i="23"/>
  <c r="F189" i="23"/>
  <c r="G62" i="23"/>
  <c r="F58" i="23"/>
  <c r="G34" i="7" s="1"/>
  <c r="E208" i="23"/>
  <c r="E113" i="23"/>
  <c r="E48" i="23"/>
  <c r="G249" i="23"/>
  <c r="F129" i="23"/>
  <c r="E227" i="23"/>
  <c r="E169" i="23"/>
  <c r="E74" i="23"/>
  <c r="F46" i="7" s="1"/>
  <c r="F211" i="23"/>
  <c r="G72" i="23"/>
  <c r="G70" i="23"/>
  <c r="H43" i="7" s="1"/>
  <c r="F68" i="23"/>
  <c r="F19" i="23"/>
  <c r="F42" i="23"/>
  <c r="E7" i="23"/>
  <c r="E49" i="23"/>
  <c r="E75" i="23"/>
  <c r="F91" i="23"/>
  <c r="G56" i="7" s="1"/>
  <c r="E182" i="23"/>
  <c r="E124" i="23"/>
  <c r="F216" i="23"/>
  <c r="E137" i="23"/>
  <c r="E19" i="23"/>
  <c r="E130" i="23"/>
  <c r="F120" i="23"/>
  <c r="E53" i="23"/>
  <c r="F14" i="23"/>
  <c r="F176" i="23"/>
  <c r="G126" i="23"/>
  <c r="E153" i="23"/>
  <c r="G76" i="23"/>
  <c r="F193" i="23"/>
  <c r="E112" i="23"/>
  <c r="G185" i="23"/>
  <c r="E191" i="23"/>
  <c r="F191" i="23"/>
  <c r="F22" i="23"/>
  <c r="G33" i="23"/>
  <c r="G79" i="23"/>
  <c r="E17" i="23"/>
  <c r="G193" i="23"/>
  <c r="G169" i="23"/>
  <c r="G204" i="23"/>
  <c r="F142" i="23"/>
  <c r="F127" i="23"/>
  <c r="E164" i="23"/>
  <c r="G96" i="23"/>
  <c r="H59" i="7" s="1"/>
  <c r="F137" i="23"/>
  <c r="F149" i="23"/>
  <c r="F21" i="23"/>
  <c r="F25" i="23"/>
  <c r="G182" i="23"/>
  <c r="F54" i="23"/>
  <c r="G32" i="7" s="1"/>
  <c r="F9" i="23"/>
  <c r="F195" i="23"/>
  <c r="E187" i="23"/>
  <c r="E199" i="23"/>
  <c r="F183" i="23"/>
  <c r="G196" i="23"/>
  <c r="F46" i="23"/>
  <c r="G20" i="23"/>
  <c r="F226" i="23"/>
  <c r="G44" i="23"/>
  <c r="E172" i="23"/>
  <c r="F182" i="23"/>
  <c r="E54" i="23"/>
  <c r="F32" i="7" s="1"/>
  <c r="F81" i="23"/>
  <c r="G50" i="7" s="1"/>
  <c r="G105" i="23"/>
  <c r="H65" i="7" s="1"/>
  <c r="E212" i="23"/>
  <c r="G243" i="23"/>
  <c r="F223" i="23"/>
  <c r="G153" i="23"/>
  <c r="G131" i="23"/>
  <c r="E196" i="23"/>
  <c r="G155" i="23"/>
  <c r="E31" i="23"/>
  <c r="G37" i="23"/>
  <c r="F33" i="23"/>
  <c r="E216" i="23"/>
  <c r="F145" i="23"/>
  <c r="F48" i="23"/>
  <c r="E126" i="23"/>
  <c r="G110" i="23"/>
  <c r="G220" i="23"/>
  <c r="E27" i="23"/>
  <c r="E80" i="23"/>
  <c r="G22" i="23"/>
  <c r="F20" i="23"/>
  <c r="E22" i="23"/>
  <c r="F37" i="23"/>
  <c r="G174" i="23"/>
  <c r="G97" i="23"/>
  <c r="H60" i="7" s="1"/>
  <c r="F96" i="23"/>
  <c r="G59" i="7" s="1"/>
  <c r="E218" i="23"/>
  <c r="E181" i="23"/>
  <c r="G168" i="23"/>
  <c r="E46" i="23"/>
  <c r="F238" i="23"/>
  <c r="G55" i="23"/>
  <c r="F148" i="23"/>
  <c r="G133" i="23"/>
  <c r="E221" i="23"/>
  <c r="E98" i="23"/>
  <c r="F61" i="7" s="1"/>
  <c r="E230" i="23"/>
  <c r="E171" i="23"/>
  <c r="F50" i="23"/>
  <c r="G228" i="23"/>
  <c r="G18" i="23"/>
  <c r="E233" i="23"/>
  <c r="E94" i="23"/>
  <c r="G163" i="23"/>
  <c r="E135" i="23"/>
  <c r="F185" i="23"/>
  <c r="E15" i="23"/>
  <c r="E64" i="23"/>
  <c r="E106" i="23"/>
  <c r="G240" i="23"/>
  <c r="G128" i="23"/>
  <c r="F114" i="23"/>
  <c r="G70" i="7" s="1"/>
  <c r="F231" i="23"/>
  <c r="E24" i="23"/>
  <c r="F150" i="23"/>
  <c r="G48" i="23"/>
  <c r="E201" i="23"/>
  <c r="F206" i="23"/>
  <c r="G238" i="23"/>
  <c r="G39" i="23"/>
  <c r="F143" i="23"/>
  <c r="E222" i="23"/>
  <c r="F179" i="23"/>
  <c r="G86" i="23"/>
  <c r="E23" i="23"/>
  <c r="G218" i="23"/>
  <c r="F52" i="23"/>
  <c r="G31" i="7" s="1"/>
  <c r="E203" i="23"/>
  <c r="F83" i="23"/>
  <c r="F77" i="23"/>
  <c r="G48" i="7" s="1"/>
  <c r="G78" i="23"/>
  <c r="G109" i="23"/>
  <c r="H67" i="7" s="1"/>
  <c r="F166" i="23"/>
  <c r="G210" i="23"/>
  <c r="F49" i="23"/>
  <c r="F167" i="23"/>
  <c r="G203" i="23"/>
  <c r="E158" i="23"/>
  <c r="G64" i="23"/>
  <c r="E33" i="23"/>
  <c r="G74" i="23"/>
  <c r="H46" i="7" s="1"/>
  <c r="F192" i="23"/>
  <c r="E116" i="23"/>
  <c r="F71" i="7" s="1"/>
  <c r="G52" i="23"/>
  <c r="G229" i="23"/>
  <c r="G215" i="23"/>
  <c r="E161" i="23"/>
  <c r="E180" i="23"/>
  <c r="E35" i="23"/>
  <c r="F138" i="23"/>
  <c r="E34" i="23"/>
  <c r="E239" i="23"/>
  <c r="G235" i="23"/>
  <c r="F217" i="23"/>
  <c r="E61" i="23"/>
  <c r="E114" i="23"/>
  <c r="F70" i="7" s="1"/>
  <c r="E235" i="23"/>
  <c r="F204" i="23"/>
  <c r="E26" i="23"/>
  <c r="E120" i="23"/>
  <c r="E109" i="23"/>
  <c r="F67" i="7" s="1"/>
  <c r="E173" i="23"/>
  <c r="F155" i="23"/>
  <c r="E36" i="23"/>
  <c r="G214" i="23"/>
  <c r="G173" i="23"/>
  <c r="F111" i="23"/>
  <c r="G68" i="7" s="1"/>
  <c r="G115" i="23"/>
  <c r="E110" i="23"/>
  <c r="E223" i="23"/>
  <c r="E60" i="23"/>
  <c r="G159" i="23"/>
  <c r="G148" i="23"/>
  <c r="G54" i="23"/>
  <c r="H32" i="7" s="1"/>
  <c r="G35" i="23"/>
  <c r="G178" i="23"/>
  <c r="F163" i="23"/>
  <c r="G157" i="23"/>
  <c r="E204" i="23"/>
  <c r="G140" i="23"/>
  <c r="G75" i="23"/>
  <c r="F6" i="23"/>
  <c r="F169" i="23"/>
  <c r="F117" i="23"/>
  <c r="G72" i="7" s="1"/>
  <c r="E59" i="23"/>
  <c r="G57" i="23"/>
  <c r="F160" i="23"/>
  <c r="F188" i="23"/>
  <c r="E44" i="23"/>
  <c r="F28" i="23"/>
  <c r="E229" i="23"/>
  <c r="G69" i="23"/>
  <c r="E129" i="23"/>
  <c r="G239" i="23"/>
  <c r="G237" i="23"/>
  <c r="F70" i="23"/>
  <c r="G43" i="7" s="1"/>
  <c r="F85" i="23"/>
  <c r="G117" i="23"/>
  <c r="H72" i="7" s="1"/>
  <c r="F186" i="23"/>
  <c r="G5" i="23"/>
  <c r="G198" i="23"/>
  <c r="G200" i="23"/>
  <c r="G135" i="23"/>
  <c r="F59" i="23"/>
  <c r="G35" i="7" s="1"/>
  <c r="G188" i="23"/>
  <c r="E166" i="23"/>
  <c r="G124" i="23"/>
  <c r="G8" i="23"/>
  <c r="G10" i="23"/>
  <c r="G219" i="23"/>
  <c r="G51" i="23"/>
  <c r="G171" i="23"/>
  <c r="E14" i="23"/>
  <c r="G217" i="23"/>
  <c r="G81" i="23"/>
  <c r="G36" i="23"/>
  <c r="F45" i="23"/>
  <c r="G93" i="23"/>
  <c r="E177" i="23"/>
  <c r="G87" i="23"/>
  <c r="H54" i="7" s="1"/>
  <c r="E211" i="23"/>
  <c r="F102" i="23"/>
  <c r="G63" i="7" s="1"/>
  <c r="F213" i="23"/>
  <c r="G232" i="23"/>
  <c r="G46" i="23"/>
  <c r="F178" i="23"/>
  <c r="E226" i="23"/>
  <c r="E183" i="23"/>
  <c r="G186" i="23"/>
  <c r="G12" i="23"/>
  <c r="F240" i="23"/>
  <c r="G233" i="23"/>
  <c r="G164" i="23"/>
  <c r="G42" i="23"/>
  <c r="F235" i="23"/>
  <c r="G95" i="23"/>
  <c r="H58" i="7" s="1"/>
  <c r="F165" i="23"/>
  <c r="F229" i="23"/>
  <c r="F17" i="23"/>
  <c r="G143" i="23"/>
  <c r="E90" i="23"/>
  <c r="E156" i="23"/>
  <c r="E104" i="23"/>
  <c r="F64" i="7" s="1"/>
  <c r="E95" i="23"/>
  <c r="F58" i="7" s="1"/>
  <c r="I12" i="23"/>
  <c r="I62" i="23"/>
  <c r="I82" i="23"/>
  <c r="I6" i="23"/>
  <c r="I29" i="23"/>
  <c r="I154" i="23"/>
  <c r="I197" i="23"/>
  <c r="I231" i="23"/>
  <c r="I56" i="23"/>
  <c r="I73" i="23"/>
  <c r="I10" i="23"/>
  <c r="I141" i="23"/>
  <c r="I175" i="23"/>
  <c r="I112" i="23"/>
  <c r="I172" i="23"/>
  <c r="I27" i="23"/>
  <c r="I46" i="23"/>
  <c r="I98" i="23"/>
  <c r="I158" i="23"/>
  <c r="I173" i="23"/>
  <c r="I223" i="23"/>
  <c r="I211" i="23"/>
  <c r="I95" i="23"/>
  <c r="I196" i="23"/>
  <c r="I135" i="23"/>
  <c r="I243" i="23"/>
  <c r="I225" i="23"/>
  <c r="I40" i="23"/>
  <c r="I192" i="23"/>
  <c r="I63" i="23"/>
  <c r="I107" i="23"/>
  <c r="I228" i="23"/>
  <c r="I146" i="23"/>
  <c r="I210" i="23"/>
  <c r="I52" i="23"/>
  <c r="I198" i="23"/>
  <c r="I207" i="23"/>
  <c r="I11" i="23"/>
  <c r="I119" i="23"/>
  <c r="I157" i="23"/>
  <c r="I50" i="23"/>
  <c r="I215" i="23"/>
  <c r="I108" i="23"/>
  <c r="I189" i="23"/>
  <c r="I96" i="23"/>
  <c r="I246" i="23"/>
  <c r="I163" i="23"/>
  <c r="I182" i="23"/>
  <c r="I53" i="23"/>
  <c r="I199" i="23"/>
  <c r="I216" i="23"/>
  <c r="I230" i="23"/>
  <c r="I94" i="23"/>
  <c r="I23" i="23"/>
  <c r="I77" i="23"/>
  <c r="I170" i="23"/>
  <c r="I194" i="23"/>
  <c r="I190" i="23"/>
  <c r="I240" i="23"/>
  <c r="I13" i="23"/>
  <c r="I97" i="23"/>
  <c r="I195" i="23"/>
  <c r="I176" i="23"/>
  <c r="I83" i="23"/>
  <c r="I67" i="23"/>
  <c r="I151" i="23"/>
  <c r="I9" i="23"/>
  <c r="I136" i="23"/>
  <c r="I162" i="23"/>
  <c r="I41" i="23"/>
  <c r="I245" i="23"/>
  <c r="I85" i="23"/>
  <c r="I213" i="23"/>
  <c r="I91" i="23"/>
  <c r="I150" i="23"/>
  <c r="I37" i="23"/>
  <c r="I86" i="23"/>
  <c r="I124" i="23"/>
  <c r="I191" i="23"/>
  <c r="I54" i="23"/>
  <c r="I171" i="23"/>
  <c r="I33" i="23"/>
  <c r="I180" i="23"/>
  <c r="I114" i="23"/>
  <c r="I36" i="23"/>
  <c r="I224" i="23"/>
  <c r="I70" i="23"/>
  <c r="I186" i="23"/>
  <c r="I101" i="23"/>
  <c r="I66" i="23"/>
  <c r="I115" i="23"/>
  <c r="I174" i="23"/>
  <c r="I132" i="23"/>
  <c r="I123" i="23"/>
  <c r="I76" i="23"/>
  <c r="I103" i="23"/>
  <c r="I131" i="23"/>
  <c r="I125" i="23"/>
  <c r="I99" i="23"/>
  <c r="I241" i="23"/>
  <c r="I100" i="23"/>
  <c r="I179" i="23"/>
  <c r="I234" i="23"/>
  <c r="I122" i="23"/>
  <c r="I178" i="23"/>
  <c r="I51" i="23"/>
  <c r="I220" i="23"/>
  <c r="I84" i="23"/>
  <c r="I32" i="23"/>
  <c r="I244" i="23"/>
  <c r="I127" i="23"/>
  <c r="I227" i="23"/>
  <c r="I137" i="23"/>
  <c r="I126" i="23"/>
  <c r="I24" i="23"/>
  <c r="I203" i="23"/>
  <c r="I116" i="23"/>
  <c r="I34" i="23"/>
  <c r="I26" i="23"/>
  <c r="I229" i="23"/>
  <c r="I90" i="23"/>
  <c r="I161" i="23"/>
  <c r="I61" i="23"/>
  <c r="I60" i="23"/>
  <c r="I204" i="23"/>
  <c r="I188" i="23"/>
  <c r="I128" i="23"/>
  <c r="I167" i="23"/>
  <c r="I80" i="23"/>
  <c r="I55" i="23"/>
  <c r="I35" i="23"/>
  <c r="I235" i="23"/>
  <c r="I44" i="23"/>
  <c r="I111" i="23"/>
  <c r="I143" i="23"/>
  <c r="I152" i="23"/>
  <c r="I68" i="23"/>
  <c r="I249" i="23"/>
  <c r="I72" i="23"/>
  <c r="I248" i="23"/>
  <c r="I138" i="23"/>
  <c r="I238" i="23"/>
  <c r="I39" i="23"/>
  <c r="I89" i="23"/>
  <c r="I214" i="23"/>
  <c r="I147" i="23"/>
  <c r="I159" i="23"/>
  <c r="I184" i="23"/>
  <c r="I93" i="23"/>
  <c r="I43" i="23"/>
  <c r="I21" i="23"/>
  <c r="I208" i="23"/>
  <c r="I169" i="23"/>
  <c r="I7" i="23"/>
  <c r="I19" i="23"/>
  <c r="I153" i="23"/>
  <c r="I164" i="23"/>
  <c r="I212" i="23"/>
  <c r="I31" i="23"/>
  <c r="I218" i="23"/>
  <c r="I15" i="23"/>
  <c r="I206" i="23"/>
  <c r="I45" i="23"/>
  <c r="I193" i="23"/>
  <c r="I28" i="23"/>
  <c r="I25" i="23"/>
  <c r="I16" i="23"/>
  <c r="I247" i="23"/>
  <c r="I142" i="23"/>
  <c r="I92" i="23"/>
  <c r="I88" i="23"/>
  <c r="I145" i="23"/>
  <c r="I102" i="23"/>
  <c r="I47" i="23"/>
  <c r="I65" i="23"/>
  <c r="I134" i="23"/>
  <c r="I209" i="23"/>
  <c r="I121" i="23"/>
  <c r="I140" i="23"/>
  <c r="I57" i="23"/>
  <c r="I113" i="23"/>
  <c r="I74" i="23"/>
  <c r="I49" i="23"/>
  <c r="I130" i="23"/>
  <c r="I22" i="23"/>
  <c r="I181" i="23"/>
  <c r="I233" i="23"/>
  <c r="I64" i="23"/>
  <c r="I222" i="23"/>
  <c r="I239" i="23"/>
  <c r="I120" i="23"/>
  <c r="I166" i="23"/>
  <c r="I14" i="23"/>
  <c r="I177" i="23"/>
  <c r="I226" i="23"/>
  <c r="I156" i="23"/>
  <c r="I165" i="23"/>
  <c r="I20" i="23"/>
  <c r="I202" i="23"/>
  <c r="I148" i="23"/>
  <c r="I133" i="23"/>
  <c r="I242" i="23"/>
  <c r="I18" i="23"/>
  <c r="I117" i="23"/>
  <c r="I144" i="23"/>
  <c r="I42" i="23"/>
  <c r="I79" i="23"/>
  <c r="I232" i="23"/>
  <c r="I236" i="23"/>
  <c r="I30" i="23"/>
  <c r="I200" i="23"/>
  <c r="I5" i="23"/>
  <c r="I87" i="23"/>
  <c r="I219" i="23"/>
  <c r="I237" i="23"/>
  <c r="I185" i="23"/>
  <c r="I8" i="23"/>
  <c r="I48" i="23"/>
  <c r="I75" i="23"/>
  <c r="I17" i="23"/>
  <c r="I187" i="23"/>
  <c r="I221" i="23"/>
  <c r="I106" i="23"/>
  <c r="I201" i="23"/>
  <c r="I109" i="23"/>
  <c r="I110" i="23"/>
  <c r="I59" i="23"/>
  <c r="I129" i="23"/>
  <c r="I183" i="23"/>
  <c r="I104" i="23"/>
  <c r="I168" i="23"/>
  <c r="I69" i="23"/>
  <c r="I81" i="23"/>
  <c r="I155" i="23"/>
  <c r="I58" i="23"/>
  <c r="I217" i="23"/>
  <c r="I205" i="23"/>
  <c r="I78" i="23"/>
  <c r="I160" i="23"/>
  <c r="I149" i="23"/>
  <c r="I105" i="23"/>
  <c r="I118" i="23"/>
  <c r="I71" i="23"/>
  <c r="I139" i="23"/>
</calcChain>
</file>

<file path=xl/comments1.xml><?xml version="1.0" encoding="utf-8"?>
<comments xmlns="http://schemas.openxmlformats.org/spreadsheetml/2006/main">
  <authors>
    <author>dvigliotta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 xml:space="preserve">Per scaricare i market rates di una curva swap si usa la formula =BCurve("CurveID").
La sintassi della formula e' del tipo:
=BCurve("CurveID","CurveDate","CurveName")
Di default la view ci mostra le colonne: Term, InstType, Bid, Ask
</t>
        </r>
        <r>
          <rPr>
            <b/>
            <sz val="9"/>
            <color indexed="81"/>
            <rFont val="Tahoma"/>
            <family val="2"/>
          </rPr>
          <t xml:space="preserve">
*il CurveID puó essere un curve Profile (vedi ultima tab) oppure il numero della curva, preceduto da "S" (ad esempio S45 per la la curva EUR 6M)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**la CurveDate deve essere nel formato YYYYMMDD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Per mostrare altre colonne, oltre a quelle di default, si possono aggiungere gli argomenti aggiuntivi: Output e View.
Ad esempio per mostrare anche io tassi mid (non presenti nella default formula) si puó utilizzare la sintassi:
=BCurve("CurveID","CurveDate","CurveName","Output=Mid","View=Rates")
*la CurveDate deve essere nel formato YYYYMMDD</t>
        </r>
      </text>
    </comment>
  </commentList>
</comments>
</file>

<file path=xl/comments2.xml><?xml version="1.0" encoding="utf-8"?>
<comments xmlns="http://schemas.openxmlformats.org/spreadsheetml/2006/main">
  <authors>
    <author>dvigliotta</author>
  </authors>
  <commentList>
    <comment ref="G4" authorId="0">
      <text>
        <r>
          <rPr>
            <b/>
            <sz val="9"/>
            <color indexed="81"/>
            <rFont val="Tahoma"/>
            <family val="2"/>
          </rPr>
          <t>=BView("CurveID") e' la formula che serve a scaricare dati di una curva stripped.
Sintassi:
=BView("Oggetto Curva","Argomento")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" authorId="0">
      <text>
        <r>
          <rPr>
            <b/>
            <sz val="9"/>
            <color indexed="81"/>
            <rFont val="Tahoma"/>
            <family val="2"/>
          </rPr>
          <t>=BCurveFwd e' la formula per scaricare projected forward, zero rates, discount factor, etc… (vedi menu di celle C8-D8-E8)
Sintassi per costruire una matrice di tassi forward:
=BCurveFwd("Oggetto Curva","Argomento","Tenor","Term"</t>
        </r>
      </text>
    </comment>
    <comment ref="B15" authorId="0">
      <text>
        <r>
          <rPr>
            <b/>
            <sz val="9"/>
            <color indexed="81"/>
            <rFont val="Tahoma"/>
            <family val="2"/>
          </rPr>
          <t>Per scaricare qualunque dato che preveda lo stripping della curva (zero rate, discount factor, forward) c'e' bisogno di scaricare l'oggetto curva attraverso la formula =BCurvestrip. Questo oggetto curva diventera' poi il CurveID per le formule di scarico di dati post-stripping.
La sintassi e' del tipo:
=BCurvestrip("CurveID","CurveName","CurveDate")
*la CurveDate deve essere nel formato YYYYMMDD</t>
        </r>
      </text>
    </comment>
  </commentList>
</comments>
</file>

<file path=xl/sharedStrings.xml><?xml version="1.0" encoding="utf-8"?>
<sst xmlns="http://schemas.openxmlformats.org/spreadsheetml/2006/main" count="1486" uniqueCount="764">
  <si>
    <t>Curve</t>
  </si>
  <si>
    <t>CurveDate</t>
  </si>
  <si>
    <t>CurveName</t>
  </si>
  <si>
    <t>EUR.3M</t>
  </si>
  <si>
    <t>EUR.1M</t>
  </si>
  <si>
    <t>EUR.OIS</t>
  </si>
  <si>
    <t>EUR.6M</t>
  </si>
  <si>
    <t>6 MO</t>
  </si>
  <si>
    <t>2 YR</t>
  </si>
  <si>
    <t>3 YR</t>
  </si>
  <si>
    <t>4 YR</t>
  </si>
  <si>
    <t>5 YR</t>
  </si>
  <si>
    <t>6 YR</t>
  </si>
  <si>
    <t>7 YR</t>
  </si>
  <si>
    <t>8 YR</t>
  </si>
  <si>
    <t>9 YR</t>
  </si>
  <si>
    <t>10 YR</t>
  </si>
  <si>
    <t>11 YR</t>
  </si>
  <si>
    <t>12 YR</t>
  </si>
  <si>
    <t>15 YR</t>
  </si>
  <si>
    <t>20 YR</t>
  </si>
  <si>
    <t>25 YR</t>
  </si>
  <si>
    <t>30 YR</t>
  </si>
  <si>
    <t>35 YR</t>
  </si>
  <si>
    <t>40 YR</t>
  </si>
  <si>
    <t>50 YR</t>
  </si>
  <si>
    <t>7 MO</t>
  </si>
  <si>
    <t>8 MO</t>
  </si>
  <si>
    <t>9 MO</t>
  </si>
  <si>
    <t>10 MO</t>
  </si>
  <si>
    <t>11 MO</t>
  </si>
  <si>
    <t>18 MO</t>
  </si>
  <si>
    <t>12 MO</t>
  </si>
  <si>
    <t>Oggetto Curva</t>
  </si>
  <si>
    <t>Df.Ask</t>
  </si>
  <si>
    <t>Df.Bid</t>
  </si>
  <si>
    <t>Df.Mid</t>
  </si>
  <si>
    <t>Par.Ask</t>
  </si>
  <si>
    <t>Par.Bid</t>
  </si>
  <si>
    <t>Par.Mid</t>
  </si>
  <si>
    <t>Zc.Ask</t>
  </si>
  <si>
    <t>Zc.Bid</t>
  </si>
  <si>
    <t>Zc.Mid</t>
  </si>
  <si>
    <t>Maturity</t>
  </si>
  <si>
    <t>StartDate</t>
  </si>
  <si>
    <t>Outputs</t>
  </si>
  <si>
    <t>Terms</t>
  </si>
  <si>
    <t>Term</t>
  </si>
  <si>
    <t>OutputTerm</t>
  </si>
  <si>
    <t>3m</t>
  </si>
  <si>
    <t>5y</t>
  </si>
  <si>
    <t>10y</t>
  </si>
  <si>
    <t>Group By</t>
  </si>
  <si>
    <t>Tenor</t>
  </si>
  <si>
    <t>Interval</t>
  </si>
  <si>
    <t>UpTo</t>
  </si>
  <si>
    <t>Start Date</t>
  </si>
  <si>
    <t>Spot Rate</t>
  </si>
  <si>
    <t>Forward Rate</t>
  </si>
  <si>
    <t>Profile</t>
  </si>
  <si>
    <t>Currency</t>
  </si>
  <si>
    <t>SubType</t>
  </si>
  <si>
    <t>CurveNumber</t>
  </si>
  <si>
    <t>Profile Description</t>
  </si>
  <si>
    <t>AED.3M</t>
  </si>
  <si>
    <t>AED</t>
  </si>
  <si>
    <t>AED Bloomberg Curve</t>
  </si>
  <si>
    <t>AED.BASIS.3M.USD.3M</t>
  </si>
  <si>
    <t>Basis</t>
  </si>
  <si>
    <t>AED.1M</t>
  </si>
  <si>
    <t>1m</t>
  </si>
  <si>
    <t>AED 1M Bloomberg Curve</t>
  </si>
  <si>
    <t>AED.6M</t>
  </si>
  <si>
    <t>6m</t>
  </si>
  <si>
    <t>AED 6M Bloomberg Curve</t>
  </si>
  <si>
    <t>AED.12M</t>
  </si>
  <si>
    <t>12m</t>
  </si>
  <si>
    <t>AED 12M Bloomberg Curve</t>
  </si>
  <si>
    <t>ARS.3M</t>
  </si>
  <si>
    <t>ARS</t>
  </si>
  <si>
    <t>ARS Bloomberg Curve</t>
  </si>
  <si>
    <t>ARS.BASIS.3M.USD.3M</t>
  </si>
  <si>
    <t>AUD.6M.3M6M</t>
  </si>
  <si>
    <t>AUD</t>
  </si>
  <si>
    <t>AUD Bloomberg Curve</t>
  </si>
  <si>
    <t>AUD.BASIS.3M.USD.3M</t>
  </si>
  <si>
    <t>AUD.6M.BANKBILLS</t>
  </si>
  <si>
    <t>AUD.OIS</t>
  </si>
  <si>
    <t>OIS</t>
  </si>
  <si>
    <t>AUD.FIXING.6M.ISDA</t>
  </si>
  <si>
    <t>Fixing</t>
  </si>
  <si>
    <t>AUD.FIXING.6M</t>
  </si>
  <si>
    <t>AUD.BASIS.3M.EUR.3M</t>
  </si>
  <si>
    <t>AUD.6M</t>
  </si>
  <si>
    <t>AUD 6M Bloomberg Curve</t>
  </si>
  <si>
    <t>AUD.3M</t>
  </si>
  <si>
    <t>AUD 3M Bloomberg Curve</t>
  </si>
  <si>
    <t>AUD.1M</t>
  </si>
  <si>
    <t>AUD 1M Bloomberg Curve</t>
  </si>
  <si>
    <t>BGN.3M</t>
  </si>
  <si>
    <t>BGN</t>
  </si>
  <si>
    <t>BGN Bloomberg Curve</t>
  </si>
  <si>
    <t>BGN.BASIS.3M.USD.3M</t>
  </si>
  <si>
    <t>BHD.3M</t>
  </si>
  <si>
    <t>BHD</t>
  </si>
  <si>
    <t>BHD Bloomberg Curve</t>
  </si>
  <si>
    <t>BHD.BASIS.3.USD.3M</t>
  </si>
  <si>
    <t>BHD Basis Swap</t>
  </si>
  <si>
    <t>BRL.ZERO</t>
  </si>
  <si>
    <t>BRL</t>
  </si>
  <si>
    <t>Zero</t>
  </si>
  <si>
    <t>BRL Bloomberg Curve</t>
  </si>
  <si>
    <t>CAD.3M</t>
  </si>
  <si>
    <t>CAD</t>
  </si>
  <si>
    <t>CAD Bloomberg Curve</t>
  </si>
  <si>
    <t>CAD.BASIS.3M.USD.3M</t>
  </si>
  <si>
    <t>CAD.OIS</t>
  </si>
  <si>
    <t>CAD.FIXING.3M</t>
  </si>
  <si>
    <t>CAD.FIXING.3M.ISDA</t>
  </si>
  <si>
    <t>CAD.BASIS.3M.EUR.3M</t>
  </si>
  <si>
    <t>CAD.1M</t>
  </si>
  <si>
    <t>CAD 1M Bloomberg Curve</t>
  </si>
  <si>
    <t>CHF.6M</t>
  </si>
  <si>
    <t>CHF</t>
  </si>
  <si>
    <t>CHF Bloomberg Curve</t>
  </si>
  <si>
    <t>CHF.BASIS.3M.USD.3M</t>
  </si>
  <si>
    <t>CHF.OIS</t>
  </si>
  <si>
    <t>CHF.3M</t>
  </si>
  <si>
    <t>Modified Bloomberg</t>
  </si>
  <si>
    <t>CHF.FIXING.6M</t>
  </si>
  <si>
    <t>CHF.FIXING.6M.ISDA</t>
  </si>
  <si>
    <t>CHF.BASIS.3M.EUR.3M</t>
  </si>
  <si>
    <t>CHF.1M</t>
  </si>
  <si>
    <t>CHF 1M Bloomberg Curve</t>
  </si>
  <si>
    <t>CLP.6M</t>
  </si>
  <si>
    <t>CLP</t>
  </si>
  <si>
    <t>CLP Bloomberg Curve</t>
  </si>
  <si>
    <t>CLP.BASIS.6M.USD.6M</t>
  </si>
  <si>
    <t>CNH.CCS.6M</t>
  </si>
  <si>
    <t>CNH</t>
  </si>
  <si>
    <t>CCS</t>
  </si>
  <si>
    <t>CNH CCS Curve</t>
  </si>
  <si>
    <t>CNY.12M.DEPO</t>
  </si>
  <si>
    <t>CNY</t>
  </si>
  <si>
    <t>CNY Bloomberg Curve</t>
  </si>
  <si>
    <t>CNY.BASIS.3M.USD.3M</t>
  </si>
  <si>
    <t>CNY.3M</t>
  </si>
  <si>
    <t>CNY.12M</t>
  </si>
  <si>
    <t>CNY.3M.SHIBOR</t>
  </si>
  <si>
    <t>CNY.NDIRS.3M</t>
  </si>
  <si>
    <t>NDIRS</t>
  </si>
  <si>
    <t>CNY.OIS</t>
  </si>
  <si>
    <t>CNY.CCS.3M</t>
  </si>
  <si>
    <t>Onshore CNYUSD CCS Curve</t>
  </si>
  <si>
    <t>CNY.NDIRS.12M</t>
  </si>
  <si>
    <t>CNY NDIRS Annual Dep</t>
  </si>
  <si>
    <t>COP.3M</t>
  </si>
  <si>
    <t>COP</t>
  </si>
  <si>
    <t>COP Bloomberg Curve</t>
  </si>
  <si>
    <t>COP.NDCCS.3M</t>
  </si>
  <si>
    <t>NDCCS</t>
  </si>
  <si>
    <t>COP.BASIS.3M.USD.3M</t>
  </si>
  <si>
    <t>COP.OIS</t>
  </si>
  <si>
    <t>COP vs IBR (OIS) Curve</t>
  </si>
  <si>
    <t>CZK.6M.3MFRA</t>
  </si>
  <si>
    <t>CZK</t>
  </si>
  <si>
    <t>CZK Bloomberg Curve</t>
  </si>
  <si>
    <t>CZK.BASIS.3M.USD.3M</t>
  </si>
  <si>
    <t>CZK.BASIS.3M.EUR.3M</t>
  </si>
  <si>
    <t>CZK.3M</t>
  </si>
  <si>
    <t>3M CZK Bloomberg Curve</t>
  </si>
  <si>
    <t>CZK.6M</t>
  </si>
  <si>
    <t>6M CZK Bloomberg Curve</t>
  </si>
  <si>
    <t>DKK.6M</t>
  </si>
  <si>
    <t>DKK</t>
  </si>
  <si>
    <t>DKK Bloomberg Curve</t>
  </si>
  <si>
    <t>DKK.BASIS.6M.USD.3M</t>
  </si>
  <si>
    <t>DKK.OIS</t>
  </si>
  <si>
    <t>DKK.BASIS.3M.EUR.3M</t>
  </si>
  <si>
    <t>DKK.1M</t>
  </si>
  <si>
    <t>DKK 1M Bloomberg Curve</t>
  </si>
  <si>
    <t>DKK.3M</t>
  </si>
  <si>
    <t>DKK 3M Bloomberg Curve</t>
  </si>
  <si>
    <t>DKK.6M.6MFRA</t>
  </si>
  <si>
    <t>DKK 6M Bloomberg Curve</t>
  </si>
  <si>
    <t>EGP.3M</t>
  </si>
  <si>
    <t>EGP</t>
  </si>
  <si>
    <t>EGP Bloomberg Curve</t>
  </si>
  <si>
    <t>EUR</t>
  </si>
  <si>
    <t>EUR BB Contiguous FRAs Crv</t>
  </si>
  <si>
    <t>EUR.BASIS.3M.USD.3M</t>
  </si>
  <si>
    <t>EUR Bloomberg Curve</t>
  </si>
  <si>
    <t>EUR.FIXING.6M</t>
  </si>
  <si>
    <t>EUR.FIXING.6M.ISDA</t>
  </si>
  <si>
    <t>EUR.12M</t>
  </si>
  <si>
    <t>EUR 12M Bloomberg Curve</t>
  </si>
  <si>
    <t>GBP.6M</t>
  </si>
  <si>
    <t>GBP</t>
  </si>
  <si>
    <t>GBP.BASIS.3M.USD.3M</t>
  </si>
  <si>
    <t>GBP Bloomberg Curve</t>
  </si>
  <si>
    <t>GBP.OIS</t>
  </si>
  <si>
    <t>GBP.3M</t>
  </si>
  <si>
    <t>GBP.1M</t>
  </si>
  <si>
    <t>GBP 1M Bloomberg Curve</t>
  </si>
  <si>
    <t>GBP.FIXING.6M</t>
  </si>
  <si>
    <t>GBP.FIXING.6M.ISDA</t>
  </si>
  <si>
    <t>GBP.BASIS.3M.EUR.3M</t>
  </si>
  <si>
    <t>GBP.12M</t>
  </si>
  <si>
    <t>GBP 12M Bloomberg Curve</t>
  </si>
  <si>
    <t>HKD.3M</t>
  </si>
  <si>
    <t>HKD</t>
  </si>
  <si>
    <t>HKD Bloomberg Curve</t>
  </si>
  <si>
    <t>HKD.BASIS.3M.USD.3M</t>
  </si>
  <si>
    <t>HKD.OIS</t>
  </si>
  <si>
    <t>HKD.FIXING.3M.ISDA</t>
  </si>
  <si>
    <t>HKD.FIXING.3M</t>
  </si>
  <si>
    <t>HKD.1M</t>
  </si>
  <si>
    <t>HKD 1M Bloomberg Curve</t>
  </si>
  <si>
    <t>HKD.6M</t>
  </si>
  <si>
    <t>HKD 6M Bloomberg Curve</t>
  </si>
  <si>
    <t>HUF.6M.3MFRA</t>
  </si>
  <si>
    <t>HUF</t>
  </si>
  <si>
    <t>HUF Bloomberg Curve</t>
  </si>
  <si>
    <t>HUF.BASIS.6M.USD.3M</t>
  </si>
  <si>
    <t>HUF.BASIS.3M.EUR.3M</t>
  </si>
  <si>
    <t>HUF.3M</t>
  </si>
  <si>
    <t>3M HUF Bloomberg Curve</t>
  </si>
  <si>
    <t>HUF.6M</t>
  </si>
  <si>
    <t>6M HUF Bloomberg Curve</t>
  </si>
  <si>
    <t>IDR.6M</t>
  </si>
  <si>
    <t>IDR</t>
  </si>
  <si>
    <t>IDR Bloomberg Curve</t>
  </si>
  <si>
    <t>IDR.OIS</t>
  </si>
  <si>
    <t>IDR.BASIS.3M.USD.3M</t>
  </si>
  <si>
    <t>IDR.1M</t>
  </si>
  <si>
    <t>IDR.CCS.6M</t>
  </si>
  <si>
    <t>IDR.3M</t>
  </si>
  <si>
    <t>ILS.3M</t>
  </si>
  <si>
    <t>ILS</t>
  </si>
  <si>
    <t>ILS Bloomberg Curve</t>
  </si>
  <si>
    <t>ILS.BASIS.3M.USD.3M</t>
  </si>
  <si>
    <t>INR.OIS</t>
  </si>
  <si>
    <t>INR</t>
  </si>
  <si>
    <t>INR Bloomberg Curve</t>
  </si>
  <si>
    <t>INR.CCS.6M</t>
  </si>
  <si>
    <t>INR.6M.MIFOR</t>
  </si>
  <si>
    <t>INR.NDIRS.OIS</t>
  </si>
  <si>
    <t>ISK.3M</t>
  </si>
  <si>
    <t>ISK</t>
  </si>
  <si>
    <t>ISK Bloomberg Curve</t>
  </si>
  <si>
    <t>ISK.BASIS.3M.USD.3M</t>
  </si>
  <si>
    <t>JPY.6M</t>
  </si>
  <si>
    <t>JPY</t>
  </si>
  <si>
    <t>JPY Bloomberg Curve</t>
  </si>
  <si>
    <t>JPY.BASIS.3M.USD.3M</t>
  </si>
  <si>
    <t>JPY.FIXING.6M.ISDA</t>
  </si>
  <si>
    <t>JPY.6M.TIBOR</t>
  </si>
  <si>
    <t>JPY.OIS</t>
  </si>
  <si>
    <t>JPY.FIXING.6M</t>
  </si>
  <si>
    <t>JPY.BASIS.3M.EUR.3M</t>
  </si>
  <si>
    <t>JPY.1M</t>
  </si>
  <si>
    <t>JPY 1M Bloomberg Curve</t>
  </si>
  <si>
    <t>JPY.3M</t>
  </si>
  <si>
    <t>JPY 3M Bloomberg Curve</t>
  </si>
  <si>
    <t>KRW.3M</t>
  </si>
  <si>
    <t>KRW</t>
  </si>
  <si>
    <t>KRW Bloomberg Curve</t>
  </si>
  <si>
    <t>KRW.CCS.6M</t>
  </si>
  <si>
    <t>KRW.BASIS.3M.USD.6M</t>
  </si>
  <si>
    <t>KRW.NDIRS.3M</t>
  </si>
  <si>
    <t>KWD.3M</t>
  </si>
  <si>
    <t>KWD</t>
  </si>
  <si>
    <t>KWD Bloomberg Curve</t>
  </si>
  <si>
    <t>KWD.BASIS.3M.USD.3M</t>
  </si>
  <si>
    <t>KZT.3M</t>
  </si>
  <si>
    <t>KZT</t>
  </si>
  <si>
    <t>KZT Bloomberg Curve</t>
  </si>
  <si>
    <t>KZT.BASIS.3M.USD.3M</t>
  </si>
  <si>
    <t>MXN.1M</t>
  </si>
  <si>
    <t>MXN</t>
  </si>
  <si>
    <t>MXN Bloomberg Curve</t>
  </si>
  <si>
    <t>MXN.BASIS.1M.USD.1M</t>
  </si>
  <si>
    <t>MYR.3M</t>
  </si>
  <si>
    <t>MYR</t>
  </si>
  <si>
    <t>MYR Bloomberg Curve</t>
  </si>
  <si>
    <t>MYR.CCS.6M</t>
  </si>
  <si>
    <t>MYR.BASIS.3M.USD.3M</t>
  </si>
  <si>
    <t>MYR.NDIRS.3M</t>
  </si>
  <si>
    <t>MYR.OIS</t>
  </si>
  <si>
    <t>NOK.6M.IMMFRA</t>
  </si>
  <si>
    <t>NOK</t>
  </si>
  <si>
    <t>NOK.BASIS.3M.USD.3M</t>
  </si>
  <si>
    <t>NOK Bloomberg Curve</t>
  </si>
  <si>
    <t>NOK.BASIS.3M.EUR.3M</t>
  </si>
  <si>
    <t>NOK.3M</t>
  </si>
  <si>
    <t>NOK 3M Bloomberg Curve</t>
  </si>
  <si>
    <t>NOK.6M</t>
  </si>
  <si>
    <t>NOK 6M Bloomberg Curve</t>
  </si>
  <si>
    <t>NOK.1M</t>
  </si>
  <si>
    <t>NOK 1M Bloomberg Curve</t>
  </si>
  <si>
    <t>NZD.3M</t>
  </si>
  <si>
    <t>NZD</t>
  </si>
  <si>
    <t>NZD Bloomberg Curve</t>
  </si>
  <si>
    <t>NZD.BASIS.3M.USD.3M</t>
  </si>
  <si>
    <t>NZD.OIS</t>
  </si>
  <si>
    <t>NZD.FIXING.3M.ISDA</t>
  </si>
  <si>
    <t>NZD.FIXING.3M</t>
  </si>
  <si>
    <t>PHP.CCS.6M</t>
  </si>
  <si>
    <t>PHP</t>
  </si>
  <si>
    <t>PHP Bloomberg Curve</t>
  </si>
  <si>
    <t>PHP.3M</t>
  </si>
  <si>
    <t>PHP.BASIS.3M.USD.3M</t>
  </si>
  <si>
    <t>PHP.NDIRS.3M</t>
  </si>
  <si>
    <t>PKR.6M</t>
  </si>
  <si>
    <t>PKR</t>
  </si>
  <si>
    <t>PKR Bloomberg Curve</t>
  </si>
  <si>
    <t>PKR.BASIS.6M.USD.6M</t>
  </si>
  <si>
    <t>PLN.6M.3MFRA</t>
  </si>
  <si>
    <t>PLN</t>
  </si>
  <si>
    <t>PLN Bloomberg Curve</t>
  </si>
  <si>
    <t>PLN.BASIS.3M.USD.3M</t>
  </si>
  <si>
    <t>PLN.BASIS.3M.EUR.3M</t>
  </si>
  <si>
    <t>6M PLN Bloomberg Curve</t>
  </si>
  <si>
    <t>PLN.3M</t>
  </si>
  <si>
    <t>3M PLN Bloomberg Curve</t>
  </si>
  <si>
    <t>PLN.6M</t>
  </si>
  <si>
    <t>PLN.OIS</t>
  </si>
  <si>
    <t>PLN OIS Curve</t>
  </si>
  <si>
    <t>RON.6M</t>
  </si>
  <si>
    <t>RON</t>
  </si>
  <si>
    <t>RON Bloomberg Curve</t>
  </si>
  <si>
    <t>RON.BASIS.6M.USD.3M</t>
  </si>
  <si>
    <t>RON.BASIS.3M.EUR.3M</t>
  </si>
  <si>
    <t>RUB.3M</t>
  </si>
  <si>
    <t>RUB</t>
  </si>
  <si>
    <t>RUB Bloomberg Curve</t>
  </si>
  <si>
    <t>RUB.BASIS.3M.USD.3M</t>
  </si>
  <si>
    <t>RUB.CCS.3M</t>
  </si>
  <si>
    <t>RUB.OIS</t>
  </si>
  <si>
    <t>SAR.3M</t>
  </si>
  <si>
    <t>SAR</t>
  </si>
  <si>
    <t>SAR Bloomberg Curve</t>
  </si>
  <si>
    <t>SAR.BASIS.3M.USD.3M</t>
  </si>
  <si>
    <t>SAR.1M</t>
  </si>
  <si>
    <t>SAR 1M Bloomberg Curve</t>
  </si>
  <si>
    <t>SAR.6M</t>
  </si>
  <si>
    <t>SAR 6M Bloomberg Curve</t>
  </si>
  <si>
    <t>SAR.12M</t>
  </si>
  <si>
    <t>SAR 12M Bloomberg Curve</t>
  </si>
  <si>
    <t>SEK.3M</t>
  </si>
  <si>
    <t>SEK</t>
  </si>
  <si>
    <t>SEK Bloomberg Curve</t>
  </si>
  <si>
    <t>SEK.BASIS.3M.USD.3M</t>
  </si>
  <si>
    <t>SEK.OIS</t>
  </si>
  <si>
    <t>SEK.BASIS.3M.EUR.3M</t>
  </si>
  <si>
    <t>SEK.1M</t>
  </si>
  <si>
    <t>SEK 1M Bloomberg Curve</t>
  </si>
  <si>
    <t>SEK.6M</t>
  </si>
  <si>
    <t>SEK 6M Bloomberg Curve</t>
  </si>
  <si>
    <t>SGD.6M</t>
  </si>
  <si>
    <t>SGD</t>
  </si>
  <si>
    <t>SGD Bloomberg Curve</t>
  </si>
  <si>
    <t>SGD.CCS.6M</t>
  </si>
  <si>
    <t>SGD.6M.OFFSHORE</t>
  </si>
  <si>
    <t>SGD.CCS.6M.OFFSHORE</t>
  </si>
  <si>
    <t>SGD.BASIS.6M.USD.6M</t>
  </si>
  <si>
    <t>SGD.FIXING.6M.ISDA</t>
  </si>
  <si>
    <t>SGD.FIXING.6M</t>
  </si>
  <si>
    <t>SGD.1M</t>
  </si>
  <si>
    <t>SGD 1M Bloomberg Curve</t>
  </si>
  <si>
    <t>SGD.3M</t>
  </si>
  <si>
    <t>SGD 3M Bloomberg Curve</t>
  </si>
  <si>
    <t>THB.6M.BIBOR</t>
  </si>
  <si>
    <t>THB</t>
  </si>
  <si>
    <t>THB Bloomberg Curve</t>
  </si>
  <si>
    <t>THB.CCS.6M</t>
  </si>
  <si>
    <t>THB.OIS</t>
  </si>
  <si>
    <t>THB.BASIS.6M.USD.6M</t>
  </si>
  <si>
    <t>THB.6M</t>
  </si>
  <si>
    <t>THB.NDIRS.6M.ND</t>
  </si>
  <si>
    <t>THB.6M.FIXVSREPO</t>
  </si>
  <si>
    <t>THBFIX 6M v 6M Fixed Depo Bloomberg Curve</t>
  </si>
  <si>
    <t>THB.6M.FIXVSBIBOR</t>
  </si>
  <si>
    <t>THBFIX 6M vs BIBOR Bloomberg Curve</t>
  </si>
  <si>
    <t>TRY.3M</t>
  </si>
  <si>
    <t>TRY</t>
  </si>
  <si>
    <t>TRY Bloomberg Curve</t>
  </si>
  <si>
    <t>TRY.BASIS.3M.USD.6M</t>
  </si>
  <si>
    <t>TRY.CCS.3M</t>
  </si>
  <si>
    <t>TWD.3M</t>
  </si>
  <si>
    <t>TWD</t>
  </si>
  <si>
    <t>TWD Bloomberg Curve</t>
  </si>
  <si>
    <t>TWD.CCS.3M</t>
  </si>
  <si>
    <t>TWD.BASIS.3M.USD.3M</t>
  </si>
  <si>
    <t>TWD.NDIRS.3M</t>
  </si>
  <si>
    <t>USD.3M</t>
  </si>
  <si>
    <t>USD</t>
  </si>
  <si>
    <t>USD Bloomberg Curve</t>
  </si>
  <si>
    <t>USD.OIS</t>
  </si>
  <si>
    <t>USD.3M.MUNI</t>
  </si>
  <si>
    <t>USD.3M.ANNUAL</t>
  </si>
  <si>
    <t>USD.BASIS.3M.1M</t>
  </si>
  <si>
    <t>USD.BASIS.3M.6M</t>
  </si>
  <si>
    <t>USD.BASIS.3M.TBILL</t>
  </si>
  <si>
    <t>USD.BASIS.3M.FEDFUNDS</t>
  </si>
  <si>
    <t>USD.BASIS.3M.PRIME</t>
  </si>
  <si>
    <t>USD.BASIS.3M.CP</t>
  </si>
  <si>
    <t>USD.FIXING.3M</t>
  </si>
  <si>
    <t>USD.3M.QUARTERLY</t>
  </si>
  <si>
    <t>USD.FIXING.3M.ISDA</t>
  </si>
  <si>
    <t>USD.12M</t>
  </si>
  <si>
    <t>USD 12M Bloomberg Curve</t>
  </si>
  <si>
    <t>USD.MUNI</t>
  </si>
  <si>
    <t>Muni</t>
  </si>
  <si>
    <t>USD % Libor Curve</t>
  </si>
  <si>
    <t>USD.MUNI.SWAPS</t>
  </si>
  <si>
    <t>USD Muni Swaps</t>
  </si>
  <si>
    <t>VND.3M</t>
  </si>
  <si>
    <t>VND</t>
  </si>
  <si>
    <t>VND Bloomberg Curve</t>
  </si>
  <si>
    <t>VND.BASIS.3M.USD.3M</t>
  </si>
  <si>
    <t>ZAR.3M</t>
  </si>
  <si>
    <t>ZAR</t>
  </si>
  <si>
    <t>ZAR Bloomberg Curve</t>
  </si>
  <si>
    <t>ZAR.BASIS.3M.USD.3M</t>
  </si>
  <si>
    <t>ZAR.BASIS.3M.EUR.3M</t>
  </si>
  <si>
    <t>Interpolation</t>
  </si>
  <si>
    <t>ParallelShift</t>
  </si>
  <si>
    <t>Linear_Simple</t>
  </si>
  <si>
    <t>Smooth_Forward</t>
  </si>
  <si>
    <t>Step_Forward</t>
  </si>
  <si>
    <t>Linear_Continuous</t>
  </si>
  <si>
    <t>Par</t>
  </si>
  <si>
    <t>32 YR</t>
  </si>
  <si>
    <t>MidAssetSwap</t>
  </si>
  <si>
    <t>MidZSpread</t>
  </si>
  <si>
    <t>IT0004907843</t>
  </si>
  <si>
    <t>IT0004361041</t>
  </si>
  <si>
    <t>IT0004957574</t>
  </si>
  <si>
    <t>IT0003493258</t>
  </si>
  <si>
    <t>IT0004423957</t>
  </si>
  <si>
    <t>IT0004992308</t>
  </si>
  <si>
    <t>IT0005030504</t>
  </si>
  <si>
    <t>IT0004489610</t>
  </si>
  <si>
    <t>IT0005069395</t>
  </si>
  <si>
    <t>IT0003644769</t>
  </si>
  <si>
    <t>IT0004536949</t>
  </si>
  <si>
    <t>IT0005107708</t>
  </si>
  <si>
    <t>IT0004594930</t>
  </si>
  <si>
    <t>IT0004634132</t>
  </si>
  <si>
    <t>IT0004966401</t>
  </si>
  <si>
    <t>IT0004009673</t>
  </si>
  <si>
    <t>IT0004695075</t>
  </si>
  <si>
    <t>IT0005028003</t>
  </si>
  <si>
    <t>IT0004759673</t>
  </si>
  <si>
    <t>IT0005086886</t>
  </si>
  <si>
    <t>IT0004801541</t>
  </si>
  <si>
    <t>IT0004848831</t>
  </si>
  <si>
    <t>IT0004898034</t>
  </si>
  <si>
    <t>IT0004356843</t>
  </si>
  <si>
    <t>IT0000366655</t>
  </si>
  <si>
    <t>IT0004953417</t>
  </si>
  <si>
    <t>IT0005001547</t>
  </si>
  <si>
    <t>IT0005045270</t>
  </si>
  <si>
    <t>IT0004513641</t>
  </si>
  <si>
    <t>IT0005090318</t>
  </si>
  <si>
    <t>IT0004644735</t>
  </si>
  <si>
    <t>IT0001086567</t>
  </si>
  <si>
    <t>IT0001174611</t>
  </si>
  <si>
    <t>IT0004889033</t>
  </si>
  <si>
    <t>IT0001278511</t>
  </si>
  <si>
    <t>IT0005024234</t>
  </si>
  <si>
    <t>IT0001444378</t>
  </si>
  <si>
    <t>IT0005094088</t>
  </si>
  <si>
    <t>IT0003256820</t>
  </si>
  <si>
    <t>IT0003535157</t>
  </si>
  <si>
    <t>IT0003934657</t>
  </si>
  <si>
    <t>IT0004286966</t>
  </si>
  <si>
    <t>IT0004532559</t>
  </si>
  <si>
    <t>IT0004923998</t>
  </si>
  <si>
    <t>IT0005083057</t>
  </si>
  <si>
    <t>EUR.PRICING_MAIN.PXE.</t>
  </si>
  <si>
    <t>MidYield</t>
  </si>
  <si>
    <t>MDuration</t>
  </si>
  <si>
    <t>y/y</t>
  </si>
  <si>
    <t>CouponInterest</t>
  </si>
  <si>
    <t>MidPrice</t>
  </si>
  <si>
    <t>DateMaturity</t>
  </si>
  <si>
    <t>Ticker</t>
  </si>
  <si>
    <t>CurrentClosingYieldMid</t>
  </si>
  <si>
    <t>CurrentClosingPriceMid</t>
  </si>
  <si>
    <t>YldChg</t>
  </si>
  <si>
    <t>IT0004019581</t>
  </si>
  <si>
    <t>IT0004761950</t>
  </si>
  <si>
    <t>DE0001137479</t>
  </si>
  <si>
    <t>DE0001141612</t>
  </si>
  <si>
    <t>PTOTE6OE0006</t>
  </si>
  <si>
    <t>ES00000123J2</t>
  </si>
  <si>
    <t>IT0004960826</t>
  </si>
  <si>
    <t>IT0004987191</t>
  </si>
  <si>
    <t>DE0001137487</t>
  </si>
  <si>
    <t>ES00000120J8</t>
  </si>
  <si>
    <t>IT0004164775</t>
  </si>
  <si>
    <t>DE0001141620</t>
  </si>
  <si>
    <t>DE0001137495</t>
  </si>
  <si>
    <t>DE0001141638</t>
  </si>
  <si>
    <t>FR0010415331</t>
  </si>
  <si>
    <t>ES00000124I2</t>
  </si>
  <si>
    <t>IT0004793474</t>
  </si>
  <si>
    <t>IT0005023459</t>
  </si>
  <si>
    <t>IT0004820426</t>
  </si>
  <si>
    <t>DE0001104602</t>
  </si>
  <si>
    <t>DE0001135333</t>
  </si>
  <si>
    <t>ES0000012783</t>
  </si>
  <si>
    <t>IT0003242747</t>
  </si>
  <si>
    <t>DE0001141646</t>
  </si>
  <si>
    <t>PTOTELOE0010</t>
  </si>
  <si>
    <t>FR0010517417</t>
  </si>
  <si>
    <t>ES00000126V0</t>
  </si>
  <si>
    <t>IT0004867070</t>
  </si>
  <si>
    <t>DE0001135341</t>
  </si>
  <si>
    <t>IT0005058463</t>
  </si>
  <si>
    <t>ES00000123Q7</t>
  </si>
  <si>
    <t>IT0004273493</t>
  </si>
  <si>
    <t>DE0001141653</t>
  </si>
  <si>
    <t>FR0012634558</t>
  </si>
  <si>
    <t>DE0001141661</t>
  </si>
  <si>
    <t>FR0010604983</t>
  </si>
  <si>
    <t>ES00000127D6</t>
  </si>
  <si>
    <t>IT0005106049</t>
  </si>
  <si>
    <t>FR0011394345</t>
  </si>
  <si>
    <t>PTOTENOE0018</t>
  </si>
  <si>
    <t>DE0001135358</t>
  </si>
  <si>
    <t>ES00000121A5</t>
  </si>
  <si>
    <t>DE0001141679</t>
  </si>
  <si>
    <t>FR0010670737</t>
  </si>
  <si>
    <t>ES00000124B7</t>
  </si>
  <si>
    <t>FR0011523257</t>
  </si>
  <si>
    <t>DE0001135374</t>
  </si>
  <si>
    <t>DE0001141687</t>
  </si>
  <si>
    <t>DE0001141695</t>
  </si>
  <si>
    <t>FR0000189151</t>
  </si>
  <si>
    <t>ES00000124V5</t>
  </si>
  <si>
    <t>FR0011708080</t>
  </si>
  <si>
    <t>PTOTEMOE0027</t>
  </si>
  <si>
    <t>DE0001135382</t>
  </si>
  <si>
    <t>ES00000121L2</t>
  </si>
  <si>
    <t>DE0001141703</t>
  </si>
  <si>
    <t>FR0010776161</t>
  </si>
  <si>
    <t>ES00000121O6</t>
  </si>
  <si>
    <t>FR0011993179</t>
  </si>
  <si>
    <t>DE0001135390</t>
  </si>
  <si>
    <t>ES00000126C0</t>
  </si>
  <si>
    <t>DE0001141711</t>
  </si>
  <si>
    <t>FR0010854182</t>
  </si>
  <si>
    <t>ES00000122D7</t>
  </si>
  <si>
    <t>FR0012557957</t>
  </si>
  <si>
    <t>PTOTECOE0029</t>
  </si>
  <si>
    <t>DE0001135408</t>
  </si>
  <si>
    <t>DE0001135416</t>
  </si>
  <si>
    <t>FR0010949651</t>
  </si>
  <si>
    <t>ES00000122T3</t>
  </si>
  <si>
    <t>DE0001135424</t>
  </si>
  <si>
    <t>PTOTEYOE0007</t>
  </si>
  <si>
    <t>FR0010192997</t>
  </si>
  <si>
    <t>ES00000123B9</t>
  </si>
  <si>
    <t>DE0001135440</t>
  </si>
  <si>
    <t>DE0001135457</t>
  </si>
  <si>
    <t>FR0011059088</t>
  </si>
  <si>
    <t>DE0001135465</t>
  </si>
  <si>
    <t>ES00000123K0</t>
  </si>
  <si>
    <t>FR0011196856</t>
  </si>
  <si>
    <t>DE0001135473</t>
  </si>
  <si>
    <t>DE0001135499</t>
  </si>
  <si>
    <t>FR0011337880</t>
  </si>
  <si>
    <t>ES00000123U9</t>
  </si>
  <si>
    <t>DE0001102309</t>
  </si>
  <si>
    <t>DE0001102317</t>
  </si>
  <si>
    <t>FR0011486067</t>
  </si>
  <si>
    <t>DE0001102325</t>
  </si>
  <si>
    <t>PTOTEAOE0021</t>
  </si>
  <si>
    <t>FR0010466938</t>
  </si>
  <si>
    <t>ES00000123X3</t>
  </si>
  <si>
    <t>DE0001134922</t>
  </si>
  <si>
    <t>ES00000121G2</t>
  </si>
  <si>
    <t>PTOTEQOE0015</t>
  </si>
  <si>
    <t>DE0001102333</t>
  </si>
  <si>
    <t>ES00000124W3</t>
  </si>
  <si>
    <t>DE0001102358</t>
  </si>
  <si>
    <t>FR0011619436</t>
  </si>
  <si>
    <t>DE0001102366</t>
  </si>
  <si>
    <t>ES00000126B2</t>
  </si>
  <si>
    <t>FR0011962398</t>
  </si>
  <si>
    <t>DE0001102374</t>
  </si>
  <si>
    <t>ES00000126Z1</t>
  </si>
  <si>
    <t>FR0012517027</t>
  </si>
  <si>
    <t>ES00000122E5</t>
  </si>
  <si>
    <t>PTOTEKOE0011</t>
  </si>
  <si>
    <t>ES00000127G9</t>
  </si>
  <si>
    <t>FR0010916924</t>
  </si>
  <si>
    <t>ES00000123C7</t>
  </si>
  <si>
    <t>DE0001135044</t>
  </si>
  <si>
    <t>FR0011317783</t>
  </si>
  <si>
    <t>DE0001135069</t>
  </si>
  <si>
    <t>DE0001135085</t>
  </si>
  <si>
    <t>ES00000124C5</t>
  </si>
  <si>
    <t>ES0000011868</t>
  </si>
  <si>
    <t>DE0001135143</t>
  </si>
  <si>
    <t>PTOTEROE0014</t>
  </si>
  <si>
    <t>FR0011883966</t>
  </si>
  <si>
    <t>ES00000127A2</t>
  </si>
  <si>
    <t>DE0001135176</t>
  </si>
  <si>
    <t>ES0000012411</t>
  </si>
  <si>
    <t>FR0000187635</t>
  </si>
  <si>
    <t>DE0001135226</t>
  </si>
  <si>
    <t>FR0010070060</t>
  </si>
  <si>
    <t>DE0001135275</t>
  </si>
  <si>
    <t>ES0000012932</t>
  </si>
  <si>
    <t>PTOTE5OE0007</t>
  </si>
  <si>
    <t>FR0010371401</t>
  </si>
  <si>
    <t>DE0001135325</t>
  </si>
  <si>
    <t>DE0001135366</t>
  </si>
  <si>
    <t>ES00000120N0</t>
  </si>
  <si>
    <t>FR0010773192</t>
  </si>
  <si>
    <t>ES00000121S7</t>
  </si>
  <si>
    <t>DE0001135432</t>
  </si>
  <si>
    <t>DE0001135481</t>
  </si>
  <si>
    <t>ES00000124H4</t>
  </si>
  <si>
    <t>PTOTEBOE0020</t>
  </si>
  <si>
    <t>FR0011461037</t>
  </si>
  <si>
    <t>DE0001102341</t>
  </si>
  <si>
    <t>ASW</t>
  </si>
  <si>
    <t>AMT_OUTSTANDING</t>
  </si>
  <si>
    <t>ISSUE_DT</t>
  </si>
  <si>
    <t xml:space="preserve"> Corp</t>
  </si>
  <si>
    <t>FR0010171975</t>
  </si>
  <si>
    <t>FR0010870956</t>
  </si>
  <si>
    <t>FR0012938116</t>
  </si>
  <si>
    <t>FR0012968337</t>
  </si>
  <si>
    <t>ES00000127H7</t>
  </si>
  <si>
    <t>PTOTESOE0013</t>
  </si>
  <si>
    <t>IT0005139099</t>
  </si>
  <si>
    <t>FR0012993103</t>
  </si>
  <si>
    <t>DE0001141729</t>
  </si>
  <si>
    <t>DE0001104610</t>
  </si>
  <si>
    <t>DE0001102382</t>
  </si>
  <si>
    <t>TrdValueAvg</t>
  </si>
  <si>
    <t>Z_SPRD_MID</t>
  </si>
  <si>
    <t>IE00B8DLLB38</t>
  </si>
  <si>
    <t>IE00B28HXX02</t>
  </si>
  <si>
    <t>IE00B2QTFG59</t>
  </si>
  <si>
    <t>IE00B6089D15</t>
  </si>
  <si>
    <t>IE0034074488</t>
  </si>
  <si>
    <t>IE00B60Z6194</t>
  </si>
  <si>
    <t>IE00BJ38CQ36</t>
  </si>
  <si>
    <t>IE00B4S3JD47</t>
  </si>
  <si>
    <t>IE00B6X95T99</t>
  </si>
  <si>
    <t>IE00B4TV0D44</t>
  </si>
  <si>
    <t>IE00BJ38CR43</t>
  </si>
  <si>
    <t>IE00BV8C9186</t>
  </si>
  <si>
    <t>DE0001104628</t>
  </si>
  <si>
    <t>IT0005142143</t>
  </si>
  <si>
    <t>IT0005135840</t>
  </si>
  <si>
    <t>wait</t>
  </si>
  <si>
    <t>PREV_CPN_DT</t>
  </si>
  <si>
    <t>NXT_CPN_DT</t>
  </si>
  <si>
    <t>ASK</t>
  </si>
  <si>
    <t>MID</t>
  </si>
  <si>
    <t>BID</t>
  </si>
  <si>
    <t>CPN</t>
  </si>
  <si>
    <t>Spread</t>
  </si>
  <si>
    <t>IE00BV8C9418</t>
  </si>
  <si>
    <t>DE0001102390</t>
  </si>
  <si>
    <t>YAS_ZSPREAD</t>
  </si>
  <si>
    <t>ES00000127Z9</t>
  </si>
  <si>
    <t>PTOTETOE0012</t>
  </si>
  <si>
    <t>IT0005127086</t>
  </si>
  <si>
    <t>ES00000128A0</t>
  </si>
  <si>
    <t xml:space="preserve"> </t>
  </si>
  <si>
    <t>IT0005162828</t>
  </si>
  <si>
    <t>DE0001141737</t>
  </si>
  <si>
    <t>DE0001104636</t>
  </si>
  <si>
    <t>FR0013101466</t>
  </si>
  <si>
    <t>sep22-20</t>
  </si>
  <si>
    <t>sep24-22</t>
  </si>
  <si>
    <t>sep20-oct18</t>
  </si>
  <si>
    <t>IT0005170839</t>
  </si>
  <si>
    <t>XLS_ANDREA</t>
  </si>
  <si>
    <t>real</t>
  </si>
  <si>
    <t>string</t>
  </si>
  <si>
    <t>SUPPLY RECORD</t>
  </si>
  <si>
    <t>PUBLISH</t>
  </si>
  <si>
    <t>YldCls</t>
  </si>
  <si>
    <t>Id</t>
  </si>
  <si>
    <t>RECORD</t>
  </si>
  <si>
    <t>PREVIOUS_TRADING_DATE</t>
  </si>
  <si>
    <t>1 day</t>
  </si>
  <si>
    <t>1 day pr</t>
  </si>
  <si>
    <t>ION y-1</t>
  </si>
  <si>
    <t>YldMidCoW</t>
  </si>
  <si>
    <t>YldMidCoM</t>
  </si>
  <si>
    <t>y-d</t>
  </si>
  <si>
    <t>y-w</t>
  </si>
  <si>
    <t>y-m</t>
  </si>
  <si>
    <t>ES00000128B8</t>
  </si>
  <si>
    <t>FR0013131877</t>
  </si>
  <si>
    <t>ES00000128C6</t>
  </si>
  <si>
    <t>IT0005172322</t>
  </si>
  <si>
    <t>1 week</t>
  </si>
  <si>
    <t>1 month</t>
  </si>
  <si>
    <t>may20-oct18</t>
  </si>
  <si>
    <t>errore</t>
  </si>
  <si>
    <t>InstType</t>
  </si>
  <si>
    <t>Bid</t>
  </si>
  <si>
    <t>Ask</t>
  </si>
  <si>
    <t>CASH</t>
  </si>
  <si>
    <t>SWAP</t>
  </si>
  <si>
    <t>IT0005175598</t>
  </si>
  <si>
    <t>IT0005177271</t>
  </si>
  <si>
    <t>FR0013154044</t>
  </si>
  <si>
    <t>FR0013154028</t>
  </si>
  <si>
    <t>IT0005177909</t>
  </si>
  <si>
    <t>IT0004584204</t>
  </si>
  <si>
    <t>IT0004809809</t>
  </si>
  <si>
    <t>IT0004652175</t>
  </si>
  <si>
    <t>IT0004716319</t>
  </si>
  <si>
    <t>IT0004922909</t>
  </si>
  <si>
    <t>IT0005009839</t>
  </si>
  <si>
    <t>IT0005056541</t>
  </si>
  <si>
    <t>IT0005104473</t>
  </si>
  <si>
    <t>IT0005137614</t>
  </si>
  <si>
    <t>IT0005185456</t>
  </si>
  <si>
    <t>DE0001104644</t>
  </si>
  <si>
    <t>ES00000128E2</t>
  </si>
  <si>
    <t>DE0001102408</t>
  </si>
  <si>
    <t>1 WK</t>
  </si>
  <si>
    <t>2 WK</t>
  </si>
  <si>
    <t>1 MO</t>
  </si>
  <si>
    <t>2 MO</t>
  </si>
  <si>
    <t>3 MO</t>
  </si>
  <si>
    <t>4 MO</t>
  </si>
  <si>
    <t>5 MO</t>
  </si>
  <si>
    <t>30 MO</t>
  </si>
  <si>
    <t>IT0005210650</t>
  </si>
  <si>
    <t>Roll</t>
  </si>
  <si>
    <t>Match</t>
  </si>
  <si>
    <t>Interp</t>
  </si>
  <si>
    <t>Accr</t>
  </si>
  <si>
    <t>chg</t>
  </si>
  <si>
    <t>DE0001104651</t>
  </si>
  <si>
    <t>ES00000128H5</t>
  </si>
  <si>
    <t>spread</t>
  </si>
  <si>
    <t>DE0001141745</t>
  </si>
  <si>
    <t>avg</t>
  </si>
  <si>
    <t>spot</t>
  </si>
  <si>
    <t>FR0013200813</t>
  </si>
  <si>
    <t xml:space="preserve">   </t>
  </si>
  <si>
    <t>IT0005215246</t>
  </si>
  <si>
    <t>IT0005216491</t>
  </si>
  <si>
    <t>IT0005217390</t>
  </si>
  <si>
    <t>dv01</t>
  </si>
  <si>
    <t>IT0005217929</t>
  </si>
  <si>
    <t>FR0013157096</t>
  </si>
  <si>
    <t>1 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</si>
</sst>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8" formatCode="&quot;£&quot;#,##0.00;[Red]\-&quot;£&quot;#,##0.00"/>
    <numFmt numFmtId="165" formatCode="0.000"/>
    <numFmt numFmtId="166" formatCode="0.000000"/>
    <numFmt numFmtId="167" formatCode="0.0"/>
    <numFmt numFmtId="168" formatCode="[$-409]mmm\-yy;@"/>
    <numFmt numFmtId="169" formatCode="[$-409]d\-mmm\-yy;@"/>
    <numFmt numFmtId="170" formatCode="[$-409]dd\-mmm\-yy;@"/>
    <numFmt numFmtId="171" formatCode="0.0000"/>
    <numFmt numFmtId="172" formatCode="d\.m\.yy;@"/>
    <numFmt numFmtId="175" formatCode="#,##0.0"/>
    <numFmt numFmtId="176" formatCode="0.0000000"/>
    <numFmt numFmtId="177" formatCode="0.000000%"/>
    <numFmt numFmtId="178" formatCode="#,##0.00000"/>
    <numFmt numFmtId="179" formatCode="0.000%"/>
    <numFmt numFmtId="180" formatCode="&quot;£&quot;#,##0\ ;\(&quot;£&quot;#,##0\)"/>
    <numFmt numFmtId="181" formatCode="&quot;$&quot;#,##0\ ;\(&quot;$&quot;#,##0\)"/>
    <numFmt numFmtId="182" formatCode="ddd\ d\-mmm\-yy"/>
    <numFmt numFmtId="183" formatCode="0.00_)"/>
    <numFmt numFmtId="184" formatCode="dd/mm/yyyy;@"/>
    <numFmt numFmtId="185" formatCode="[$-F800]dddd\,\ mmmm\ dd\,\ yyyy"/>
    <numFmt numFmtId="187" formatCode="d/m;@"/>
  </numFmts>
  <fonts count="10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u/>
      <sz val="11"/>
      <color rgb="FF7030A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8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5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6" tint="-0.249977111117893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6"/>
      <name val="Calibri"/>
      <family val="2"/>
      <scheme val="minor"/>
    </font>
    <font>
      <sz val="9"/>
      <color theme="3"/>
      <name val="Calibri"/>
      <family val="2"/>
      <scheme val="minor"/>
    </font>
    <font>
      <i/>
      <strike/>
      <u/>
      <sz val="11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name val="Arial"/>
      <family val="2"/>
    </font>
    <font>
      <sz val="12"/>
      <name val="¹ÙÅÁÃ¼"/>
      <family val="2"/>
      <charset val="129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color indexed="24"/>
      <name val="Times New Roman"/>
      <family val="1"/>
    </font>
    <font>
      <sz val="10"/>
      <name val="MS Sans Serif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4"/>
      <color indexed="11"/>
      <name val="Arial"/>
      <family val="2"/>
    </font>
    <font>
      <b/>
      <sz val="10"/>
      <color indexed="10"/>
      <name val="Arial"/>
      <family val="2"/>
    </font>
    <font>
      <i/>
      <sz val="11"/>
      <color indexed="23"/>
      <name val="Calibri"/>
      <family val="2"/>
    </font>
    <font>
      <sz val="12"/>
      <name val="Times New Roman"/>
      <family val="1"/>
    </font>
    <font>
      <sz val="18"/>
      <name val="Arial"/>
      <family val="2"/>
    </font>
    <font>
      <sz val="8"/>
      <name val="Arial"/>
      <family val="2"/>
    </font>
    <font>
      <i/>
      <sz val="12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sz val="11"/>
      <color indexed="17"/>
      <name val="Calibri"/>
      <family val="2"/>
    </font>
    <font>
      <b/>
      <sz val="9"/>
      <color indexed="46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2"/>
      <color indexed="9"/>
      <name val="Arial Narrow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</font>
    <font>
      <sz val="10"/>
      <color indexed="12"/>
      <name val="MS Sans Serif"/>
      <family val="2"/>
    </font>
    <font>
      <sz val="10"/>
      <color indexed="14"/>
      <name val="Arial"/>
      <family val="2"/>
    </font>
    <font>
      <sz val="8"/>
      <color indexed="9"/>
      <name val="Arial"/>
      <family val="2"/>
    </font>
    <font>
      <b/>
      <sz val="9"/>
      <color indexed="63"/>
      <name val="Tahoma"/>
      <family val="2"/>
    </font>
    <font>
      <sz val="11"/>
      <color indexed="52"/>
      <name val="Calibri"/>
      <family val="2"/>
    </font>
    <font>
      <b/>
      <sz val="12"/>
      <color indexed="20"/>
      <name val="Tahoma"/>
      <family val="2"/>
    </font>
    <font>
      <sz val="11"/>
      <color indexed="60"/>
      <name val="Calibri"/>
      <family val="2"/>
    </font>
    <font>
      <b/>
      <i/>
      <sz val="16"/>
      <name val="Helv"/>
    </font>
    <font>
      <sz val="10"/>
      <color theme="1"/>
      <name val="Arial"/>
      <family val="2"/>
    </font>
    <font>
      <b/>
      <sz val="11"/>
      <color indexed="63"/>
      <name val="Calibri"/>
      <family val="2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8"/>
      <color indexed="56"/>
      <name val="Cambri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rgb="FFFF0000"/>
      <name val="Arial"/>
      <family val="2"/>
    </font>
    <font>
      <sz val="10"/>
      <color theme="5"/>
      <name val="Arial"/>
      <family val="2"/>
    </font>
    <font>
      <b/>
      <sz val="10"/>
      <color theme="5"/>
      <name val="Arial"/>
      <family val="2"/>
    </font>
    <font>
      <sz val="11"/>
      <color theme="5"/>
      <name val="Calibri"/>
      <family val="2"/>
      <scheme val="minor"/>
    </font>
    <font>
      <sz val="8"/>
      <color theme="3"/>
      <name val="Calibri"/>
      <family val="2"/>
      <scheme val="minor"/>
    </font>
    <font>
      <sz val="8"/>
      <color rgb="FF008000"/>
      <name val="Calibri"/>
      <family val="2"/>
      <scheme val="minor"/>
    </font>
    <font>
      <b/>
      <sz val="8"/>
      <color rgb="FF660066"/>
      <name val="Calibri"/>
      <family val="2"/>
      <scheme val="minor"/>
    </font>
    <font>
      <sz val="8"/>
      <color rgb="FF660066"/>
      <name val="Calibri"/>
      <family val="2"/>
      <scheme val="minor"/>
    </font>
    <font>
      <sz val="8"/>
      <color rgb="FFFF6600"/>
      <name val="Calibri"/>
      <family val="2"/>
      <scheme val="minor"/>
    </font>
    <font>
      <b/>
      <sz val="8"/>
      <color rgb="FFFF6600"/>
      <name val="Calibri"/>
      <family val="2"/>
      <scheme val="minor"/>
    </font>
    <font>
      <sz val="8"/>
      <color rgb="FF0000FF"/>
      <name val="Calibri"/>
      <family val="2"/>
      <scheme val="minor"/>
    </font>
    <font>
      <b/>
      <sz val="8"/>
      <color rgb="FF0000FF"/>
      <name val="Calibri"/>
      <family val="2"/>
      <scheme val="minor"/>
    </font>
    <font>
      <sz val="9"/>
      <name val="Calibri"/>
      <family val="2"/>
      <scheme val="minor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3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43"/>
      </patternFill>
    </fill>
    <fill>
      <patternFill patternType="solid">
        <fgColor indexed="15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631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  <xf numFmtId="0" fontId="19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8" fontId="18" fillId="0" borderId="0" applyFont="0" applyFill="0" applyBorder="0" applyAlignment="0" applyProtection="0"/>
    <xf numFmtId="175" fontId="18" fillId="0" borderId="0" applyFont="0" applyFill="0" applyBorder="0" applyAlignment="0" applyProtection="0"/>
    <xf numFmtId="0" fontId="18" fillId="0" borderId="0"/>
    <xf numFmtId="0" fontId="18" fillId="0" borderId="0"/>
    <xf numFmtId="9" fontId="45" fillId="0" borderId="0" applyFont="0" applyFill="0" applyBorder="0" applyAlignment="0" applyProtection="0"/>
    <xf numFmtId="0" fontId="46" fillId="46" borderId="0" applyNumberFormat="0" applyBorder="0" applyAlignment="0" applyProtection="0"/>
    <xf numFmtId="0" fontId="46" fillId="47" borderId="0" applyNumberFormat="0" applyBorder="0" applyAlignment="0" applyProtection="0"/>
    <xf numFmtId="0" fontId="46" fillId="48" borderId="0" applyNumberFormat="0" applyBorder="0" applyAlignment="0" applyProtection="0"/>
    <xf numFmtId="0" fontId="46" fillId="49" borderId="0" applyNumberFormat="0" applyBorder="0" applyAlignment="0" applyProtection="0"/>
    <xf numFmtId="0" fontId="46" fillId="50" borderId="0" applyNumberFormat="0" applyBorder="0" applyAlignment="0" applyProtection="0"/>
    <xf numFmtId="0" fontId="46" fillId="51" borderId="0" applyNumberFormat="0" applyBorder="0" applyAlignment="0" applyProtection="0"/>
    <xf numFmtId="0" fontId="46" fillId="52" borderId="0" applyNumberFormat="0" applyBorder="0" applyAlignment="0" applyProtection="0"/>
    <xf numFmtId="0" fontId="46" fillId="53" borderId="0" applyNumberFormat="0" applyBorder="0" applyAlignment="0" applyProtection="0"/>
    <xf numFmtId="0" fontId="46" fillId="54" borderId="0" applyNumberFormat="0" applyBorder="0" applyAlignment="0" applyProtection="0"/>
    <xf numFmtId="0" fontId="46" fillId="49" borderId="0" applyNumberFormat="0" applyBorder="0" applyAlignment="0" applyProtection="0"/>
    <xf numFmtId="0" fontId="46" fillId="52" borderId="0" applyNumberFormat="0" applyBorder="0" applyAlignment="0" applyProtection="0"/>
    <xf numFmtId="0" fontId="46" fillId="55" borderId="0" applyNumberFormat="0" applyBorder="0" applyAlignment="0" applyProtection="0"/>
    <xf numFmtId="0" fontId="47" fillId="56" borderId="0" applyNumberFormat="0" applyBorder="0" applyAlignment="0" applyProtection="0"/>
    <xf numFmtId="0" fontId="47" fillId="53" borderId="0" applyNumberFormat="0" applyBorder="0" applyAlignment="0" applyProtection="0"/>
    <xf numFmtId="0" fontId="47" fillId="54" borderId="0" applyNumberFormat="0" applyBorder="0" applyAlignment="0" applyProtection="0"/>
    <xf numFmtId="0" fontId="47" fillId="57" borderId="0" applyNumberFormat="0" applyBorder="0" applyAlignment="0" applyProtection="0"/>
    <xf numFmtId="0" fontId="47" fillId="58" borderId="0" applyNumberFormat="0" applyBorder="0" applyAlignment="0" applyProtection="0"/>
    <xf numFmtId="0" fontId="47" fillId="59" borderId="0" applyNumberFormat="0" applyBorder="0" applyAlignment="0" applyProtection="0"/>
    <xf numFmtId="0" fontId="47" fillId="60" borderId="0" applyNumberFormat="0" applyBorder="0" applyAlignment="0" applyProtection="0"/>
    <xf numFmtId="0" fontId="47" fillId="61" borderId="0" applyNumberFormat="0" applyBorder="0" applyAlignment="0" applyProtection="0"/>
    <xf numFmtId="0" fontId="47" fillId="62" borderId="0" applyNumberFormat="0" applyBorder="0" applyAlignment="0" applyProtection="0"/>
    <xf numFmtId="0" fontId="47" fillId="57" borderId="0" applyNumberFormat="0" applyBorder="0" applyAlignment="0" applyProtection="0"/>
    <xf numFmtId="0" fontId="47" fillId="58" borderId="0" applyNumberFormat="0" applyBorder="0" applyAlignment="0" applyProtection="0"/>
    <xf numFmtId="0" fontId="47" fillId="63" borderId="0" applyNumberFormat="0" applyBorder="0" applyAlignment="0" applyProtection="0"/>
    <xf numFmtId="176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0" fontId="48" fillId="47" borderId="0" applyNumberFormat="0" applyBorder="0" applyAlignment="0" applyProtection="0"/>
    <xf numFmtId="0" fontId="49" fillId="0" borderId="0"/>
    <xf numFmtId="179" fontId="50" fillId="64" borderId="0"/>
    <xf numFmtId="0" fontId="51" fillId="65" borderId="56" applyNumberFormat="0" applyAlignment="0" applyProtection="0"/>
    <xf numFmtId="0" fontId="52" fillId="66" borderId="57" applyNumberFormat="0" applyAlignment="0" applyProtection="0"/>
    <xf numFmtId="3" fontId="53" fillId="0" borderId="0" applyFont="0" applyFill="0" applyBorder="0" applyAlignment="0" applyProtection="0"/>
    <xf numFmtId="3" fontId="53" fillId="0" borderId="0" applyFont="0" applyFill="0" applyBorder="0" applyAlignment="0" applyProtection="0"/>
    <xf numFmtId="3" fontId="53" fillId="0" borderId="0" applyFont="0" applyFill="0" applyBorder="0" applyAlignment="0" applyProtection="0"/>
    <xf numFmtId="180" fontId="53" fillId="0" borderId="0" applyFont="0" applyFill="0" applyBorder="0" applyAlignment="0" applyProtection="0"/>
    <xf numFmtId="180" fontId="53" fillId="0" borderId="0" applyFont="0" applyFill="0" applyBorder="0" applyAlignment="0" applyProtection="0"/>
    <xf numFmtId="181" fontId="53" fillId="0" borderId="0" applyFont="0" applyFill="0" applyBorder="0" applyAlignment="0" applyProtection="0"/>
    <xf numFmtId="181" fontId="53" fillId="0" borderId="0" applyFont="0" applyFill="0" applyBorder="0" applyAlignment="0" applyProtection="0"/>
    <xf numFmtId="180" fontId="53" fillId="0" borderId="0" applyFont="0" applyFill="0" applyBorder="0" applyAlignment="0" applyProtection="0"/>
    <xf numFmtId="0" fontId="54" fillId="67" borderId="58" applyNumberFormat="0" applyFont="0" applyBorder="0" applyAlignment="0" applyProtection="0"/>
    <xf numFmtId="15" fontId="55" fillId="68" borderId="0">
      <alignment horizontal="right"/>
    </xf>
    <xf numFmtId="0" fontId="56" fillId="69" borderId="0" applyNumberFormat="0" applyBorder="0" applyAlignment="0">
      <alignment horizontal="center"/>
    </xf>
    <xf numFmtId="0" fontId="57" fillId="70" borderId="0" applyNumberFormat="0" applyBorder="0" applyAlignment="0"/>
    <xf numFmtId="0" fontId="58" fillId="70" borderId="0">
      <alignment horizontal="centerContinuous"/>
    </xf>
    <xf numFmtId="0" fontId="59" fillId="71" borderId="59">
      <alignment horizontal="center"/>
      <protection locked="0"/>
    </xf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60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2" fillId="0" borderId="0" applyProtection="0"/>
    <xf numFmtId="0" fontId="62" fillId="0" borderId="0" applyProtection="0"/>
    <xf numFmtId="0" fontId="62" fillId="0" borderId="0" applyProtection="0"/>
    <xf numFmtId="0" fontId="62" fillId="0" borderId="0" applyProtection="0"/>
    <xf numFmtId="0" fontId="63" fillId="0" borderId="0" applyProtection="0"/>
    <xf numFmtId="0" fontId="63" fillId="0" borderId="0" applyProtection="0"/>
    <xf numFmtId="0" fontId="63" fillId="0" borderId="0" applyProtection="0"/>
    <xf numFmtId="0" fontId="63" fillId="0" borderId="0" applyProtection="0"/>
    <xf numFmtId="0" fontId="64" fillId="0" borderId="0" applyProtection="0"/>
    <xf numFmtId="0" fontId="64" fillId="0" borderId="0" applyProtection="0"/>
    <xf numFmtId="0" fontId="64" fillId="0" borderId="0" applyProtection="0"/>
    <xf numFmtId="0" fontId="64" fillId="0" borderId="0" applyProtection="0"/>
    <xf numFmtId="0" fontId="61" fillId="0" borderId="0" applyProtection="0"/>
    <xf numFmtId="0" fontId="61" fillId="0" borderId="0" applyProtection="0"/>
    <xf numFmtId="0" fontId="61" fillId="0" borderId="0" applyProtection="0"/>
    <xf numFmtId="0" fontId="61" fillId="0" borderId="0" applyProtection="0"/>
    <xf numFmtId="0" fontId="65" fillId="0" borderId="0" applyProtection="0"/>
    <xf numFmtId="0" fontId="65" fillId="0" borderId="0" applyProtection="0"/>
    <xf numFmtId="0" fontId="65" fillId="0" borderId="0" applyProtection="0"/>
    <xf numFmtId="0" fontId="65" fillId="0" borderId="0" applyProtection="0"/>
    <xf numFmtId="0" fontId="66" fillId="0" borderId="0" applyProtection="0"/>
    <xf numFmtId="0" fontId="66" fillId="0" borderId="0" applyProtection="0"/>
    <xf numFmtId="0" fontId="66" fillId="0" borderId="0" applyProtection="0"/>
    <xf numFmtId="0" fontId="66" fillId="0" borderId="0" applyProtection="0"/>
    <xf numFmtId="0" fontId="67" fillId="0" borderId="0" applyProtection="0"/>
    <xf numFmtId="0" fontId="67" fillId="0" borderId="0" applyProtection="0"/>
    <xf numFmtId="0" fontId="67" fillId="0" borderId="0" applyProtection="0"/>
    <xf numFmtId="0" fontId="67" fillId="0" borderId="0" applyProtection="0"/>
    <xf numFmtId="2" fontId="53" fillId="0" borderId="0" applyFont="0" applyFill="0" applyBorder="0" applyAlignment="0" applyProtection="0"/>
    <xf numFmtId="2" fontId="53" fillId="0" borderId="0" applyFont="0" applyFill="0" applyBorder="0" applyAlignment="0" applyProtection="0"/>
    <xf numFmtId="2" fontId="53" fillId="0" borderId="0" applyFont="0" applyFill="0" applyBorder="0" applyAlignment="0" applyProtection="0"/>
    <xf numFmtId="0" fontId="68" fillId="48" borderId="0" applyNumberFormat="0" applyBorder="0" applyAlignment="0" applyProtection="0"/>
    <xf numFmtId="38" fontId="63" fillId="68" borderId="0" applyNumberFormat="0" applyBorder="0" applyAlignment="0" applyProtection="0"/>
    <xf numFmtId="38" fontId="63" fillId="68" borderId="0" applyNumberFormat="0" applyBorder="0" applyAlignment="0" applyProtection="0"/>
    <xf numFmtId="0" fontId="69" fillId="72" borderId="60">
      <alignment horizontal="left"/>
    </xf>
    <xf numFmtId="0" fontId="70" fillId="0" borderId="36" applyNumberFormat="0" applyAlignment="0" applyProtection="0">
      <alignment horizontal="left" vertical="center"/>
    </xf>
    <xf numFmtId="0" fontId="70" fillId="0" borderId="52">
      <alignment horizontal="left" vertical="center"/>
    </xf>
    <xf numFmtId="0" fontId="71" fillId="0" borderId="61" applyNumberFormat="0" applyFill="0" applyAlignment="0" applyProtection="0"/>
    <xf numFmtId="0" fontId="72" fillId="0" borderId="62" applyNumberFormat="0" applyFill="0" applyAlignment="0" applyProtection="0"/>
    <xf numFmtId="0" fontId="73" fillId="0" borderId="63" applyNumberFormat="0" applyFill="0" applyAlignment="0" applyProtection="0"/>
    <xf numFmtId="0" fontId="73" fillId="0" borderId="0" applyNumberFormat="0" applyFill="0" applyBorder="0" applyAlignment="0" applyProtection="0"/>
    <xf numFmtId="0" fontId="74" fillId="73" borderId="47">
      <alignment horizontal="center"/>
    </xf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10" fontId="63" fillId="74" borderId="10" applyNumberFormat="0" applyBorder="0" applyAlignment="0" applyProtection="0"/>
    <xf numFmtId="10" fontId="63" fillId="74" borderId="10" applyNumberFormat="0" applyBorder="0" applyAlignment="0" applyProtection="0"/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182" fontId="77" fillId="0" borderId="64" applyNumberFormat="0" applyFill="0" applyAlignment="0">
      <alignment horizontal="center"/>
      <protection locked="0"/>
    </xf>
    <xf numFmtId="0" fontId="63" fillId="0" borderId="0">
      <alignment horizontal="center"/>
    </xf>
    <xf numFmtId="0" fontId="63" fillId="0" borderId="0">
      <alignment horizontal="center"/>
    </xf>
    <xf numFmtId="0" fontId="63" fillId="0" borderId="0">
      <alignment horizontal="center"/>
    </xf>
    <xf numFmtId="0" fontId="63" fillId="0" borderId="0">
      <alignment horizontal="center"/>
    </xf>
    <xf numFmtId="0" fontId="78" fillId="75" borderId="0"/>
    <xf numFmtId="0" fontId="78" fillId="75" borderId="0"/>
    <xf numFmtId="0" fontId="78" fillId="75" borderId="0"/>
    <xf numFmtId="0" fontId="78" fillId="75" borderId="0"/>
    <xf numFmtId="0" fontId="79" fillId="75" borderId="0">
      <alignment horizontal="center"/>
    </xf>
    <xf numFmtId="0" fontId="79" fillId="75" borderId="0">
      <alignment horizontal="center"/>
    </xf>
    <xf numFmtId="0" fontId="79" fillId="75" borderId="0">
      <alignment horizontal="center"/>
    </xf>
    <xf numFmtId="0" fontId="79" fillId="75" borderId="0">
      <alignment horizontal="center"/>
    </xf>
    <xf numFmtId="0" fontId="80" fillId="68" borderId="0"/>
    <xf numFmtId="0" fontId="81" fillId="0" borderId="65" applyNumberFormat="0" applyFill="0" applyAlignment="0" applyProtection="0"/>
    <xf numFmtId="0" fontId="82" fillId="76" borderId="66">
      <alignment vertical="center"/>
    </xf>
    <xf numFmtId="10" fontId="54" fillId="77" borderId="58" applyBorder="0">
      <alignment horizontal="center"/>
      <protection locked="0"/>
    </xf>
    <xf numFmtId="0" fontId="83" fillId="78" borderId="0" applyNumberFormat="0" applyBorder="0" applyAlignment="0" applyProtection="0"/>
    <xf numFmtId="183" fontId="84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85" fillId="0" borderId="0"/>
    <xf numFmtId="0" fontId="86" fillId="65" borderId="66" applyNumberFormat="0" applyAlignment="0" applyProtection="0"/>
    <xf numFmtId="9" fontId="87" fillId="0" borderId="0" applyFont="0" applyFill="0" applyBorder="0" applyAlignment="0" applyProtection="0"/>
    <xf numFmtId="10" fontId="87" fillId="0" borderId="0" applyFont="0" applyFill="0" applyBorder="0" applyAlignment="0" applyProtection="0"/>
    <xf numFmtId="0" fontId="88" fillId="64" borderId="0"/>
    <xf numFmtId="0" fontId="18" fillId="68" borderId="0">
      <alignment horizontal="center"/>
    </xf>
    <xf numFmtId="0" fontId="18" fillId="68" borderId="0">
      <alignment horizontal="center"/>
    </xf>
    <xf numFmtId="0" fontId="18" fillId="68" borderId="0">
      <alignment horizontal="center"/>
    </xf>
    <xf numFmtId="0" fontId="18" fillId="68" borderId="0">
      <alignment horizontal="center"/>
    </xf>
    <xf numFmtId="0" fontId="77" fillId="76" borderId="0" applyAlignment="0"/>
    <xf numFmtId="0" fontId="89" fillId="64" borderId="0"/>
    <xf numFmtId="0" fontId="18" fillId="0" borderId="0" applyNumberFormat="0" applyFill="0" applyBorder="0" applyAlignment="0" applyProtection="0"/>
    <xf numFmtId="0" fontId="88" fillId="64" borderId="0"/>
    <xf numFmtId="0" fontId="90" fillId="0" borderId="0" applyNumberFormat="0" applyFill="0" applyBorder="0" applyAlignment="0" applyProtection="0"/>
    <xf numFmtId="0" fontId="91" fillId="79" borderId="0">
      <alignment horizontal="centerContinuous"/>
    </xf>
    <xf numFmtId="0" fontId="92" fillId="65" borderId="0" applyNumberFormat="0" applyBorder="0" applyAlignment="0">
      <alignment horizontal="center"/>
    </xf>
    <xf numFmtId="0" fontId="93" fillId="0" borderId="67" applyNumberFormat="0" applyFill="0" applyAlignment="0" applyProtection="0"/>
    <xf numFmtId="0" fontId="94" fillId="0" borderId="0" applyNumberFormat="0" applyFill="0" applyBorder="0" applyAlignment="0" applyProtection="0"/>
  </cellStyleXfs>
  <cellXfs count="328">
    <xf numFmtId="0" fontId="0" fillId="0" borderId="0" xfId="0"/>
    <xf numFmtId="0" fontId="0" fillId="0" borderId="0" xfId="0"/>
    <xf numFmtId="165" fontId="0" fillId="0" borderId="0" xfId="0" applyNumberFormat="1"/>
    <xf numFmtId="166" fontId="0" fillId="0" borderId="0" xfId="0" applyNumberFormat="1"/>
    <xf numFmtId="0" fontId="16" fillId="34" borderId="27" xfId="0" applyFont="1" applyFill="1" applyBorder="1"/>
    <xf numFmtId="0" fontId="16" fillId="34" borderId="29" xfId="0" applyFont="1" applyFill="1" applyBorder="1"/>
    <xf numFmtId="14" fontId="0" fillId="35" borderId="0" xfId="0" applyNumberFormat="1" applyFill="1"/>
    <xf numFmtId="0" fontId="0" fillId="0" borderId="0" xfId="0"/>
    <xf numFmtId="0" fontId="21" fillId="0" borderId="0" xfId="0" applyFont="1"/>
    <xf numFmtId="0" fontId="22" fillId="0" borderId="0" xfId="0" applyFont="1"/>
    <xf numFmtId="0" fontId="17" fillId="41" borderId="40" xfId="0" applyFont="1" applyFill="1" applyBorder="1"/>
    <xf numFmtId="0" fontId="17" fillId="41" borderId="41" xfId="0" applyFont="1" applyFill="1" applyBorder="1"/>
    <xf numFmtId="0" fontId="21" fillId="0" borderId="0" xfId="0" applyFont="1" applyAlignment="1">
      <alignment horizontal="center"/>
    </xf>
    <xf numFmtId="0" fontId="21" fillId="42" borderId="0" xfId="0" applyFont="1" applyFill="1"/>
    <xf numFmtId="0" fontId="21" fillId="42" borderId="0" xfId="0" applyFont="1" applyFill="1" applyAlignment="1">
      <alignment horizontal="center"/>
    </xf>
    <xf numFmtId="0" fontId="22" fillId="42" borderId="0" xfId="0" applyFont="1" applyFill="1"/>
    <xf numFmtId="0" fontId="16" fillId="44" borderId="30" xfId="0" applyFont="1" applyFill="1" applyBorder="1"/>
    <xf numFmtId="0" fontId="16" fillId="44" borderId="29" xfId="0" applyFont="1" applyFill="1" applyBorder="1"/>
    <xf numFmtId="0" fontId="0" fillId="0" borderId="0" xfId="0"/>
    <xf numFmtId="14" fontId="0" fillId="0" borderId="0" xfId="0" applyNumberFormat="1"/>
    <xf numFmtId="14" fontId="16" fillId="34" borderId="37" xfId="0" applyNumberFormat="1" applyFont="1" applyFill="1" applyBorder="1"/>
    <xf numFmtId="14" fontId="16" fillId="34" borderId="38" xfId="0" applyNumberFormat="1" applyFont="1" applyFill="1" applyBorder="1"/>
    <xf numFmtId="0" fontId="0" fillId="37" borderId="42" xfId="0" applyFill="1" applyBorder="1" applyAlignment="1">
      <alignment horizontal="center"/>
    </xf>
    <xf numFmtId="0" fontId="0" fillId="36" borderId="43" xfId="0" applyFill="1" applyBorder="1" applyAlignment="1">
      <alignment horizontal="center"/>
    </xf>
    <xf numFmtId="0" fontId="0" fillId="38" borderId="44" xfId="0" applyFill="1" applyBorder="1" applyAlignment="1">
      <alignment horizontal="center"/>
    </xf>
    <xf numFmtId="0" fontId="16" fillId="34" borderId="37" xfId="0" applyFont="1" applyFill="1" applyBorder="1" applyAlignment="1">
      <alignment horizontal="center"/>
    </xf>
    <xf numFmtId="0" fontId="16" fillId="34" borderId="38" xfId="0" applyFont="1" applyFill="1" applyBorder="1" applyAlignment="1">
      <alignment horizontal="center"/>
    </xf>
    <xf numFmtId="0" fontId="16" fillId="34" borderId="39" xfId="0" applyFon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0" fontId="30" fillId="0" borderId="0" xfId="0" applyFont="1" applyBorder="1" applyAlignment="1">
      <alignment wrapText="1"/>
    </xf>
    <xf numFmtId="0" fontId="0" fillId="0" borderId="0" xfId="0" applyAlignment="1">
      <alignment horizontal="center"/>
    </xf>
    <xf numFmtId="0" fontId="31" fillId="0" borderId="0" xfId="0" applyFont="1" applyAlignment="1">
      <alignment horizontal="center"/>
    </xf>
    <xf numFmtId="0" fontId="26" fillId="0" borderId="0" xfId="0" applyFont="1" applyFill="1" applyBorder="1" applyAlignment="1">
      <alignment horizontal="center"/>
    </xf>
    <xf numFmtId="0" fontId="31" fillId="0" borderId="0" xfId="0" applyFont="1"/>
    <xf numFmtId="165" fontId="26" fillId="0" borderId="0" xfId="0" applyNumberFormat="1" applyFont="1" applyBorder="1" applyAlignment="1">
      <alignment horizontal="center"/>
    </xf>
    <xf numFmtId="165" fontId="26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7" fontId="0" fillId="0" borderId="0" xfId="0" applyNumberFormat="1"/>
    <xf numFmtId="0" fontId="0" fillId="0" borderId="0" xfId="0"/>
    <xf numFmtId="0" fontId="31" fillId="0" borderId="0" xfId="0" applyFont="1" applyFill="1" applyBorder="1" applyAlignment="1">
      <alignment horizontal="center"/>
    </xf>
    <xf numFmtId="0" fontId="16" fillId="34" borderId="45" xfId="0" applyFont="1" applyFill="1" applyBorder="1" applyAlignment="1">
      <alignment horizontal="center"/>
    </xf>
    <xf numFmtId="165" fontId="0" fillId="35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0" fontId="31" fillId="0" borderId="0" xfId="0" applyFont="1" applyBorder="1" applyAlignment="1">
      <alignment horizontal="left"/>
    </xf>
    <xf numFmtId="171" fontId="0" fillId="0" borderId="0" xfId="0" applyNumberFormat="1" applyFill="1" applyBorder="1"/>
    <xf numFmtId="0" fontId="18" fillId="0" borderId="0" xfId="47" applyFont="1" applyFill="1" applyBorder="1" applyAlignment="1">
      <alignment horizontal="center"/>
    </xf>
    <xf numFmtId="0" fontId="18" fillId="0" borderId="0" xfId="47" applyFill="1" applyBorder="1" applyAlignment="1">
      <alignment horizontal="center"/>
    </xf>
    <xf numFmtId="0" fontId="18" fillId="0" borderId="0" xfId="47" applyFill="1" applyBorder="1"/>
    <xf numFmtId="0" fontId="30" fillId="0" borderId="0" xfId="0" applyFont="1" applyFill="1" applyBorder="1" applyAlignment="1">
      <alignment wrapText="1"/>
    </xf>
    <xf numFmtId="22" fontId="0" fillId="0" borderId="0" xfId="0" applyNumberFormat="1" applyFill="1" applyBorder="1" applyAlignment="1">
      <alignment horizontal="left"/>
    </xf>
    <xf numFmtId="0" fontId="44" fillId="0" borderId="0" xfId="47" applyFont="1" applyFill="1" applyBorder="1" applyAlignment="1">
      <alignment horizontal="center"/>
    </xf>
    <xf numFmtId="168" fontId="44" fillId="0" borderId="0" xfId="47" applyNumberFormat="1" applyFont="1" applyFill="1" applyBorder="1"/>
    <xf numFmtId="185" fontId="63" fillId="0" borderId="0" xfId="47" applyNumberFormat="1" applyFont="1" applyFill="1" applyBorder="1"/>
    <xf numFmtId="0" fontId="63" fillId="0" borderId="0" xfId="47" applyFont="1" applyFill="1" applyBorder="1"/>
    <xf numFmtId="2" fontId="31" fillId="0" borderId="0" xfId="0" applyNumberFormat="1" applyFont="1" applyFill="1" applyBorder="1" applyAlignment="1">
      <alignment horizontal="center" wrapText="1"/>
    </xf>
    <xf numFmtId="184" fontId="31" fillId="0" borderId="0" xfId="0" applyNumberFormat="1" applyFont="1" applyFill="1" applyBorder="1" applyAlignment="1">
      <alignment horizontal="center"/>
    </xf>
    <xf numFmtId="165" fontId="44" fillId="42" borderId="0" xfId="47" applyNumberFormat="1" applyFont="1" applyFill="1" applyBorder="1" applyAlignment="1">
      <alignment horizontal="center"/>
    </xf>
    <xf numFmtId="0" fontId="44" fillId="42" borderId="0" xfId="47" applyFont="1" applyFill="1" applyBorder="1"/>
    <xf numFmtId="167" fontId="16" fillId="42" borderId="0" xfId="0" applyNumberFormat="1" applyFont="1" applyFill="1" applyBorder="1" applyAlignment="1">
      <alignment horizontal="center"/>
    </xf>
    <xf numFmtId="0" fontId="96" fillId="0" borderId="0" xfId="47" applyFont="1" applyFill="1" applyBorder="1"/>
    <xf numFmtId="0" fontId="96" fillId="0" borderId="0" xfId="47" applyFont="1" applyFill="1" applyBorder="1" applyAlignment="1">
      <alignment horizontal="center"/>
    </xf>
    <xf numFmtId="0" fontId="98" fillId="0" borderId="0" xfId="0" applyFont="1" applyFill="1" applyBorder="1"/>
    <xf numFmtId="170" fontId="98" fillId="0" borderId="0" xfId="0" applyNumberFormat="1" applyFont="1" applyFill="1" applyBorder="1" applyAlignment="1"/>
    <xf numFmtId="170" fontId="98" fillId="0" borderId="0" xfId="0" applyNumberFormat="1" applyFont="1" applyFill="1" applyBorder="1" applyAlignment="1">
      <alignment horizontal="left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31" fillId="0" borderId="0" xfId="0" applyFont="1" applyBorder="1" applyAlignment="1" applyProtection="1">
      <alignment horizontal="center"/>
      <protection locked="0"/>
    </xf>
    <xf numFmtId="0" fontId="28" fillId="0" borderId="0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wrapText="1"/>
      <protection locked="0"/>
    </xf>
    <xf numFmtId="2" fontId="0" fillId="0" borderId="0" xfId="0" applyNumberFormat="1" applyBorder="1" applyAlignment="1" applyProtection="1">
      <alignment horizontal="center" wrapText="1"/>
      <protection locked="0"/>
    </xf>
    <xf numFmtId="184" fontId="0" fillId="0" borderId="0" xfId="0" applyNumberFormat="1" applyBorder="1" applyAlignment="1" applyProtection="1">
      <alignment horizontal="center"/>
      <protection locked="0"/>
    </xf>
    <xf numFmtId="0" fontId="31" fillId="0" borderId="0" xfId="0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165" fontId="25" fillId="0" borderId="0" xfId="0" applyNumberFormat="1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5" fillId="0" borderId="0" xfId="0" applyFont="1" applyBorder="1" applyAlignment="1" applyProtection="1">
      <alignment horizontal="center"/>
      <protection locked="0"/>
    </xf>
    <xf numFmtId="167" fontId="16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Fill="1" applyBorder="1" applyAlignment="1" applyProtection="1">
      <alignment horizontal="center"/>
      <protection locked="0"/>
    </xf>
    <xf numFmtId="167" fontId="0" fillId="0" borderId="0" xfId="0" applyNumberForma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 applyProtection="1">
      <alignment horizontal="center"/>
      <protection locked="0"/>
    </xf>
    <xf numFmtId="2" fontId="31" fillId="0" borderId="0" xfId="0" applyNumberFormat="1" applyFont="1" applyFill="1" applyBorder="1" applyAlignment="1" applyProtection="1">
      <alignment horizontal="center"/>
      <protection locked="0"/>
    </xf>
    <xf numFmtId="2" fontId="28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168" fontId="0" fillId="0" borderId="0" xfId="0" applyNumberFormat="1" applyBorder="1" applyAlignment="1" applyProtection="1">
      <alignment horizontal="center"/>
      <protection locked="0"/>
    </xf>
    <xf numFmtId="171" fontId="0" fillId="0" borderId="0" xfId="0" applyNumberFormat="1" applyFill="1" applyBorder="1" applyAlignment="1" applyProtection="1">
      <alignment horizontal="center"/>
      <protection locked="0"/>
    </xf>
    <xf numFmtId="167" fontId="0" fillId="0" borderId="0" xfId="0" applyNumberFormat="1" applyFont="1" applyBorder="1" applyAlignment="1" applyProtection="1">
      <alignment horizontal="left"/>
      <protection locked="0"/>
    </xf>
    <xf numFmtId="2" fontId="0" fillId="0" borderId="0" xfId="0" applyNumberFormat="1" applyFont="1" applyBorder="1" applyAlignment="1" applyProtection="1">
      <alignment horizontal="left"/>
      <protection locked="0"/>
    </xf>
    <xf numFmtId="0" fontId="16" fillId="0" borderId="0" xfId="0" applyFont="1" applyBorder="1" applyProtection="1">
      <protection locked="0"/>
    </xf>
    <xf numFmtId="167" fontId="16" fillId="0" borderId="0" xfId="0" applyNumberFormat="1" applyFont="1" applyFill="1" applyBorder="1" applyAlignment="1" applyProtection="1">
      <alignment horizontal="center"/>
      <protection locked="0"/>
    </xf>
    <xf numFmtId="2" fontId="41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28" fillId="0" borderId="0" xfId="0" applyFont="1" applyFill="1" applyBorder="1" applyAlignment="1" applyProtection="1">
      <alignment horizontal="center"/>
      <protection locked="0"/>
    </xf>
    <xf numFmtId="14" fontId="42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0" fontId="31" fillId="0" borderId="0" xfId="0" applyFont="1" applyBorder="1" applyAlignment="1" applyProtection="1">
      <alignment horizontal="center"/>
    </xf>
    <xf numFmtId="0" fontId="28" fillId="0" borderId="0" xfId="0" applyFont="1" applyBorder="1" applyAlignment="1" applyProtection="1">
      <alignment horizontal="center"/>
    </xf>
    <xf numFmtId="14" fontId="31" fillId="0" borderId="0" xfId="0" applyNumberFormat="1" applyFont="1" applyBorder="1" applyAlignment="1" applyProtection="1">
      <alignment horizontal="center"/>
    </xf>
    <xf numFmtId="0" fontId="31" fillId="0" borderId="0" xfId="0" applyFont="1" applyFill="1" applyBorder="1" applyAlignment="1" applyProtection="1">
      <alignment horizontal="center"/>
    </xf>
    <xf numFmtId="0" fontId="31" fillId="0" borderId="52" xfId="0" applyFont="1" applyFill="1" applyBorder="1" applyAlignment="1" applyProtection="1"/>
    <xf numFmtId="0" fontId="34" fillId="0" borderId="0" xfId="0" applyFont="1" applyFill="1" applyBorder="1" applyAlignment="1" applyProtection="1">
      <alignment horizontal="center"/>
    </xf>
    <xf numFmtId="2" fontId="27" fillId="0" borderId="0" xfId="0" applyNumberFormat="1" applyFont="1" applyBorder="1" applyAlignment="1" applyProtection="1">
      <alignment horizontal="center"/>
    </xf>
    <xf numFmtId="168" fontId="27" fillId="0" borderId="0" xfId="0" applyNumberFormat="1" applyFont="1" applyBorder="1" applyAlignment="1" applyProtection="1">
      <alignment horizontal="center"/>
    </xf>
    <xf numFmtId="0" fontId="26" fillId="0" borderId="0" xfId="0" applyFont="1" applyBorder="1" applyAlignment="1" applyProtection="1">
      <alignment horizontal="center"/>
    </xf>
    <xf numFmtId="0" fontId="31" fillId="0" borderId="0" xfId="0" applyFont="1" applyBorder="1" applyProtection="1"/>
    <xf numFmtId="167" fontId="29" fillId="0" borderId="0" xfId="0" applyNumberFormat="1" applyFont="1" applyBorder="1" applyAlignment="1" applyProtection="1">
      <alignment horizontal="center"/>
    </xf>
    <xf numFmtId="167" fontId="26" fillId="0" borderId="0" xfId="0" applyNumberFormat="1" applyFont="1" applyBorder="1" applyAlignment="1" applyProtection="1">
      <alignment horizontal="center"/>
    </xf>
    <xf numFmtId="168" fontId="26" fillId="0" borderId="0" xfId="0" applyNumberFormat="1" applyFont="1" applyBorder="1" applyAlignment="1" applyProtection="1">
      <alignment horizontal="center"/>
    </xf>
    <xf numFmtId="2" fontId="26" fillId="0" borderId="0" xfId="0" applyNumberFormat="1" applyFont="1" applyBorder="1" applyAlignment="1" applyProtection="1">
      <alignment horizontal="center"/>
    </xf>
    <xf numFmtId="165" fontId="25" fillId="0" borderId="0" xfId="0" applyNumberFormat="1" applyFont="1" applyFill="1" applyBorder="1" applyProtection="1"/>
    <xf numFmtId="170" fontId="3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167" fontId="27" fillId="34" borderId="48" xfId="0" applyNumberFormat="1" applyFont="1" applyFill="1" applyBorder="1" applyAlignment="1" applyProtection="1">
      <alignment horizontal="center"/>
    </xf>
    <xf numFmtId="167" fontId="5" fillId="34" borderId="0" xfId="0" applyNumberFormat="1" applyFont="1" applyFill="1" applyBorder="1" applyAlignment="1" applyProtection="1">
      <alignment horizontal="center"/>
    </xf>
    <xf numFmtId="167" fontId="5" fillId="34" borderId="54" xfId="0" applyNumberFormat="1" applyFont="1" applyFill="1" applyBorder="1" applyAlignment="1" applyProtection="1">
      <alignment horizontal="center"/>
    </xf>
    <xf numFmtId="167" fontId="0" fillId="37" borderId="0" xfId="0" applyNumberFormat="1" applyFill="1" applyAlignment="1" applyProtection="1">
      <alignment horizontal="center"/>
    </xf>
    <xf numFmtId="0" fontId="18" fillId="80" borderId="0" xfId="47" applyFill="1" applyBorder="1" applyAlignment="1">
      <alignment horizontal="center"/>
    </xf>
    <xf numFmtId="168" fontId="44" fillId="80" borderId="0" xfId="47" applyNumberFormat="1" applyFont="1" applyFill="1" applyBorder="1"/>
    <xf numFmtId="165" fontId="26" fillId="80" borderId="0" xfId="0" applyNumberFormat="1" applyFont="1" applyFill="1" applyBorder="1" applyAlignment="1">
      <alignment horizontal="center"/>
    </xf>
    <xf numFmtId="0" fontId="26" fillId="80" borderId="0" xfId="0" applyFont="1" applyFill="1" applyBorder="1" applyAlignment="1">
      <alignment horizontal="center"/>
    </xf>
    <xf numFmtId="0" fontId="0" fillId="80" borderId="0" xfId="0" applyFill="1" applyBorder="1" applyAlignment="1">
      <alignment horizontal="center"/>
    </xf>
    <xf numFmtId="171" fontId="0" fillId="80" borderId="0" xfId="0" applyNumberFormat="1" applyFill="1" applyBorder="1"/>
    <xf numFmtId="0" fontId="18" fillId="80" borderId="0" xfId="47" applyFill="1" applyBorder="1"/>
    <xf numFmtId="0" fontId="95" fillId="0" borderId="0" xfId="47" applyFont="1" applyFill="1" applyBorder="1" applyAlignment="1">
      <alignment horizontal="center"/>
    </xf>
    <xf numFmtId="168" fontId="44" fillId="0" borderId="0" xfId="47" applyNumberFormat="1" applyFont="1" applyFill="1" applyBorder="1" applyAlignment="1">
      <alignment horizontal="center"/>
    </xf>
    <xf numFmtId="0" fontId="44" fillId="0" borderId="0" xfId="47" applyFont="1" applyFill="1" applyBorder="1" applyAlignment="1">
      <alignment horizontal="left"/>
    </xf>
    <xf numFmtId="0" fontId="31" fillId="0" borderId="0" xfId="0" applyFont="1" applyFill="1" applyBorder="1" applyAlignment="1">
      <alignment horizontal="left"/>
    </xf>
    <xf numFmtId="0" fontId="97" fillId="0" borderId="0" xfId="47" applyFont="1" applyFill="1" applyBorder="1" applyAlignment="1">
      <alignment horizontal="left"/>
    </xf>
    <xf numFmtId="165" fontId="44" fillId="42" borderId="0" xfId="47" applyNumberFormat="1" applyFont="1" applyFill="1" applyBorder="1" applyAlignment="1">
      <alignment horizontal="left"/>
    </xf>
    <xf numFmtId="0" fontId="18" fillId="0" borderId="0" xfId="47" applyFill="1" applyBorder="1" applyAlignment="1">
      <alignment horizontal="left"/>
    </xf>
    <xf numFmtId="167" fontId="26" fillId="34" borderId="0" xfId="0" applyNumberFormat="1" applyFont="1" applyFill="1" applyBorder="1" applyAlignment="1" applyProtection="1">
      <alignment horizontal="center"/>
    </xf>
    <xf numFmtId="167" fontId="26" fillId="34" borderId="48" xfId="0" applyNumberFormat="1" applyFont="1" applyFill="1" applyBorder="1" applyAlignment="1" applyProtection="1">
      <alignment horizontal="center"/>
    </xf>
    <xf numFmtId="167" fontId="26" fillId="34" borderId="54" xfId="0" applyNumberFormat="1" applyFont="1" applyFill="1" applyBorder="1" applyAlignment="1" applyProtection="1">
      <alignment horizontal="center"/>
    </xf>
    <xf numFmtId="2" fontId="0" fillId="0" borderId="0" xfId="0" applyNumberFormat="1" applyBorder="1" applyProtection="1">
      <protection locked="0"/>
    </xf>
    <xf numFmtId="165" fontId="26" fillId="0" borderId="0" xfId="0" applyNumberFormat="1" applyFont="1" applyFill="1" applyBorder="1" applyAlignment="1" applyProtection="1">
      <alignment horizontal="center"/>
      <protection locked="0"/>
    </xf>
    <xf numFmtId="0" fontId="99" fillId="0" borderId="0" xfId="0" applyFont="1" applyFill="1" applyBorder="1" applyAlignment="1" applyProtection="1">
      <alignment horizontal="center"/>
      <protection locked="0"/>
    </xf>
    <xf numFmtId="0" fontId="35" fillId="0" borderId="0" xfId="0" applyFont="1" applyProtection="1">
      <protection locked="0"/>
    </xf>
    <xf numFmtId="0" fontId="35" fillId="37" borderId="0" xfId="0" applyFont="1" applyFill="1" applyProtection="1">
      <protection locked="0"/>
    </xf>
    <xf numFmtId="0" fontId="35" fillId="0" borderId="0" xfId="0" applyFont="1" applyBorder="1" applyProtection="1">
      <protection locked="0"/>
    </xf>
    <xf numFmtId="0" fontId="35" fillId="0" borderId="0" xfId="0" applyFont="1" applyBorder="1" applyAlignment="1" applyProtection="1">
      <alignment horizontal="center"/>
      <protection locked="0"/>
    </xf>
    <xf numFmtId="0" fontId="43" fillId="0" borderId="0" xfId="0" applyFont="1"/>
    <xf numFmtId="0" fontId="32" fillId="34" borderId="24" xfId="0" applyFont="1" applyFill="1" applyBorder="1"/>
    <xf numFmtId="0" fontId="31" fillId="43" borderId="21" xfId="0" applyFont="1" applyFill="1" applyBorder="1"/>
    <xf numFmtId="0" fontId="32" fillId="34" borderId="25" xfId="0" applyFont="1" applyFill="1" applyBorder="1"/>
    <xf numFmtId="0" fontId="31" fillId="43" borderId="22" xfId="0" applyFont="1" applyFill="1" applyBorder="1"/>
    <xf numFmtId="0" fontId="32" fillId="34" borderId="26" xfId="0" applyFont="1" applyFill="1" applyBorder="1"/>
    <xf numFmtId="0" fontId="32" fillId="0" borderId="11" xfId="0" applyFont="1" applyBorder="1"/>
    <xf numFmtId="165" fontId="31" fillId="0" borderId="0" xfId="0" applyNumberFormat="1" applyFont="1"/>
    <xf numFmtId="0" fontId="32" fillId="0" borderId="0" xfId="0" applyFont="1"/>
    <xf numFmtId="0" fontId="32" fillId="34" borderId="27" xfId="0" applyFont="1" applyFill="1" applyBorder="1"/>
    <xf numFmtId="0" fontId="32" fillId="34" borderId="29" xfId="0" applyFont="1" applyFill="1" applyBorder="1"/>
    <xf numFmtId="0" fontId="31" fillId="35" borderId="0" xfId="0" applyFont="1" applyFill="1"/>
    <xf numFmtId="166" fontId="31" fillId="0" borderId="0" xfId="0" applyNumberFormat="1" applyFont="1"/>
    <xf numFmtId="0" fontId="32" fillId="44" borderId="29" xfId="0" applyFont="1" applyFill="1" applyBorder="1"/>
    <xf numFmtId="0" fontId="32" fillId="44" borderId="30" xfId="0" applyFont="1" applyFill="1" applyBorder="1"/>
    <xf numFmtId="0" fontId="31" fillId="37" borderId="15" xfId="0" applyFont="1" applyFill="1" applyBorder="1" applyAlignment="1">
      <alignment horizontal="center"/>
    </xf>
    <xf numFmtId="0" fontId="31" fillId="37" borderId="31" xfId="0" applyFont="1" applyFill="1" applyBorder="1" applyAlignment="1">
      <alignment horizontal="center"/>
    </xf>
    <xf numFmtId="0" fontId="31" fillId="37" borderId="16" xfId="0" applyFont="1" applyFill="1" applyBorder="1" applyAlignment="1">
      <alignment horizontal="center"/>
    </xf>
    <xf numFmtId="0" fontId="31" fillId="36" borderId="17" xfId="0" applyFont="1" applyFill="1" applyBorder="1" applyAlignment="1">
      <alignment horizontal="center"/>
    </xf>
    <xf numFmtId="0" fontId="31" fillId="36" borderId="10" xfId="0" applyFont="1" applyFill="1" applyBorder="1" applyAlignment="1">
      <alignment horizontal="center"/>
    </xf>
    <xf numFmtId="0" fontId="31" fillId="36" borderId="18" xfId="0" applyFont="1" applyFill="1" applyBorder="1" applyAlignment="1">
      <alignment horizontal="center"/>
    </xf>
    <xf numFmtId="0" fontId="32" fillId="34" borderId="30" xfId="0" applyFont="1" applyFill="1" applyBorder="1"/>
    <xf numFmtId="0" fontId="32" fillId="39" borderId="19" xfId="0" applyFont="1" applyFill="1" applyBorder="1" applyAlignment="1">
      <alignment horizontal="center"/>
    </xf>
    <xf numFmtId="0" fontId="32" fillId="39" borderId="32" xfId="0" applyFont="1" applyFill="1" applyBorder="1" applyAlignment="1">
      <alignment horizontal="center"/>
    </xf>
    <xf numFmtId="0" fontId="32" fillId="39" borderId="20" xfId="0" applyFont="1" applyFill="1" applyBorder="1" applyAlignment="1">
      <alignment horizontal="center"/>
    </xf>
    <xf numFmtId="0" fontId="32" fillId="39" borderId="33" xfId="0" applyFont="1" applyFill="1" applyBorder="1" applyAlignment="1">
      <alignment horizontal="center"/>
    </xf>
    <xf numFmtId="165" fontId="31" fillId="35" borderId="0" xfId="0" applyNumberFormat="1" applyFont="1" applyFill="1" applyAlignment="1">
      <alignment horizontal="center"/>
    </xf>
    <xf numFmtId="165" fontId="31" fillId="0" borderId="0" xfId="0" applyNumberFormat="1" applyFont="1" applyAlignment="1">
      <alignment horizontal="center"/>
    </xf>
    <xf numFmtId="166" fontId="31" fillId="0" borderId="0" xfId="0" applyNumberFormat="1" applyFont="1" applyAlignment="1">
      <alignment horizontal="center"/>
    </xf>
    <xf numFmtId="14" fontId="100" fillId="43" borderId="23" xfId="0" applyNumberFormat="1" applyFont="1" applyFill="1" applyBorder="1"/>
    <xf numFmtId="0" fontId="101" fillId="35" borderId="11" xfId="0" applyFont="1" applyFill="1" applyBorder="1"/>
    <xf numFmtId="0" fontId="102" fillId="0" borderId="0" xfId="0" applyFont="1"/>
    <xf numFmtId="0" fontId="32" fillId="0" borderId="11" xfId="0" applyFont="1" applyBorder="1" applyAlignment="1">
      <alignment horizontal="center"/>
    </xf>
    <xf numFmtId="0" fontId="101" fillId="35" borderId="11" xfId="0" applyFont="1" applyFill="1" applyBorder="1" applyAlignment="1">
      <alignment horizontal="center"/>
    </xf>
    <xf numFmtId="165" fontId="103" fillId="0" borderId="0" xfId="0" applyNumberFormat="1" applyFont="1" applyAlignment="1">
      <alignment horizontal="center"/>
    </xf>
    <xf numFmtId="165" fontId="105" fillId="0" borderId="0" xfId="0" applyNumberFormat="1" applyFont="1" applyAlignment="1">
      <alignment horizontal="center"/>
    </xf>
    <xf numFmtId="165" fontId="104" fillId="0" borderId="0" xfId="0" applyNumberFormat="1" applyFont="1" applyAlignment="1">
      <alignment horizontal="center"/>
    </xf>
    <xf numFmtId="165" fontId="10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167" fontId="28" fillId="0" borderId="0" xfId="0" applyNumberFormat="1" applyFont="1" applyFill="1" applyBorder="1" applyAlignment="1" applyProtection="1">
      <alignment horizontal="center"/>
      <protection locked="0"/>
    </xf>
    <xf numFmtId="171" fontId="18" fillId="0" borderId="0" xfId="47" applyNumberFormat="1" applyFill="1" applyBorder="1"/>
    <xf numFmtId="0" fontId="31" fillId="0" borderId="0" xfId="0" applyFont="1" applyFill="1" applyBorder="1" applyAlignment="1" applyProtection="1"/>
    <xf numFmtId="0" fontId="26" fillId="0" borderId="0" xfId="0" applyFont="1" applyBorder="1" applyProtection="1">
      <protection locked="0"/>
    </xf>
    <xf numFmtId="0" fontId="107" fillId="0" borderId="0" xfId="0" applyFont="1" applyBorder="1" applyAlignment="1" applyProtection="1">
      <alignment wrapText="1"/>
      <protection locked="0"/>
    </xf>
    <xf numFmtId="0" fontId="33" fillId="0" borderId="0" xfId="0" applyFont="1" applyFill="1" applyBorder="1" applyAlignment="1" applyProtection="1">
      <alignment horizontal="center"/>
      <protection locked="0"/>
    </xf>
    <xf numFmtId="167" fontId="26" fillId="0" borderId="0" xfId="0" applyNumberFormat="1" applyFont="1" applyBorder="1" applyProtection="1">
      <protection locked="0"/>
    </xf>
    <xf numFmtId="187" fontId="31" fillId="0" borderId="0" xfId="0" applyNumberFormat="1" applyFont="1" applyFill="1" applyAlignment="1" applyProtection="1">
      <alignment horizontal="center"/>
      <protection locked="0"/>
    </xf>
    <xf numFmtId="168" fontId="16" fillId="0" borderId="0" xfId="0" applyNumberFormat="1" applyFont="1" applyFill="1" applyAlignment="1" applyProtection="1">
      <alignment horizontal="center"/>
      <protection locked="0"/>
    </xf>
    <xf numFmtId="167" fontId="0" fillId="0" borderId="0" xfId="0" applyNumberFormat="1" applyFont="1" applyFill="1" applyAlignment="1" applyProtection="1">
      <alignment horizontal="center"/>
      <protection locked="0"/>
    </xf>
    <xf numFmtId="167" fontId="0" fillId="0" borderId="0" xfId="0" applyNumberFormat="1" applyFont="1" applyFill="1" applyAlignment="1" applyProtection="1">
      <alignment horizontal="left"/>
      <protection locked="0"/>
    </xf>
    <xf numFmtId="167" fontId="31" fillId="0" borderId="0" xfId="0" applyNumberFormat="1" applyFont="1" applyFill="1" applyAlignment="1" applyProtection="1">
      <alignment horizontal="center"/>
      <protection locked="0"/>
    </xf>
    <xf numFmtId="167" fontId="31" fillId="0" borderId="0" xfId="0" applyNumberFormat="1" applyFont="1" applyFill="1" applyAlignme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31" fillId="0" borderId="0" xfId="0" applyFont="1" applyAlignment="1" applyProtection="1">
      <alignment horizontal="center"/>
      <protection locked="0"/>
    </xf>
    <xf numFmtId="0" fontId="31" fillId="0" borderId="0" xfId="0" applyFont="1" applyProtection="1">
      <protection locked="0"/>
    </xf>
    <xf numFmtId="0" fontId="26" fillId="0" borderId="0" xfId="0" applyFont="1" applyBorder="1" applyProtection="1"/>
    <xf numFmtId="0" fontId="40" fillId="0" borderId="0" xfId="0" applyFont="1" applyFill="1" applyAlignment="1" applyProtection="1"/>
    <xf numFmtId="169" fontId="39" fillId="0" borderId="0" xfId="0" applyNumberFormat="1" applyFont="1" applyFill="1" applyBorder="1" applyAlignment="1" applyProtection="1">
      <alignment horizontal="center"/>
    </xf>
    <xf numFmtId="0" fontId="107" fillId="0" borderId="46" xfId="0" applyFont="1" applyBorder="1" applyAlignment="1" applyProtection="1">
      <alignment horizontal="center" wrapText="1"/>
    </xf>
    <xf numFmtId="0" fontId="107" fillId="0" borderId="47" xfId="0" applyFont="1" applyBorder="1" applyAlignment="1" applyProtection="1">
      <alignment horizontal="center" wrapText="1"/>
    </xf>
    <xf numFmtId="0" fontId="107" fillId="0" borderId="47" xfId="0" applyFont="1" applyBorder="1" applyAlignment="1" applyProtection="1">
      <alignment wrapText="1"/>
    </xf>
    <xf numFmtId="0" fontId="107" fillId="0" borderId="13" xfId="0" applyFont="1" applyBorder="1" applyAlignment="1" applyProtection="1">
      <alignment wrapText="1"/>
    </xf>
    <xf numFmtId="0" fontId="107" fillId="0" borderId="13" xfId="0" applyFont="1" applyBorder="1" applyAlignment="1" applyProtection="1">
      <alignment horizontal="center" wrapText="1"/>
    </xf>
    <xf numFmtId="0" fontId="107" fillId="0" borderId="0" xfId="0" applyFont="1" applyBorder="1" applyAlignment="1" applyProtection="1">
      <alignment wrapText="1"/>
    </xf>
    <xf numFmtId="0" fontId="21" fillId="0" borderId="0" xfId="0" applyFont="1" applyFill="1" applyAlignment="1" applyProtection="1">
      <alignment horizontal="center"/>
    </xf>
    <xf numFmtId="0" fontId="21" fillId="0" borderId="0" xfId="0" applyFont="1" applyFill="1" applyProtection="1"/>
    <xf numFmtId="0" fontId="107" fillId="0" borderId="49" xfId="0" applyFont="1" applyBorder="1" applyAlignment="1" applyProtection="1">
      <alignment horizontal="center" wrapText="1"/>
    </xf>
    <xf numFmtId="0" fontId="107" fillId="0" borderId="50" xfId="0" applyFont="1" applyBorder="1" applyAlignment="1" applyProtection="1">
      <alignment horizontal="center" wrapText="1"/>
    </xf>
    <xf numFmtId="0" fontId="107" fillId="0" borderId="50" xfId="0" applyFont="1" applyBorder="1" applyAlignment="1" applyProtection="1">
      <alignment wrapText="1"/>
    </xf>
    <xf numFmtId="0" fontId="107" fillId="0" borderId="14" xfId="0" applyFont="1" applyBorder="1" applyAlignment="1" applyProtection="1">
      <alignment wrapText="1"/>
    </xf>
    <xf numFmtId="0" fontId="107" fillId="0" borderId="14" xfId="0" applyFont="1" applyBorder="1" applyAlignment="1" applyProtection="1">
      <alignment horizontal="center" wrapText="1"/>
    </xf>
    <xf numFmtId="0" fontId="107" fillId="0" borderId="48" xfId="0" applyFont="1" applyBorder="1" applyAlignment="1" applyProtection="1">
      <alignment horizontal="center" wrapText="1"/>
    </xf>
    <xf numFmtId="0" fontId="107" fillId="0" borderId="0" xfId="0" applyFont="1" applyBorder="1" applyAlignment="1" applyProtection="1">
      <alignment horizontal="center" wrapText="1"/>
    </xf>
    <xf numFmtId="0" fontId="107" fillId="0" borderId="55" xfId="0" applyFont="1" applyBorder="1" applyAlignment="1" applyProtection="1">
      <alignment wrapText="1"/>
    </xf>
    <xf numFmtId="0" fontId="107" fillId="0" borderId="55" xfId="0" applyFont="1" applyBorder="1" applyAlignment="1" applyProtection="1">
      <alignment horizontal="center" wrapText="1"/>
    </xf>
    <xf numFmtId="168" fontId="27" fillId="0" borderId="48" xfId="0" applyNumberFormat="1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37" fillId="0" borderId="0" xfId="0" applyFont="1" applyFill="1" applyBorder="1" applyAlignment="1" applyProtection="1">
      <alignment horizontal="center"/>
    </xf>
    <xf numFmtId="167" fontId="27" fillId="42" borderId="55" xfId="0" applyNumberFormat="1" applyFont="1" applyFill="1" applyBorder="1" applyAlignment="1" applyProtection="1">
      <alignment horizontal="center"/>
    </xf>
    <xf numFmtId="167" fontId="0" fillId="0" borderId="0" xfId="0" applyNumberFormat="1" applyFont="1" applyFill="1" applyBorder="1" applyAlignment="1" applyProtection="1">
      <alignment horizontal="center"/>
    </xf>
    <xf numFmtId="167" fontId="16" fillId="42" borderId="55" xfId="0" applyNumberFormat="1" applyFont="1" applyFill="1" applyBorder="1" applyAlignment="1" applyProtection="1">
      <alignment horizontal="center"/>
    </xf>
    <xf numFmtId="0" fontId="36" fillId="0" borderId="0" xfId="0" applyFont="1" applyFill="1" applyAlignment="1" applyProtection="1">
      <alignment horizontal="center"/>
    </xf>
    <xf numFmtId="172" fontId="38" fillId="0" borderId="0" xfId="0" applyNumberFormat="1" applyFont="1" applyFill="1" applyAlignment="1" applyProtection="1">
      <alignment horizontal="center"/>
    </xf>
    <xf numFmtId="167" fontId="38" fillId="0" borderId="0" xfId="0" applyNumberFormat="1" applyFont="1" applyFill="1" applyAlignment="1" applyProtection="1">
      <alignment horizontal="center"/>
    </xf>
    <xf numFmtId="2" fontId="26" fillId="0" borderId="0" xfId="0" applyNumberFormat="1" applyFont="1" applyBorder="1" applyAlignment="1" applyProtection="1">
      <alignment horizontal="center" vertical="center"/>
    </xf>
    <xf numFmtId="172" fontId="31" fillId="0" borderId="0" xfId="0" applyNumberFormat="1" applyFont="1" applyFill="1" applyAlignment="1" applyProtection="1">
      <alignment horizontal="center"/>
    </xf>
    <xf numFmtId="2" fontId="0" fillId="0" borderId="0" xfId="0" applyNumberFormat="1" applyProtection="1"/>
    <xf numFmtId="171" fontId="0" fillId="0" borderId="0" xfId="0" applyNumberFormat="1" applyProtection="1"/>
    <xf numFmtId="168" fontId="27" fillId="0" borderId="49" xfId="0" applyNumberFormat="1" applyFont="1" applyFill="1" applyBorder="1" applyAlignment="1" applyProtection="1">
      <alignment horizontal="center"/>
    </xf>
    <xf numFmtId="0" fontId="0" fillId="0" borderId="50" xfId="0" applyFill="1" applyBorder="1" applyAlignment="1" applyProtection="1">
      <alignment horizontal="center"/>
    </xf>
    <xf numFmtId="0" fontId="37" fillId="0" borderId="50" xfId="0" applyFont="1" applyFill="1" applyBorder="1" applyAlignment="1" applyProtection="1">
      <alignment horizontal="center"/>
    </xf>
    <xf numFmtId="0" fontId="26" fillId="0" borderId="50" xfId="0" applyFont="1" applyBorder="1" applyAlignment="1" applyProtection="1">
      <alignment horizontal="center"/>
    </xf>
    <xf numFmtId="167" fontId="27" fillId="42" borderId="14" xfId="0" applyNumberFormat="1" applyFont="1" applyFill="1" applyBorder="1" applyAlignment="1" applyProtection="1">
      <alignment horizontal="center"/>
    </xf>
    <xf numFmtId="167" fontId="0" fillId="0" borderId="50" xfId="0" applyNumberFormat="1" applyFont="1" applyFill="1" applyBorder="1" applyAlignment="1" applyProtection="1">
      <alignment horizontal="center"/>
    </xf>
    <xf numFmtId="167" fontId="16" fillId="42" borderId="14" xfId="0" applyNumberFormat="1" applyFont="1" applyFill="1" applyBorder="1" applyAlignment="1" applyProtection="1">
      <alignment horizontal="center"/>
    </xf>
    <xf numFmtId="168" fontId="27" fillId="0" borderId="0" xfId="0" applyNumberFormat="1" applyFont="1" applyFill="1" applyBorder="1" applyAlignment="1" applyProtection="1">
      <alignment horizontal="center"/>
    </xf>
    <xf numFmtId="0" fontId="107" fillId="0" borderId="0" xfId="0" applyFont="1" applyBorder="1" applyAlignment="1" applyProtection="1">
      <alignment horizontal="center" wrapText="1"/>
      <protection locked="0"/>
    </xf>
    <xf numFmtId="167" fontId="26" fillId="0" borderId="0" xfId="0" applyNumberFormat="1" applyFont="1" applyBorder="1" applyAlignment="1" applyProtection="1">
      <alignment horizontal="center"/>
      <protection locked="0"/>
    </xf>
    <xf numFmtId="2" fontId="0" fillId="0" borderId="0" xfId="0" applyNumberFormat="1" applyFill="1" applyBorder="1" applyProtection="1">
      <protection locked="0"/>
    </xf>
    <xf numFmtId="16" fontId="31" fillId="0" borderId="0" xfId="0" applyNumberFormat="1" applyFont="1" applyFill="1" applyBorder="1" applyAlignment="1" applyProtection="1">
      <alignment horizontal="center"/>
      <protection locked="0"/>
    </xf>
    <xf numFmtId="167" fontId="27" fillId="42" borderId="0" xfId="0" applyNumberFormat="1" applyFont="1" applyFill="1" applyBorder="1" applyAlignment="1" applyProtection="1">
      <alignment horizontal="center"/>
    </xf>
    <xf numFmtId="167" fontId="27" fillId="42" borderId="50" xfId="0" applyNumberFormat="1" applyFont="1" applyFill="1" applyBorder="1" applyAlignment="1" applyProtection="1">
      <alignment horizontal="center"/>
    </xf>
    <xf numFmtId="2" fontId="27" fillId="0" borderId="0" xfId="0" applyNumberFormat="1" applyFont="1" applyFill="1" applyBorder="1" applyAlignment="1" applyProtection="1">
      <alignment horizontal="center"/>
    </xf>
    <xf numFmtId="0" fontId="26" fillId="0" borderId="0" xfId="0" applyFont="1" applyFill="1" applyBorder="1" applyAlignment="1" applyProtection="1">
      <alignment horizontal="center"/>
    </xf>
    <xf numFmtId="167" fontId="26" fillId="0" borderId="0" xfId="0" applyNumberFormat="1" applyFont="1" applyFill="1" applyBorder="1" applyAlignment="1" applyProtection="1">
      <alignment horizontal="center"/>
    </xf>
    <xf numFmtId="0" fontId="31" fillId="0" borderId="0" xfId="0" applyFont="1" applyFill="1" applyBorder="1" applyProtection="1"/>
    <xf numFmtId="167" fontId="29" fillId="0" borderId="0" xfId="0" applyNumberFormat="1" applyFont="1" applyFill="1" applyBorder="1" applyAlignment="1" applyProtection="1">
      <alignment horizontal="center"/>
    </xf>
    <xf numFmtId="167" fontId="27" fillId="0" borderId="0" xfId="0" applyNumberFormat="1" applyFont="1" applyFill="1" applyBorder="1" applyAlignment="1" applyProtection="1">
      <alignment horizontal="center"/>
    </xf>
    <xf numFmtId="167" fontId="5" fillId="0" borderId="0" xfId="0" applyNumberFormat="1" applyFont="1" applyFill="1" applyBorder="1" applyAlignment="1" applyProtection="1">
      <alignment horizontal="center"/>
    </xf>
    <xf numFmtId="168" fontId="26" fillId="0" borderId="0" xfId="0" applyNumberFormat="1" applyFont="1" applyFill="1" applyBorder="1" applyAlignment="1" applyProtection="1">
      <alignment horizontal="center"/>
    </xf>
    <xf numFmtId="2" fontId="26" fillId="0" borderId="0" xfId="0" applyNumberFormat="1" applyFont="1" applyFill="1" applyBorder="1" applyAlignment="1" applyProtection="1">
      <alignment horizontal="center"/>
    </xf>
    <xf numFmtId="2" fontId="26" fillId="0" borderId="0" xfId="0" applyNumberFormat="1" applyFont="1" applyFill="1" applyBorder="1" applyProtection="1"/>
    <xf numFmtId="170" fontId="31" fillId="0" borderId="0" xfId="0" applyNumberFormat="1" applyFont="1" applyFill="1" applyAlignment="1" applyProtection="1">
      <alignment horizontal="center"/>
    </xf>
    <xf numFmtId="167" fontId="0" fillId="0" borderId="0" xfId="0" applyNumberFormat="1" applyFill="1" applyAlignment="1" applyProtection="1">
      <alignment horizontal="center"/>
    </xf>
    <xf numFmtId="0" fontId="35" fillId="0" borderId="0" xfId="0" applyFont="1" applyFill="1" applyProtection="1">
      <protection locked="0"/>
    </xf>
    <xf numFmtId="165" fontId="31" fillId="0" borderId="0" xfId="0" applyNumberFormat="1" applyFont="1" applyFill="1" applyAlignment="1" applyProtection="1"/>
    <xf numFmtId="0" fontId="31" fillId="0" borderId="0" xfId="0" applyFont="1" applyFill="1" applyAlignment="1" applyProtection="1"/>
    <xf numFmtId="0" fontId="99" fillId="0" borderId="0" xfId="0" applyFont="1" applyFill="1" applyBorder="1" applyAlignment="1" applyProtection="1">
      <protection locked="0"/>
    </xf>
    <xf numFmtId="0" fontId="31" fillId="45" borderId="46" xfId="0" applyFont="1" applyFill="1" applyBorder="1" applyAlignment="1" applyProtection="1">
      <alignment horizontal="center"/>
    </xf>
    <xf numFmtId="0" fontId="31" fillId="45" borderId="28" xfId="0" applyFont="1" applyFill="1" applyBorder="1" applyAlignment="1" applyProtection="1"/>
    <xf numFmtId="0" fontId="31" fillId="45" borderId="21" xfId="0" applyFont="1" applyFill="1" applyBorder="1" applyAlignment="1" applyProtection="1"/>
    <xf numFmtId="0" fontId="31" fillId="45" borderId="46" xfId="0" applyFont="1" applyFill="1" applyBorder="1" applyAlignment="1" applyProtection="1">
      <alignment horizontal="left"/>
    </xf>
    <xf numFmtId="0" fontId="31" fillId="45" borderId="47" xfId="0" applyFont="1" applyFill="1" applyBorder="1" applyAlignment="1" applyProtection="1">
      <alignment horizontal="left"/>
    </xf>
    <xf numFmtId="0" fontId="31" fillId="45" borderId="53" xfId="0" applyFont="1" applyFill="1" applyBorder="1" applyAlignment="1" applyProtection="1">
      <alignment horizontal="left"/>
    </xf>
    <xf numFmtId="167" fontId="26" fillId="34" borderId="49" xfId="0" applyNumberFormat="1" applyFont="1" applyFill="1" applyBorder="1" applyAlignment="1" applyProtection="1">
      <alignment horizontal="center"/>
    </xf>
    <xf numFmtId="167" fontId="26" fillId="34" borderId="50" xfId="0" applyNumberFormat="1" applyFont="1" applyFill="1" applyBorder="1" applyAlignment="1" applyProtection="1">
      <alignment horizontal="center"/>
    </xf>
    <xf numFmtId="167" fontId="26" fillId="34" borderId="51" xfId="0" applyNumberFormat="1" applyFont="1" applyFill="1" applyBorder="1" applyAlignment="1" applyProtection="1">
      <alignment horizontal="center"/>
    </xf>
    <xf numFmtId="167" fontId="26" fillId="42" borderId="48" xfId="0" applyNumberFormat="1" applyFont="1" applyFill="1" applyBorder="1" applyAlignment="1" applyProtection="1">
      <alignment horizontal="center"/>
    </xf>
    <xf numFmtId="167" fontId="26" fillId="42" borderId="0" xfId="0" applyNumberFormat="1" applyFont="1" applyFill="1" applyBorder="1" applyAlignment="1" applyProtection="1">
      <alignment horizontal="center"/>
    </xf>
    <xf numFmtId="167" fontId="26" fillId="42" borderId="54" xfId="0" applyNumberFormat="1" applyFont="1" applyFill="1" applyBorder="1" applyAlignment="1" applyProtection="1">
      <alignment horizontal="center"/>
    </xf>
    <xf numFmtId="167" fontId="27" fillId="42" borderId="48" xfId="0" applyNumberFormat="1" applyFont="1" applyFill="1" applyBorder="1" applyAlignment="1" applyProtection="1">
      <alignment horizontal="center"/>
    </xf>
    <xf numFmtId="167" fontId="5" fillId="42" borderId="0" xfId="0" applyNumberFormat="1" applyFont="1" applyFill="1" applyBorder="1" applyAlignment="1" applyProtection="1">
      <alignment horizontal="center"/>
    </xf>
    <xf numFmtId="167" fontId="5" fillId="42" borderId="54" xfId="0" applyNumberFormat="1" applyFont="1" applyFill="1" applyBorder="1" applyAlignment="1" applyProtection="1">
      <alignment horizontal="center"/>
    </xf>
    <xf numFmtId="0" fontId="30" fillId="0" borderId="0" xfId="0" applyFont="1" applyFill="1" applyBorder="1" applyAlignment="1" applyProtection="1">
      <alignment wrapText="1"/>
      <protection locked="0"/>
    </xf>
    <xf numFmtId="0" fontId="35" fillId="0" borderId="0" xfId="0" applyFont="1" applyFill="1" applyBorder="1" applyProtection="1">
      <protection locked="0"/>
    </xf>
    <xf numFmtId="0" fontId="35" fillId="0" borderId="0" xfId="0" applyFont="1" applyFill="1" applyBorder="1" applyAlignment="1" applyProtection="1">
      <alignment horizontal="center"/>
      <protection locked="0"/>
    </xf>
    <xf numFmtId="2" fontId="27" fillId="34" borderId="0" xfId="0" applyNumberFormat="1" applyFont="1" applyFill="1" applyBorder="1" applyAlignment="1" applyProtection="1">
      <alignment horizontal="center"/>
    </xf>
    <xf numFmtId="168" fontId="27" fillId="34" borderId="0" xfId="0" applyNumberFormat="1" applyFont="1" applyFill="1" applyBorder="1" applyAlignment="1" applyProtection="1">
      <alignment horizontal="center"/>
    </xf>
    <xf numFmtId="0" fontId="26" fillId="34" borderId="0" xfId="0" applyFont="1" applyFill="1" applyBorder="1" applyAlignment="1" applyProtection="1">
      <alignment horizontal="center"/>
    </xf>
    <xf numFmtId="0" fontId="31" fillId="34" borderId="0" xfId="0" applyFont="1" applyFill="1" applyBorder="1" applyProtection="1"/>
    <xf numFmtId="167" fontId="29" fillId="34" borderId="0" xfId="0" applyNumberFormat="1" applyFont="1" applyFill="1" applyBorder="1" applyAlignment="1" applyProtection="1">
      <alignment horizontal="center"/>
    </xf>
    <xf numFmtId="168" fontId="26" fillId="34" borderId="0" xfId="0" applyNumberFormat="1" applyFont="1" applyFill="1" applyBorder="1" applyAlignment="1" applyProtection="1">
      <alignment horizontal="center"/>
    </xf>
    <xf numFmtId="2" fontId="26" fillId="34" borderId="0" xfId="0" applyNumberFormat="1" applyFont="1" applyFill="1" applyBorder="1" applyAlignment="1" applyProtection="1">
      <alignment horizontal="center"/>
    </xf>
    <xf numFmtId="0" fontId="0" fillId="34" borderId="0" xfId="0" applyFill="1"/>
    <xf numFmtId="165" fontId="25" fillId="34" borderId="0" xfId="0" applyNumberFormat="1" applyFont="1" applyFill="1" applyBorder="1" applyProtection="1"/>
    <xf numFmtId="170" fontId="31" fillId="34" borderId="0" xfId="0" applyNumberFormat="1" applyFont="1" applyFill="1" applyAlignment="1" applyProtection="1">
      <alignment horizontal="center"/>
    </xf>
    <xf numFmtId="167" fontId="0" fillId="34" borderId="0" xfId="0" applyNumberFormat="1" applyFill="1" applyAlignment="1" applyProtection="1">
      <alignment horizontal="center"/>
    </xf>
    <xf numFmtId="0" fontId="35" fillId="34" borderId="0" xfId="0" applyFont="1" applyFill="1" applyProtection="1">
      <protection locked="0"/>
    </xf>
    <xf numFmtId="167" fontId="27" fillId="34" borderId="49" xfId="0" applyNumberFormat="1" applyFont="1" applyFill="1" applyBorder="1" applyAlignment="1" applyProtection="1">
      <alignment horizontal="center"/>
    </xf>
    <xf numFmtId="167" fontId="5" fillId="34" borderId="50" xfId="0" applyNumberFormat="1" applyFont="1" applyFill="1" applyBorder="1" applyAlignment="1" applyProtection="1">
      <alignment horizontal="center"/>
    </xf>
    <xf numFmtId="167" fontId="5" fillId="34" borderId="51" xfId="0" applyNumberFormat="1" applyFont="1" applyFill="1" applyBorder="1" applyAlignment="1" applyProtection="1">
      <alignment horizontal="center"/>
    </xf>
    <xf numFmtId="0" fontId="31" fillId="38" borderId="30" xfId="0" applyFont="1" applyFill="1" applyBorder="1" applyAlignment="1">
      <alignment horizontal="center"/>
    </xf>
    <xf numFmtId="0" fontId="31" fillId="38" borderId="34" xfId="0" applyFont="1" applyFill="1" applyBorder="1" applyAlignment="1">
      <alignment horizontal="center"/>
    </xf>
    <xf numFmtId="0" fontId="31" fillId="38" borderId="23" xfId="0" applyFont="1" applyFill="1" applyBorder="1" applyAlignment="1">
      <alignment horizontal="center"/>
    </xf>
    <xf numFmtId="0" fontId="32" fillId="34" borderId="35" xfId="0" applyFont="1" applyFill="1" applyBorder="1" applyAlignment="1">
      <alignment horizontal="center"/>
    </xf>
    <xf numFmtId="0" fontId="32" fillId="34" borderId="36" xfId="0" applyFont="1" applyFill="1" applyBorder="1" applyAlignment="1">
      <alignment horizontal="center"/>
    </xf>
    <xf numFmtId="0" fontId="32" fillId="34" borderId="12" xfId="0" applyFont="1" applyFill="1" applyBorder="1" applyAlignment="1">
      <alignment horizontal="center"/>
    </xf>
    <xf numFmtId="0" fontId="31" fillId="35" borderId="35" xfId="0" applyFont="1" applyFill="1" applyBorder="1" applyAlignment="1">
      <alignment horizontal="center"/>
    </xf>
    <xf numFmtId="0" fontId="31" fillId="35" borderId="36" xfId="0" applyFont="1" applyFill="1" applyBorder="1" applyAlignment="1">
      <alignment horizontal="center"/>
    </xf>
    <xf numFmtId="0" fontId="31" fillId="35" borderId="12" xfId="0" applyFont="1" applyFill="1" applyBorder="1" applyAlignment="1">
      <alignment horizontal="center"/>
    </xf>
    <xf numFmtId="0" fontId="32" fillId="40" borderId="27" xfId="0" applyFont="1" applyFill="1" applyBorder="1" applyAlignment="1">
      <alignment horizontal="center"/>
    </xf>
    <xf numFmtId="0" fontId="32" fillId="40" borderId="28" xfId="0" applyFont="1" applyFill="1" applyBorder="1" applyAlignment="1">
      <alignment horizontal="center"/>
    </xf>
    <xf numFmtId="0" fontId="32" fillId="40" borderId="21" xfId="0" applyFont="1" applyFill="1" applyBorder="1" applyAlignment="1">
      <alignment horizontal="center"/>
    </xf>
    <xf numFmtId="14" fontId="31" fillId="43" borderId="17" xfId="0" applyNumberFormat="1" applyFont="1" applyFill="1" applyBorder="1" applyAlignment="1">
      <alignment horizontal="center"/>
    </xf>
    <xf numFmtId="14" fontId="31" fillId="43" borderId="18" xfId="0" applyNumberFormat="1" applyFont="1" applyFill="1" applyBorder="1" applyAlignment="1">
      <alignment horizontal="center"/>
    </xf>
    <xf numFmtId="2" fontId="31" fillId="43" borderId="19" xfId="0" applyNumberFormat="1" applyFont="1" applyFill="1" applyBorder="1" applyAlignment="1">
      <alignment horizontal="center"/>
    </xf>
    <xf numFmtId="2" fontId="31" fillId="43" borderId="20" xfId="0" applyNumberFormat="1" applyFont="1" applyFill="1" applyBorder="1" applyAlignment="1">
      <alignment horizontal="center"/>
    </xf>
    <xf numFmtId="0" fontId="32" fillId="33" borderId="13" xfId="0" applyFont="1" applyFill="1" applyBorder="1" applyAlignment="1">
      <alignment horizontal="center" vertical="center"/>
    </xf>
    <xf numFmtId="0" fontId="32" fillId="33" borderId="14" xfId="0" applyFont="1" applyFill="1" applyBorder="1" applyAlignment="1">
      <alignment horizontal="center" vertical="center"/>
    </xf>
    <xf numFmtId="0" fontId="31" fillId="43" borderId="15" xfId="0" applyFont="1" applyFill="1" applyBorder="1" applyAlignment="1">
      <alignment horizontal="center"/>
    </xf>
    <xf numFmtId="0" fontId="31" fillId="43" borderId="16" xfId="0" applyFont="1" applyFill="1" applyBorder="1" applyAlignment="1">
      <alignment horizontal="center"/>
    </xf>
    <xf numFmtId="0" fontId="31" fillId="43" borderId="17" xfId="0" applyFont="1" applyFill="1" applyBorder="1" applyAlignment="1">
      <alignment horizontal="center"/>
    </xf>
    <xf numFmtId="0" fontId="31" fillId="43" borderId="18" xfId="0" applyFont="1" applyFill="1" applyBorder="1" applyAlignment="1">
      <alignment horizontal="center"/>
    </xf>
    <xf numFmtId="0" fontId="0" fillId="35" borderId="35" xfId="0" applyFill="1" applyBorder="1" applyAlignment="1">
      <alignment horizontal="center"/>
    </xf>
    <xf numFmtId="0" fontId="0" fillId="35" borderId="36" xfId="0" applyFill="1" applyBorder="1" applyAlignment="1">
      <alignment horizontal="center"/>
    </xf>
    <xf numFmtId="0" fontId="0" fillId="35" borderId="12" xfId="0" applyFill="1" applyBorder="1" applyAlignment="1">
      <alignment horizontal="center"/>
    </xf>
    <xf numFmtId="0" fontId="0" fillId="34" borderId="35" xfId="0" applyFill="1" applyBorder="1" applyAlignment="1">
      <alignment horizontal="center"/>
    </xf>
    <xf numFmtId="0" fontId="0" fillId="34" borderId="36" xfId="0" applyFill="1" applyBorder="1" applyAlignment="1">
      <alignment horizontal="center"/>
    </xf>
    <xf numFmtId="0" fontId="0" fillId="34" borderId="12" xfId="0" applyFill="1" applyBorder="1" applyAlignment="1">
      <alignment horizontal="center"/>
    </xf>
    <xf numFmtId="0" fontId="0" fillId="43" borderId="27" xfId="0" applyFont="1" applyFill="1" applyBorder="1" applyAlignment="1">
      <alignment horizontal="center"/>
    </xf>
    <xf numFmtId="0" fontId="0" fillId="43" borderId="21" xfId="0" applyFont="1" applyFill="1" applyBorder="1" applyAlignment="1">
      <alignment horizontal="center"/>
    </xf>
    <xf numFmtId="0" fontId="0" fillId="43" borderId="29" xfId="0" applyFill="1" applyBorder="1" applyAlignment="1">
      <alignment horizontal="center"/>
    </xf>
    <xf numFmtId="0" fontId="0" fillId="43" borderId="22" xfId="0" applyFill="1" applyBorder="1" applyAlignment="1">
      <alignment horizontal="center"/>
    </xf>
    <xf numFmtId="14" fontId="0" fillId="43" borderId="29" xfId="0" applyNumberFormat="1" applyFill="1" applyBorder="1" applyAlignment="1">
      <alignment horizontal="center"/>
    </xf>
    <xf numFmtId="14" fontId="0" fillId="43" borderId="22" xfId="0" applyNumberFormat="1" applyFill="1" applyBorder="1" applyAlignment="1">
      <alignment horizontal="center"/>
    </xf>
    <xf numFmtId="2" fontId="0" fillId="43" borderId="30" xfId="0" applyNumberFormat="1" applyFill="1" applyBorder="1" applyAlignment="1">
      <alignment horizontal="center"/>
    </xf>
    <xf numFmtId="2" fontId="0" fillId="43" borderId="23" xfId="0" applyNumberFormat="1" applyFill="1" applyBorder="1" applyAlignment="1">
      <alignment horizontal="center"/>
    </xf>
  </cellXfs>
  <cellStyles count="631">
    <cellStyle name=" 1" xfId="48"/>
    <cellStyle name="_BreakdownSpec" xfId="49"/>
    <cellStyle name="_BreakdownSpec_ConsolidateMktData" xfId="50"/>
    <cellStyle name="_BreakdownSpec_Days" xfId="51"/>
    <cellStyle name="_BreakdownSpec_FxoCorrTable" xfId="52"/>
    <cellStyle name="_BreakdownSpec_GetMktData" xfId="53"/>
    <cellStyle name="_BreakdownSpec_ND CNY UI" xfId="54"/>
    <cellStyle name="_BreakdownSpec_NZDIRS-LocalCalc" xfId="55"/>
    <cellStyle name="_BreakdownSpec_NZDIRS-LocalCalc_Multiuser" xfId="56"/>
    <cellStyle name="_BreakdownSpec_NZDIRS-LocalCalc_new subscribe logic" xfId="57"/>
    <cellStyle name="_BreakdownSpec_NZDIRS-MKTS" xfId="58"/>
    <cellStyle name="_BreakdownSpec_NzdTreasuryZeros" xfId="59"/>
    <cellStyle name="_BreakdownSpec_SampleCalc" xfId="60"/>
    <cellStyle name="_BreakdownSpec_SG-LocalCalc" xfId="61"/>
    <cellStyle name="_BreakdownSpec_SG-LocalCalc_DEV" xfId="62"/>
    <cellStyle name="_BreakdownSpec_TreasuryZeros" xfId="63"/>
    <cellStyle name="_ConsolidateMktData" xfId="64"/>
    <cellStyle name="_Days" xfId="65"/>
    <cellStyle name="_FXO_1mth_comparison" xfId="66"/>
    <cellStyle name="_FXO_1mth_comparison v 2" xfId="67"/>
    <cellStyle name="_FXO_1mth_comparison v 2_ConsolidateMktData" xfId="68"/>
    <cellStyle name="_FXO_1mth_comparison v 2_Days" xfId="69"/>
    <cellStyle name="_FXO_1mth_comparison v 2_FxoCorrTable" xfId="70"/>
    <cellStyle name="_FXO_1mth_comparison v 2_GetMktData" xfId="71"/>
    <cellStyle name="_FXO_1mth_comparison v 2_ND CNY UI" xfId="72"/>
    <cellStyle name="_FXO_1mth_comparison v 2_NZDIRS-LocalCalc" xfId="73"/>
    <cellStyle name="_FXO_1mth_comparison v 2_NZDIRS-LocalCalc_Multiuser" xfId="74"/>
    <cellStyle name="_FXO_1mth_comparison v 2_NZDIRS-LocalCalc_new subscribe logic" xfId="75"/>
    <cellStyle name="_FXO_1mth_comparison v 2_NZDIRS-MKTS" xfId="76"/>
    <cellStyle name="_FXO_1mth_comparison v 2_NzdTreasuryZeros" xfId="77"/>
    <cellStyle name="_FXO_1mth_comparison v 2_SampleCalc" xfId="78"/>
    <cellStyle name="_FXO_1mth_comparison v 2_SG-LocalCalc" xfId="79"/>
    <cellStyle name="_FXO_1mth_comparison v 2_SG-LocalCalc_DEV" xfId="80"/>
    <cellStyle name="_FXO_1mth_comparison v 2_TreasuryZeros" xfId="81"/>
    <cellStyle name="_FXO_1mth_comparison_ConsolidateMktData" xfId="82"/>
    <cellStyle name="_FXO_1mth_comparison_Days" xfId="83"/>
    <cellStyle name="_FXO_1mth_comparison_FxoCorrTable" xfId="84"/>
    <cellStyle name="_FXO_1mth_comparison_GetMktData" xfId="85"/>
    <cellStyle name="_FXO_1mth_comparison_ND CNY UI" xfId="86"/>
    <cellStyle name="_FXO_1mth_comparison_NZDIRS-LocalCalc" xfId="87"/>
    <cellStyle name="_FXO_1mth_comparison_NZDIRS-LocalCalc_Multiuser" xfId="88"/>
    <cellStyle name="_FXO_1mth_comparison_NZDIRS-LocalCalc_new subscribe logic" xfId="89"/>
    <cellStyle name="_FXO_1mth_comparison_NZDIRS-MKTS" xfId="90"/>
    <cellStyle name="_FXO_1mth_comparison_NzdTreasuryZeros" xfId="91"/>
    <cellStyle name="_FXO_1mth_comparison_SampleCalc" xfId="92"/>
    <cellStyle name="_FXO_1mth_comparison_SG-LocalCalc" xfId="93"/>
    <cellStyle name="_FXO_1mth_comparison_SG-LocalCalc_DEV" xfId="94"/>
    <cellStyle name="_FXO_1mth_comparison_TreasuryZeros" xfId="95"/>
    <cellStyle name="_FXO_Cleaned_Hypothetical_PnL_MXG" xfId="96"/>
    <cellStyle name="_FXO_Cleaned_Hypothetical_PnL_MXG_ConsolidateMktData" xfId="97"/>
    <cellStyle name="_FXO_Cleaned_Hypothetical_PnL_MXG_Days" xfId="98"/>
    <cellStyle name="_FXO_Cleaned_Hypothetical_PnL_MXG_FxoCorrTable" xfId="99"/>
    <cellStyle name="_FXO_Cleaned_Hypothetical_PnL_MXG_GetMktData" xfId="100"/>
    <cellStyle name="_FXO_Cleaned_Hypothetical_PnL_MXG_ND CNY UI" xfId="101"/>
    <cellStyle name="_FXO_Cleaned_Hypothetical_PnL_MXG_NZDIRS-LocalCalc" xfId="102"/>
    <cellStyle name="_FXO_Cleaned_Hypothetical_PnL_MXG_NZDIRS-LocalCalc_Multiuser" xfId="103"/>
    <cellStyle name="_FXO_Cleaned_Hypothetical_PnL_MXG_NZDIRS-LocalCalc_new subscribe logic" xfId="104"/>
    <cellStyle name="_FXO_Cleaned_Hypothetical_PnL_MXG_NZDIRS-MKTS" xfId="105"/>
    <cellStyle name="_FXO_Cleaned_Hypothetical_PnL_MXG_NzdTreasuryZeros" xfId="106"/>
    <cellStyle name="_FXO_Cleaned_Hypothetical_PnL_MXG_SampleCalc" xfId="107"/>
    <cellStyle name="_FXO_Cleaned_Hypothetical_PnL_MXG_SG-LocalCalc" xfId="108"/>
    <cellStyle name="_FXO_Cleaned_Hypothetical_PnL_MXG_SG-LocalCalc_DEV" xfId="109"/>
    <cellStyle name="_FXO_Cleaned_Hypothetical_PnL_MXG_TreasuryZeros" xfId="110"/>
    <cellStyle name="_FXO_PnL_by_parameter" xfId="111"/>
    <cellStyle name="_FXO_PnL_by_parameter_ConsolidateMktData" xfId="112"/>
    <cellStyle name="_FXO_PnL_by_parameter_Days" xfId="113"/>
    <cellStyle name="_FXO_PnL_by_parameter_FxoCorrTable" xfId="114"/>
    <cellStyle name="_FXO_PnL_by_parameter_GetMktData" xfId="115"/>
    <cellStyle name="_FXO_PnL_by_parameter_MXG" xfId="116"/>
    <cellStyle name="_FXO_PnL_by_parameter_MXG_ConsolidateMktData" xfId="117"/>
    <cellStyle name="_FXO_PnL_by_parameter_MXG_Days" xfId="118"/>
    <cellStyle name="_FXO_PnL_by_parameter_MXG_FxoCorrTable" xfId="119"/>
    <cellStyle name="_FXO_PnL_by_parameter_MXG_GetMktData" xfId="120"/>
    <cellStyle name="_FXO_PnL_by_parameter_MXG_ND CNY UI" xfId="121"/>
    <cellStyle name="_FXO_PnL_by_parameter_MXG_NZDIRS-LocalCalc" xfId="122"/>
    <cellStyle name="_FXO_PnL_by_parameter_MXG_NZDIRS-LocalCalc_Multiuser" xfId="123"/>
    <cellStyle name="_FXO_PnL_by_parameter_MXG_NZDIRS-LocalCalc_new subscribe logic" xfId="124"/>
    <cellStyle name="_FXO_PnL_by_parameter_MXG_NZDIRS-MKTS" xfId="125"/>
    <cellStyle name="_FXO_PnL_by_parameter_MXG_NzdTreasuryZeros" xfId="126"/>
    <cellStyle name="_FXO_PnL_by_parameter_MXG_SampleCalc" xfId="127"/>
    <cellStyle name="_FXO_PnL_by_parameter_MXG_SG-LocalCalc" xfId="128"/>
    <cellStyle name="_FXO_PnL_by_parameter_MXG_SG-LocalCalc_DEV" xfId="129"/>
    <cellStyle name="_FXO_PnL_by_parameter_MXG_TreasuryZeros" xfId="130"/>
    <cellStyle name="_FXO_PnL_by_parameter_ND CNY UI" xfId="131"/>
    <cellStyle name="_FXO_PnL_by_parameter_NZDIRS-LocalCalc" xfId="132"/>
    <cellStyle name="_FXO_PnL_by_parameter_NZDIRS-LocalCalc_Multiuser" xfId="133"/>
    <cellStyle name="_FXO_PnL_by_parameter_NZDIRS-LocalCalc_new subscribe logic" xfId="134"/>
    <cellStyle name="_FXO_PnL_by_parameter_NZDIRS-MKTS" xfId="135"/>
    <cellStyle name="_FXO_PnL_by_parameter_NzdTreasuryZeros" xfId="136"/>
    <cellStyle name="_FXO_PnL_by_parameter_SampleCalc" xfId="137"/>
    <cellStyle name="_FXO_PnL_by_parameter_SG-LocalCalc" xfId="138"/>
    <cellStyle name="_FXO_PnL_by_parameter_SG-LocalCalc_DEV" xfId="139"/>
    <cellStyle name="_FXO_PnL_by_parameter_TreasuryZeros" xfId="140"/>
    <cellStyle name="_FxoCorrTable" xfId="141"/>
    <cellStyle name="_GetMktData" xfId="142"/>
    <cellStyle name="_GFXO CONSOLIDATED PnL" xfId="143"/>
    <cellStyle name="_GFXO CONSOLIDATED PnL_ConsolidateMktData" xfId="144"/>
    <cellStyle name="_GFXO CONSOLIDATED PnL_Days" xfId="145"/>
    <cellStyle name="_GFXO CONSOLIDATED PnL_FxoCorrTable" xfId="146"/>
    <cellStyle name="_GFXO CONSOLIDATED PnL_GetMktData" xfId="147"/>
    <cellStyle name="_GFXO CONSOLIDATED PnL_ND CNY UI" xfId="148"/>
    <cellStyle name="_GFXO CONSOLIDATED PnL_NZDIRS-LocalCalc" xfId="149"/>
    <cellStyle name="_GFXO CONSOLIDATED PnL_NZDIRS-LocalCalc_Multiuser" xfId="150"/>
    <cellStyle name="_GFXO CONSOLIDATED PnL_NZDIRS-LocalCalc_new subscribe logic" xfId="151"/>
    <cellStyle name="_GFXO CONSOLIDATED PnL_NZDIRS-MKTS" xfId="152"/>
    <cellStyle name="_GFXO CONSOLIDATED PnL_NzdTreasuryZeros" xfId="153"/>
    <cellStyle name="_GFXO CONSOLIDATED PnL_SampleCalc" xfId="154"/>
    <cellStyle name="_GFXO CONSOLIDATED PnL_SG-LocalCalc" xfId="155"/>
    <cellStyle name="_GFXO CONSOLIDATED PnL_SG-LocalCalc_DEV" xfId="156"/>
    <cellStyle name="_GFXO CONSOLIDATED PnL_TreasuryZeros" xfId="157"/>
    <cellStyle name="_gfxoweek" xfId="158"/>
    <cellStyle name="_gfxoweek v2" xfId="159"/>
    <cellStyle name="_gfxoweek v2_ConsolidateMktData" xfId="160"/>
    <cellStyle name="_gfxoweek v2_Days" xfId="161"/>
    <cellStyle name="_gfxoweek v2_FxoCorrTable" xfId="162"/>
    <cellStyle name="_gfxoweek v2_GetMktData" xfId="163"/>
    <cellStyle name="_gfxoweek v2_ND CNY UI" xfId="164"/>
    <cellStyle name="_gfxoweek v2_NZDIRS-LocalCalc" xfId="165"/>
    <cellStyle name="_gfxoweek v2_NZDIRS-LocalCalc_Multiuser" xfId="166"/>
    <cellStyle name="_gfxoweek v2_NZDIRS-LocalCalc_new subscribe logic" xfId="167"/>
    <cellStyle name="_gfxoweek v2_NZDIRS-MKTS" xfId="168"/>
    <cellStyle name="_gfxoweek v2_NzdTreasuryZeros" xfId="169"/>
    <cellStyle name="_gfxoweek v2_SampleCalc" xfId="170"/>
    <cellStyle name="_gfxoweek v2_SG-LocalCalc" xfId="171"/>
    <cellStyle name="_gfxoweek v2_SG-LocalCalc_DEV" xfId="172"/>
    <cellStyle name="_gfxoweek v2_TreasuryZeros" xfId="173"/>
    <cellStyle name="_gfxoweek_ConsolidateMktData" xfId="174"/>
    <cellStyle name="_gfxoweek_Days" xfId="175"/>
    <cellStyle name="_gfxoweek_FxoCorrTable" xfId="176"/>
    <cellStyle name="_gfxoweek_GetMktData" xfId="177"/>
    <cellStyle name="_gfxoweek_ND CNY UI" xfId="178"/>
    <cellStyle name="_gfxoweek_NZDIRS-LocalCalc" xfId="179"/>
    <cellStyle name="_gfxoweek_NZDIRS-LocalCalc_Multiuser" xfId="180"/>
    <cellStyle name="_gfxoweek_NZDIRS-LocalCalc_new subscribe logic" xfId="181"/>
    <cellStyle name="_gfxoweek_NZDIRS-MKTS" xfId="182"/>
    <cellStyle name="_gfxoweek_NzdTreasuryZeros" xfId="183"/>
    <cellStyle name="_gfxoweek_SampleCalc" xfId="184"/>
    <cellStyle name="_gfxoweek_SG-LocalCalc" xfId="185"/>
    <cellStyle name="_gfxoweek_SG-LocalCalc_DEV" xfId="186"/>
    <cellStyle name="_gfxoweek_TreasuryZeros" xfId="187"/>
    <cellStyle name="_ND CNY UI" xfId="188"/>
    <cellStyle name="_NZDIRS-LocalCalc" xfId="189"/>
    <cellStyle name="_NZDIRS-LocalCalc_Multiuser" xfId="190"/>
    <cellStyle name="_NZDIRS-LocalCalc_new subscribe logic" xfId="191"/>
    <cellStyle name="_NZDIRS-MKTS" xfId="192"/>
    <cellStyle name="_NzdTreasuryZeros" xfId="193"/>
    <cellStyle name="_OPTIONS Board" xfId="194"/>
    <cellStyle name="_SampleCalc" xfId="195"/>
    <cellStyle name="_SG-LocalCalc" xfId="196"/>
    <cellStyle name="_SG-LocalCalc_DEV" xfId="197"/>
    <cellStyle name="_Sheet1" xfId="198"/>
    <cellStyle name="_Sheet1_ConsolidateMktData" xfId="199"/>
    <cellStyle name="_Sheet1_Days" xfId="200"/>
    <cellStyle name="_Sheet1_FxoCorrTable" xfId="201"/>
    <cellStyle name="_Sheet1_GetMktData" xfId="202"/>
    <cellStyle name="_Sheet1_ND CNY UI" xfId="203"/>
    <cellStyle name="_Sheet1_NZDIRS-LocalCalc" xfId="204"/>
    <cellStyle name="_Sheet1_NZDIRS-LocalCalc_Multiuser" xfId="205"/>
    <cellStyle name="_Sheet1_NZDIRS-LocalCalc_new subscribe logic" xfId="206"/>
    <cellStyle name="_Sheet1_NZDIRS-MKTS" xfId="207"/>
    <cellStyle name="_Sheet1_NzdTreasuryZeros" xfId="208"/>
    <cellStyle name="_Sheet1_SampleCalc" xfId="209"/>
    <cellStyle name="_Sheet1_SG-LocalCalc" xfId="210"/>
    <cellStyle name="_Sheet1_SG-LocalCalc_DEV" xfId="211"/>
    <cellStyle name="_Sheet1_TreasuryZeros" xfId="212"/>
    <cellStyle name="_TreasuryZeros" xfId="213"/>
    <cellStyle name="_ZAT2001e97" xfId="214"/>
    <cellStyle name="_ZAT2001e97_ConsolidateMktData" xfId="215"/>
    <cellStyle name="_ZAT2001e97_Days" xfId="216"/>
    <cellStyle name="_ZAT2001e97_FxoCorrTable" xfId="217"/>
    <cellStyle name="_ZAT2001e97_GetMktData" xfId="218"/>
    <cellStyle name="_ZAT2001e97_ND CNY UI" xfId="219"/>
    <cellStyle name="_ZAT2001e97_NZDIRS-LocalCalc" xfId="220"/>
    <cellStyle name="_ZAT2001e97_NZDIRS-LocalCalc_Multiuser" xfId="221"/>
    <cellStyle name="_ZAT2001e97_NZDIRS-LocalCalc_new subscribe logic" xfId="222"/>
    <cellStyle name="_ZAT2001e97_NZDIRS-MKTS" xfId="223"/>
    <cellStyle name="_ZAT2001e97_NzdTreasuryZeros" xfId="224"/>
    <cellStyle name="_ZAT2001e97_SampleCalc" xfId="225"/>
    <cellStyle name="_ZAT2001e97_SG-LocalCalc" xfId="226"/>
    <cellStyle name="_ZAT2001e97_SG-LocalCalc_DEV" xfId="227"/>
    <cellStyle name="_ZAT2001e97_TreasuryZeros" xfId="228"/>
    <cellStyle name="’Ê‰Ý [0.00]_guyan" xfId="229"/>
    <cellStyle name="’Ê‰Ý_guyan" xfId="230"/>
    <cellStyle name="•W?_Fem.Pro" xfId="231"/>
    <cellStyle name="•W€_Fem.Pro" xfId="232"/>
    <cellStyle name="¹éºÐÀ²_±âÅ¸" xfId="233"/>
    <cellStyle name="20% - Accent1" xfId="18" builtinId="30" customBuiltin="1"/>
    <cellStyle name="20% - Accent1 2" xfId="234"/>
    <cellStyle name="20% - Accent2" xfId="22" builtinId="34" customBuiltin="1"/>
    <cellStyle name="20% - Accent2 2" xfId="235"/>
    <cellStyle name="20% - Accent3" xfId="26" builtinId="38" customBuiltin="1"/>
    <cellStyle name="20% - Accent3 2" xfId="236"/>
    <cellStyle name="20% - Accent4" xfId="30" builtinId="42" customBuiltin="1"/>
    <cellStyle name="20% - Accent4 2" xfId="237"/>
    <cellStyle name="20% - Accent5" xfId="34" builtinId="46" customBuiltin="1"/>
    <cellStyle name="20% - Accent5 2" xfId="238"/>
    <cellStyle name="20% - Accent6" xfId="38" builtinId="50" customBuiltin="1"/>
    <cellStyle name="20% - Accent6 2" xfId="239"/>
    <cellStyle name="40% - Accent1" xfId="19" builtinId="31" customBuiltin="1"/>
    <cellStyle name="40% - Accent1 2" xfId="240"/>
    <cellStyle name="40% - Accent2" xfId="23" builtinId="35" customBuiltin="1"/>
    <cellStyle name="40% - Accent2 2" xfId="241"/>
    <cellStyle name="40% - Accent3" xfId="27" builtinId="39" customBuiltin="1"/>
    <cellStyle name="40% - Accent3 2" xfId="242"/>
    <cellStyle name="40% - Accent4" xfId="31" builtinId="43" customBuiltin="1"/>
    <cellStyle name="40% - Accent4 2" xfId="243"/>
    <cellStyle name="40% - Accent5" xfId="35" builtinId="47" customBuiltin="1"/>
    <cellStyle name="40% - Accent5 2" xfId="244"/>
    <cellStyle name="40% - Accent6" xfId="39" builtinId="51" customBuiltin="1"/>
    <cellStyle name="40% - Accent6 2" xfId="245"/>
    <cellStyle name="60% - Accent1" xfId="20" builtinId="32" customBuiltin="1"/>
    <cellStyle name="60% - Accent1 2" xfId="246"/>
    <cellStyle name="60% - Accent2" xfId="24" builtinId="36" customBuiltin="1"/>
    <cellStyle name="60% - Accent2 2" xfId="247"/>
    <cellStyle name="60% - Accent3" xfId="28" builtinId="40" customBuiltin="1"/>
    <cellStyle name="60% - Accent3 2" xfId="248"/>
    <cellStyle name="60% - Accent4" xfId="32" builtinId="44" customBuiltin="1"/>
    <cellStyle name="60% - Accent4 2" xfId="249"/>
    <cellStyle name="60% - Accent5" xfId="36" builtinId="48" customBuiltin="1"/>
    <cellStyle name="60% - Accent5 2" xfId="250"/>
    <cellStyle name="60% - Accent6" xfId="40" builtinId="52" customBuiltin="1"/>
    <cellStyle name="60% - Accent6 2" xfId="251"/>
    <cellStyle name="Accent1" xfId="17" builtinId="29" customBuiltin="1"/>
    <cellStyle name="Accent1 2" xfId="252"/>
    <cellStyle name="Accent2" xfId="21" builtinId="33" customBuiltin="1"/>
    <cellStyle name="Accent2 2" xfId="253"/>
    <cellStyle name="Accent3" xfId="25" builtinId="37" customBuiltin="1"/>
    <cellStyle name="Accent3 2" xfId="254"/>
    <cellStyle name="Accent4" xfId="29" builtinId="41" customBuiltin="1"/>
    <cellStyle name="Accent4 2" xfId="255"/>
    <cellStyle name="Accent5" xfId="33" builtinId="45" customBuiltin="1"/>
    <cellStyle name="Accent5 2" xfId="256"/>
    <cellStyle name="Accent6" xfId="37" builtinId="49" customBuiltin="1"/>
    <cellStyle name="Accent6 2" xfId="257"/>
    <cellStyle name="ÅëÈ­ [0]_¿µ¹®Á¶Á÷µµ" xfId="258"/>
    <cellStyle name="ÅëÈ­_¿µ¹®Á¶Á÷µµ" xfId="259"/>
    <cellStyle name="ÄÞ¸¶ [0]_±âÅ¸" xfId="260"/>
    <cellStyle name="ÄÞ¸¶_±âÅ¸" xfId="261"/>
    <cellStyle name="Bad" xfId="7" builtinId="27" customBuiltin="1"/>
    <cellStyle name="Bad 2" xfId="262"/>
    <cellStyle name="Ç¥ÁØ_¿ù°£¿ä¾àº¸°í" xfId="263"/>
    <cellStyle name="calc" xfId="264"/>
    <cellStyle name="Calculation" xfId="11" builtinId="22" customBuiltin="1"/>
    <cellStyle name="Calculation 2" xfId="265"/>
    <cellStyle name="Check Cell" xfId="13" builtinId="23" customBuiltin="1"/>
    <cellStyle name="Check Cell 2" xfId="266"/>
    <cellStyle name="Comma0" xfId="267"/>
    <cellStyle name="Comma0 2" xfId="268"/>
    <cellStyle name="Comma0 3" xfId="269"/>
    <cellStyle name="Currency0" xfId="270"/>
    <cellStyle name="Currency0 2" xfId="271"/>
    <cellStyle name="Currency0 3" xfId="272"/>
    <cellStyle name="Currency0 4" xfId="273"/>
    <cellStyle name="Currency0_France" xfId="274"/>
    <cellStyle name="Data" xfId="275"/>
    <cellStyle name="Data1" xfId="276"/>
    <cellStyle name="Data2" xfId="277"/>
    <cellStyle name="Data3" xfId="278"/>
    <cellStyle name="Data4" xfId="279"/>
    <cellStyle name="Data5" xfId="280"/>
    <cellStyle name="Date" xfId="281"/>
    <cellStyle name="Date 2" xfId="282"/>
    <cellStyle name="Date 3" xfId="283"/>
    <cellStyle name="Explanatory Text" xfId="15" builtinId="53" customBuiltin="1"/>
    <cellStyle name="Explanatory Text 2" xfId="284"/>
    <cellStyle name="EY House" xfId="285"/>
    <cellStyle name="F2" xfId="286"/>
    <cellStyle name="F2 2" xfId="287"/>
    <cellStyle name="F2 3" xfId="288"/>
    <cellStyle name="F2_France" xfId="289"/>
    <cellStyle name="F3" xfId="290"/>
    <cellStyle name="F3 2" xfId="291"/>
    <cellStyle name="F3 3" xfId="292"/>
    <cellStyle name="F3_France" xfId="293"/>
    <cellStyle name="F4" xfId="294"/>
    <cellStyle name="F4 2" xfId="295"/>
    <cellStyle name="F4 3" xfId="296"/>
    <cellStyle name="F4_France" xfId="297"/>
    <cellStyle name="F5" xfId="298"/>
    <cellStyle name="F5 2" xfId="299"/>
    <cellStyle name="F5 3" xfId="300"/>
    <cellStyle name="F5_France" xfId="301"/>
    <cellStyle name="F6" xfId="302"/>
    <cellStyle name="F6 2" xfId="303"/>
    <cellStyle name="F6 3" xfId="304"/>
    <cellStyle name="F6_France" xfId="305"/>
    <cellStyle name="F7" xfId="306"/>
    <cellStyle name="F7 2" xfId="307"/>
    <cellStyle name="F7 3" xfId="308"/>
    <cellStyle name="F7_France" xfId="309"/>
    <cellStyle name="F8" xfId="310"/>
    <cellStyle name="F8 2" xfId="311"/>
    <cellStyle name="F8 3" xfId="312"/>
    <cellStyle name="F8_France" xfId="313"/>
    <cellStyle name="Fixed" xfId="314"/>
    <cellStyle name="Fixed 2" xfId="315"/>
    <cellStyle name="Fixed 3" xfId="316"/>
    <cellStyle name="Good" xfId="6" builtinId="26" customBuiltin="1"/>
    <cellStyle name="Good 2" xfId="317"/>
    <cellStyle name="Grey" xfId="318"/>
    <cellStyle name="Grey 2" xfId="319"/>
    <cellStyle name="Header" xfId="320"/>
    <cellStyle name="Header1" xfId="321"/>
    <cellStyle name="Header2" xfId="322"/>
    <cellStyle name="Heading 1" xfId="2" builtinId="16" customBuiltin="1"/>
    <cellStyle name="Heading 1 2" xfId="323"/>
    <cellStyle name="Heading 2" xfId="3" builtinId="17" customBuiltin="1"/>
    <cellStyle name="Heading 2 2" xfId="324"/>
    <cellStyle name="Heading 3" xfId="4" builtinId="18" customBuiltin="1"/>
    <cellStyle name="Heading 3 2" xfId="325"/>
    <cellStyle name="Heading 4" xfId="5" builtinId="19" customBuiltin="1"/>
    <cellStyle name="Heading 4 2" xfId="326"/>
    <cellStyle name="hore" xfId="327"/>
    <cellStyle name="Hyperlink" xfId="41" builtinId="8" customBuiltin="1"/>
    <cellStyle name="Hyperlink 2" xfId="328"/>
    <cellStyle name="Hyperlink 3" xfId="329"/>
    <cellStyle name="Input" xfId="9" builtinId="20" customBuiltin="1"/>
    <cellStyle name="Input [yellow]" xfId="330"/>
    <cellStyle name="Input [yellow] 2" xfId="331"/>
    <cellStyle name="input 10" xfId="332"/>
    <cellStyle name="input 100" xfId="333"/>
    <cellStyle name="input 101" xfId="334"/>
    <cellStyle name="input 102" xfId="335"/>
    <cellStyle name="input 103" xfId="336"/>
    <cellStyle name="input 104" xfId="337"/>
    <cellStyle name="input 105" xfId="338"/>
    <cellStyle name="input 106" xfId="339"/>
    <cellStyle name="input 107" xfId="340"/>
    <cellStyle name="input 108" xfId="341"/>
    <cellStyle name="input 109" xfId="342"/>
    <cellStyle name="input 11" xfId="343"/>
    <cellStyle name="input 110" xfId="344"/>
    <cellStyle name="input 111" xfId="345"/>
    <cellStyle name="input 112" xfId="346"/>
    <cellStyle name="input 113" xfId="347"/>
    <cellStyle name="input 114" xfId="348"/>
    <cellStyle name="input 115" xfId="349"/>
    <cellStyle name="input 116" xfId="350"/>
    <cellStyle name="input 117" xfId="351"/>
    <cellStyle name="input 118" xfId="352"/>
    <cellStyle name="input 119" xfId="353"/>
    <cellStyle name="input 12" xfId="354"/>
    <cellStyle name="input 120" xfId="355"/>
    <cellStyle name="input 121" xfId="356"/>
    <cellStyle name="input 122" xfId="357"/>
    <cellStyle name="input 123" xfId="358"/>
    <cellStyle name="input 124" xfId="359"/>
    <cellStyle name="input 125" xfId="360"/>
    <cellStyle name="input 126" xfId="361"/>
    <cellStyle name="input 13" xfId="362"/>
    <cellStyle name="input 14" xfId="363"/>
    <cellStyle name="input 15" xfId="364"/>
    <cellStyle name="input 16" xfId="365"/>
    <cellStyle name="input 17" xfId="366"/>
    <cellStyle name="input 18" xfId="367"/>
    <cellStyle name="input 19" xfId="368"/>
    <cellStyle name="input 2" xfId="369"/>
    <cellStyle name="input 20" xfId="370"/>
    <cellStyle name="input 21" xfId="371"/>
    <cellStyle name="input 22" xfId="372"/>
    <cellStyle name="input 23" xfId="373"/>
    <cellStyle name="input 24" xfId="374"/>
    <cellStyle name="input 25" xfId="375"/>
    <cellStyle name="input 26" xfId="376"/>
    <cellStyle name="input 27" xfId="377"/>
    <cellStyle name="input 28" xfId="378"/>
    <cellStyle name="input 29" xfId="379"/>
    <cellStyle name="input 3" xfId="380"/>
    <cellStyle name="input 30" xfId="381"/>
    <cellStyle name="input 31" xfId="382"/>
    <cellStyle name="input 32" xfId="383"/>
    <cellStyle name="input 33" xfId="384"/>
    <cellStyle name="input 34" xfId="385"/>
    <cellStyle name="input 35" xfId="386"/>
    <cellStyle name="input 36" xfId="387"/>
    <cellStyle name="input 37" xfId="388"/>
    <cellStyle name="input 38" xfId="389"/>
    <cellStyle name="input 39" xfId="390"/>
    <cellStyle name="input 4" xfId="391"/>
    <cellStyle name="input 40" xfId="392"/>
    <cellStyle name="input 41" xfId="393"/>
    <cellStyle name="input 42" xfId="394"/>
    <cellStyle name="input 43" xfId="395"/>
    <cellStyle name="input 44" xfId="396"/>
    <cellStyle name="input 45" xfId="397"/>
    <cellStyle name="input 46" xfId="398"/>
    <cellStyle name="input 47" xfId="399"/>
    <cellStyle name="input 48" xfId="400"/>
    <cellStyle name="input 49" xfId="401"/>
    <cellStyle name="input 5" xfId="402"/>
    <cellStyle name="input 50" xfId="403"/>
    <cellStyle name="input 51" xfId="404"/>
    <cellStyle name="input 52" xfId="405"/>
    <cellStyle name="input 53" xfId="406"/>
    <cellStyle name="input 54" xfId="407"/>
    <cellStyle name="input 55" xfId="408"/>
    <cellStyle name="input 56" xfId="409"/>
    <cellStyle name="input 57" xfId="410"/>
    <cellStyle name="input 58" xfId="411"/>
    <cellStyle name="input 59" xfId="412"/>
    <cellStyle name="input 6" xfId="413"/>
    <cellStyle name="input 60" xfId="414"/>
    <cellStyle name="input 61" xfId="415"/>
    <cellStyle name="input 62" xfId="416"/>
    <cellStyle name="input 63" xfId="417"/>
    <cellStyle name="input 64" xfId="418"/>
    <cellStyle name="input 65" xfId="419"/>
    <cellStyle name="input 66" xfId="420"/>
    <cellStyle name="input 67" xfId="421"/>
    <cellStyle name="input 68" xfId="422"/>
    <cellStyle name="input 69" xfId="423"/>
    <cellStyle name="input 7" xfId="424"/>
    <cellStyle name="input 70" xfId="425"/>
    <cellStyle name="input 71" xfId="426"/>
    <cellStyle name="input 72" xfId="427"/>
    <cellStyle name="input 73" xfId="428"/>
    <cellStyle name="input 74" xfId="429"/>
    <cellStyle name="input 75" xfId="430"/>
    <cellStyle name="input 76" xfId="431"/>
    <cellStyle name="input 77" xfId="432"/>
    <cellStyle name="input 78" xfId="433"/>
    <cellStyle name="input 79" xfId="434"/>
    <cellStyle name="input 8" xfId="435"/>
    <cellStyle name="input 80" xfId="436"/>
    <cellStyle name="input 81" xfId="437"/>
    <cellStyle name="input 82" xfId="438"/>
    <cellStyle name="input 83" xfId="439"/>
    <cellStyle name="input 84" xfId="440"/>
    <cellStyle name="input 85" xfId="441"/>
    <cellStyle name="input 86" xfId="442"/>
    <cellStyle name="input 87" xfId="443"/>
    <cellStyle name="input 88" xfId="444"/>
    <cellStyle name="input 89" xfId="445"/>
    <cellStyle name="input 9" xfId="446"/>
    <cellStyle name="input 90" xfId="447"/>
    <cellStyle name="input 91" xfId="448"/>
    <cellStyle name="input 92" xfId="449"/>
    <cellStyle name="input 93" xfId="450"/>
    <cellStyle name="input 94" xfId="451"/>
    <cellStyle name="input 95" xfId="452"/>
    <cellStyle name="input 96" xfId="453"/>
    <cellStyle name="input 97" xfId="454"/>
    <cellStyle name="input 98" xfId="455"/>
    <cellStyle name="input 99" xfId="456"/>
    <cellStyle name="JasHighlighted" xfId="457"/>
    <cellStyle name="JasHighlighted 2" xfId="458"/>
    <cellStyle name="JasHighlighted 3" xfId="459"/>
    <cellStyle name="JasHighlighted_France" xfId="460"/>
    <cellStyle name="Jaspreet" xfId="461"/>
    <cellStyle name="Jaspreet 2" xfId="462"/>
    <cellStyle name="Jaspreet 3" xfId="463"/>
    <cellStyle name="Jaspreet_France" xfId="464"/>
    <cellStyle name="JasScratch1" xfId="465"/>
    <cellStyle name="JasScratch1 2" xfId="466"/>
    <cellStyle name="JasScratch1 3" xfId="467"/>
    <cellStyle name="JasScratch1_France" xfId="468"/>
    <cellStyle name="label" xfId="469"/>
    <cellStyle name="Linked Cell" xfId="12" builtinId="24" customBuiltin="1"/>
    <cellStyle name="Linked Cell 2" xfId="470"/>
    <cellStyle name="main_input" xfId="471"/>
    <cellStyle name="Modifiable" xfId="472"/>
    <cellStyle name="Neutral" xfId="8" builtinId="28" customBuiltin="1"/>
    <cellStyle name="Neutral 2" xfId="473"/>
    <cellStyle name="Normal" xfId="0" builtinId="0"/>
    <cellStyle name="Normal - Style1" xfId="474"/>
    <cellStyle name="Normal 10" xfId="475"/>
    <cellStyle name="Normal 10 2" xfId="476"/>
    <cellStyle name="Normal 100" xfId="477"/>
    <cellStyle name="Normal 101" xfId="478"/>
    <cellStyle name="Normal 102" xfId="479"/>
    <cellStyle name="Normal 103" xfId="480"/>
    <cellStyle name="Normal 104" xfId="481"/>
    <cellStyle name="Normal 105" xfId="482"/>
    <cellStyle name="Normal 106" xfId="483"/>
    <cellStyle name="Normal 107" xfId="484"/>
    <cellStyle name="Normal 108" xfId="485"/>
    <cellStyle name="Normal 109" xfId="486"/>
    <cellStyle name="Normal 11" xfId="487"/>
    <cellStyle name="Normal 11 2" xfId="488"/>
    <cellStyle name="Normal 110" xfId="489"/>
    <cellStyle name="Normal 111" xfId="490"/>
    <cellStyle name="Normal 112" xfId="491"/>
    <cellStyle name="Normal 113" xfId="492"/>
    <cellStyle name="Normal 114" xfId="493"/>
    <cellStyle name="Normal 115" xfId="494"/>
    <cellStyle name="Normal 116" xfId="495"/>
    <cellStyle name="Normal 117" xfId="496"/>
    <cellStyle name="Normal 118" xfId="497"/>
    <cellStyle name="Normal 119" xfId="498"/>
    <cellStyle name="Normal 12" xfId="499"/>
    <cellStyle name="Normal 120" xfId="500"/>
    <cellStyle name="Normal 121" xfId="501"/>
    <cellStyle name="Normal 122" xfId="502"/>
    <cellStyle name="Normal 123" xfId="503"/>
    <cellStyle name="Normal 124" xfId="504"/>
    <cellStyle name="Normal 125" xfId="505"/>
    <cellStyle name="Normal 126" xfId="506"/>
    <cellStyle name="Normal 127" xfId="507"/>
    <cellStyle name="Normal 128" xfId="508"/>
    <cellStyle name="Normal 129" xfId="509"/>
    <cellStyle name="Normal 13" xfId="510"/>
    <cellStyle name="Normal 130" xfId="511"/>
    <cellStyle name="Normal 131" xfId="512"/>
    <cellStyle name="Normal 132" xfId="513"/>
    <cellStyle name="Normal 133" xfId="514"/>
    <cellStyle name="Normal 134" xfId="515"/>
    <cellStyle name="Normal 135" xfId="516"/>
    <cellStyle name="Normal 136" xfId="517"/>
    <cellStyle name="Normal 137" xfId="518"/>
    <cellStyle name="Normal 138" xfId="519"/>
    <cellStyle name="Normal 139" xfId="520"/>
    <cellStyle name="Normal 14" xfId="521"/>
    <cellStyle name="Normal 140" xfId="522"/>
    <cellStyle name="Normal 15" xfId="523"/>
    <cellStyle name="Normal 16" xfId="524"/>
    <cellStyle name="Normal 17" xfId="525"/>
    <cellStyle name="Normal 18" xfId="526"/>
    <cellStyle name="Normal 19" xfId="527"/>
    <cellStyle name="Normal 2" xfId="42"/>
    <cellStyle name="Normal 2 2" xfId="43"/>
    <cellStyle name="Normal 20" xfId="528"/>
    <cellStyle name="Normal 21" xfId="529"/>
    <cellStyle name="Normal 22" xfId="530"/>
    <cellStyle name="Normal 23" xfId="531"/>
    <cellStyle name="Normal 24" xfId="532"/>
    <cellStyle name="Normal 25" xfId="533"/>
    <cellStyle name="Normal 26" xfId="534"/>
    <cellStyle name="Normal 27" xfId="535"/>
    <cellStyle name="Normal 28" xfId="536"/>
    <cellStyle name="Normal 29" xfId="537"/>
    <cellStyle name="Normal 3" xfId="44"/>
    <cellStyle name="Normal 30" xfId="538"/>
    <cellStyle name="Normal 31" xfId="539"/>
    <cellStyle name="Normal 32" xfId="540"/>
    <cellStyle name="Normal 33" xfId="541"/>
    <cellStyle name="Normal 34" xfId="542"/>
    <cellStyle name="Normal 35" xfId="543"/>
    <cellStyle name="Normal 36" xfId="544"/>
    <cellStyle name="Normal 37" xfId="545"/>
    <cellStyle name="Normal 38" xfId="546"/>
    <cellStyle name="Normal 39" xfId="547"/>
    <cellStyle name="Normal 4" xfId="47"/>
    <cellStyle name="Normal 40" xfId="548"/>
    <cellStyle name="Normal 41" xfId="549"/>
    <cellStyle name="Normal 42" xfId="550"/>
    <cellStyle name="Normal 43" xfId="551"/>
    <cellStyle name="Normal 44" xfId="552"/>
    <cellStyle name="Normal 45" xfId="553"/>
    <cellStyle name="Normal 46" xfId="554"/>
    <cellStyle name="Normal 47" xfId="555"/>
    <cellStyle name="Normal 48" xfId="556"/>
    <cellStyle name="Normal 49" xfId="557"/>
    <cellStyle name="Normal 5" xfId="558"/>
    <cellStyle name="Normal 50" xfId="559"/>
    <cellStyle name="Normal 51" xfId="560"/>
    <cellStyle name="Normal 52" xfId="561"/>
    <cellStyle name="Normal 53" xfId="562"/>
    <cellStyle name="Normal 54" xfId="563"/>
    <cellStyle name="Normal 55" xfId="564"/>
    <cellStyle name="Normal 56" xfId="565"/>
    <cellStyle name="Normal 57" xfId="566"/>
    <cellStyle name="Normal 58" xfId="567"/>
    <cellStyle name="Normal 59" xfId="568"/>
    <cellStyle name="Normal 6" xfId="569"/>
    <cellStyle name="Normal 60" xfId="570"/>
    <cellStyle name="Normal 61" xfId="571"/>
    <cellStyle name="Normal 62" xfId="572"/>
    <cellStyle name="Normal 63" xfId="573"/>
    <cellStyle name="Normal 64" xfId="574"/>
    <cellStyle name="Normal 65" xfId="575"/>
    <cellStyle name="Normal 66" xfId="576"/>
    <cellStyle name="Normal 67" xfId="577"/>
    <cellStyle name="Normal 68" xfId="578"/>
    <cellStyle name="Normal 69" xfId="579"/>
    <cellStyle name="Normal 7" xfId="580"/>
    <cellStyle name="Normal 70" xfId="581"/>
    <cellStyle name="Normal 71" xfId="582"/>
    <cellStyle name="Normal 72" xfId="583"/>
    <cellStyle name="Normal 73" xfId="584"/>
    <cellStyle name="Normal 74" xfId="585"/>
    <cellStyle name="Normal 75" xfId="586"/>
    <cellStyle name="Normal 76" xfId="587"/>
    <cellStyle name="Normal 77" xfId="588"/>
    <cellStyle name="Normal 78" xfId="589"/>
    <cellStyle name="Normal 79" xfId="590"/>
    <cellStyle name="Normal 8" xfId="591"/>
    <cellStyle name="Normal 80" xfId="592"/>
    <cellStyle name="Normal 81" xfId="593"/>
    <cellStyle name="Normal 82" xfId="594"/>
    <cellStyle name="Normal 83" xfId="595"/>
    <cellStyle name="Normal 84" xfId="596"/>
    <cellStyle name="Normal 85" xfId="597"/>
    <cellStyle name="Normal 86" xfId="598"/>
    <cellStyle name="Normal 87" xfId="599"/>
    <cellStyle name="Normal 88" xfId="600"/>
    <cellStyle name="Normal 89" xfId="601"/>
    <cellStyle name="Normal 9" xfId="602"/>
    <cellStyle name="Normal 90" xfId="603"/>
    <cellStyle name="Normal 91" xfId="604"/>
    <cellStyle name="Normal 92" xfId="605"/>
    <cellStyle name="Normal 93" xfId="606"/>
    <cellStyle name="Normal 94" xfId="607"/>
    <cellStyle name="Normal 95" xfId="608"/>
    <cellStyle name="Normal 96" xfId="609"/>
    <cellStyle name="Normal 97" xfId="610"/>
    <cellStyle name="Normal 98" xfId="611"/>
    <cellStyle name="Normal 99" xfId="612"/>
    <cellStyle name="Normale 2" xfId="613"/>
    <cellStyle name="Note 2" xfId="45"/>
    <cellStyle name="Output" xfId="10" builtinId="21" customBuiltin="1"/>
    <cellStyle name="Output 2" xfId="614"/>
    <cellStyle name="Percent [0%]" xfId="615"/>
    <cellStyle name="Percent [0.00%]" xfId="616"/>
    <cellStyle name="Percent 2" xfId="46"/>
    <cellStyle name="rt" xfId="617"/>
    <cellStyle name="Scratchpad" xfId="618"/>
    <cellStyle name="Scratchpad 2" xfId="619"/>
    <cellStyle name="Scratchpad 3" xfId="620"/>
    <cellStyle name="Scratchpad_France" xfId="621"/>
    <cellStyle name="Standard_Eur1" xfId="622"/>
    <cellStyle name="static" xfId="623"/>
    <cellStyle name="Style 1" xfId="624"/>
    <cellStyle name="text" xfId="625"/>
    <cellStyle name="Title" xfId="1" builtinId="15" customBuiltin="1"/>
    <cellStyle name="Title 2" xfId="626"/>
    <cellStyle name="TitreRub" xfId="627"/>
    <cellStyle name="TitreTab" xfId="628"/>
    <cellStyle name="Total" xfId="16" builtinId="25" customBuiltin="1"/>
    <cellStyle name="Total 2" xfId="629"/>
    <cellStyle name="Warning Text" xfId="14" builtinId="11" customBuiltin="1"/>
    <cellStyle name="Warning Text 2" xfId="63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marketviewexcelplugin.mkvxp">
      <tp>
        <v>1.2048049999999999</v>
        <stp/>
        <stp>0</stp>
        <stp>EUR.PRICING_MAIN.PXE.IT0005090318</stp>
        <stp>CurrentClosingYieldMid</stp>
        <tr r="J84" s="23"/>
      </tp>
      <tp>
        <v>4.5817999999999998E-2</v>
        <stp/>
        <stp>0</stp>
        <stp>EUR.PRICING_MAIN.PXE.IT0005030504</stp>
        <stp>CurrentClosingYieldMid</stp>
        <tr r="J36" s="23"/>
      </tp>
      <tp>
        <v>-0.31747900000000001</v>
        <stp/>
        <stp>0</stp>
        <stp>EUR.PRICING_MAIN.PXE.IT0004820426</stp>
        <stp>CurrentClosingYieldMid</stp>
        <tr r="J13" s="23"/>
      </tp>
      <tp>
        <v>1.438744</v>
        <stp/>
        <stp>0</stp>
        <stp>EUR.PRICING_MAIN.PXE.IT0005210650</stp>
        <stp>CurrentClosingYieldMid</stp>
        <tr r="J93" s="23"/>
      </tp>
      <tp>
        <v>1.3808229999999999</v>
        <stp/>
        <stp>0</stp>
        <stp>EUR.PRICING_MAIN.PXE.IT0005170839</stp>
        <stp>CurrentClosingYieldMid</stp>
        <tr r="J90" s="23"/>
      </tp>
      <tp>
        <v>-0.44972899999999999</v>
        <stp/>
        <stp>0</stp>
        <stp>EUR.PRICING_MAIN.PXE.IT0004960826</stp>
        <stp>CurrentClosingYieldMid</stp>
        <tr r="J7" s="23"/>
      </tp>
    </main>
    <main first="bloomberg.rtd">
      <tp>
        <v>0.182</v>
        <stp/>
        <stp>##V3_BDPV12</stp>
        <stp>IE00B6X95T99@CBBT Corp</stp>
        <stp>YAS_BOND_YLD</stp>
        <stp>[Andrea New RollM.xlsm]DB!R245C17</stp>
        <stp>SETTLE_DT=20161011</stp>
        <stp>YAS_BOND_PX=123.738</stp>
        <tr r="Q245" s="23"/>
      </tp>
      <tp>
        <v>106.03</v>
        <stp/>
        <stp>##V3_BDPV12</stp>
        <stp>IT0004273493 Corp</stp>
        <stp>BID</stp>
        <stp>[Andrea New RollM.xlsm]CCT!R27C7</stp>
        <tr r="G27" s="27"/>
      </tp>
      <tp>
        <v>123.61499999999999</v>
        <stp/>
        <stp>##V3_BDPV12</stp>
        <stp>IT0004759673 Corp</stp>
        <stp>BID</stp>
        <stp>[Andrea New RollM.xlsm]CCT!R35C7</stp>
        <tr r="G35" s="27"/>
      </tp>
      <tp>
        <v>-0.64900000000000002</v>
        <stp/>
        <stp>##V3_BDPV12</stp>
        <stp>FR0010415331@CBBT Corp</stp>
        <stp>YAS_BOND_YLD</stp>
        <stp>[Andrea New RollM.xlsm]DB!R10C17</stp>
        <stp>SETTLE_DT=20161011</stp>
        <stp>YAS_BOND_PX=102.377</stp>
        <tr r="Q10" s="23"/>
      </tp>
      <tp>
        <v>5.3999999999999999E-2</v>
        <stp/>
        <stp>##V3_BDPV12</stp>
        <stp>PTOTELOE0010@CBBT Corp</stp>
        <stp>YAS_BOND_YLD</stp>
        <stp>[Andrea New RollM.xlsm]DB!R223C19</stp>
        <stp>SETTLE_DT=20160909</stp>
        <stp>YAS_BOND_PX=104.728</stp>
        <tr r="S223" s="23"/>
      </tp>
      <tp>
        <v>-0.48799999999999999</v>
        <stp/>
        <stp>##V3_BDPV12</stp>
        <stp>FR0012557957@CBBT Corp</stp>
        <stp>YAS_BOND_YLD</stp>
        <stp>[Andrea New RollM.xlsm]DB!R46C17</stp>
        <stp>SETTLE_DT=20161011</stp>
        <stp>YAS_BOND_PX=101.786</stp>
        <tr r="Q46" s="23"/>
      </tp>
      <tp>
        <v>-0.34100000000000003</v>
        <stp/>
        <stp>##V3_BDPV12</stp>
        <stp>FR0011059088@CBBT Corp</stp>
        <stp>YAS_BOND_YLD</stp>
        <stp>[Andrea New RollM.xlsm]DB!R60C19</stp>
        <stp>SETTLE_DT=20160909</stp>
        <stp>YAS_BOND_PX=118.602</stp>
        <tr r="S60" s="23"/>
      </tp>
      <tp>
        <v>-7.2999999999999995E-2</v>
        <stp/>
        <stp>##V3_BDPV12</stp>
        <stp>FR0011619436@CBBT Corp</stp>
        <stp>YAS_BOND_YLD</stp>
        <stp>[Andrea New RollM.xlsm]DB!R78C17</stp>
        <stp>SETTLE_DT=20161011</stp>
        <stp>YAS_BOND_PX=117.757</stp>
        <tr r="Q78" s="23"/>
      </tp>
      <tp>
        <v>-0.628</v>
        <stp/>
        <stp>##V3_BDPV12</stp>
        <stp>FR0010604983@CBBT Corp</stp>
        <stp>YAS_BOND_YLD</stp>
        <stp>[Andrea New RollM.xlsm]DB!R20C18</stp>
        <stp>SETTLE_DT=20161004</stp>
        <stp>YAS_BOND_PX=107.264</stp>
        <tr r="R20" s="23"/>
      </tp>
      <tp>
        <v>1.089</v>
        <stp/>
        <stp>##V3_BDPV12</stp>
        <stp>IT0005001547@CBBT Corp</stp>
        <stp>YAS_BOND_YLD</stp>
        <stp>[Andrea New RollM.xlsm]DB!R79C17</stp>
        <stp>SETTLE_DT=20161011</stp>
        <stp>YAS_BOND_PX=120.087</stp>
        <tr r="Q79" s="23"/>
      </tp>
      <tp>
        <v>1.306</v>
        <stp/>
        <stp>##V3_BDPV12</stp>
        <stp>IT0005127086@CBBT Corp</stp>
        <stp>YAS_BOND_YLD</stp>
        <stp>[Andrea New RollM.xlsm]DB!R86C17</stp>
        <stp>SETTLE_DT=20161011</stp>
        <stp>YAS_BOND_PX=105.997</stp>
        <tr r="Q86" s="23"/>
      </tp>
      <tp>
        <v>-0.313</v>
        <stp/>
        <stp>##V3_BDPV12</stp>
        <stp>FR0011196856@CBBT Corp</stp>
        <stp>YAS_BOND_YLD</stp>
        <stp>[Andrea New RollM.xlsm]DB!R65C17</stp>
        <stp>SETTLE_DT=20161011</stp>
        <stp>YAS_BOND_PX=118.535</stp>
        <tr r="Q65" s="23"/>
      </tp>
      <tp>
        <v>6.6000000000000003E-2</v>
        <stp/>
        <stp>##V3_BDPV12</stp>
        <stp>IT0005069395@CBBT Corp</stp>
        <stp>YAS_BOND_YLD</stp>
        <stp>[Andrea New RollM.xlsm]DB!R41C17</stp>
        <stp>SETTLE_DT=20161011</stp>
        <stp>YAS_BOND_PX=103.085</stp>
        <tr r="Q41" s="23"/>
      </tp>
      <tp>
        <v>104.762</v>
        <stp/>
        <stp>##V3_BDHV12</stp>
        <stp>IE00BV8C9418@CBBT Corp</stp>
        <stp>OPEN</stp>
        <stp>11/10/2016 4:15:00 PM</stp>
        <stp>11/10/2016 5:15:00 PM</stp>
        <stp>[Andrea New RollM.xlsm]DB!R247C14</stp>
        <stp>BarSz=60</stp>
        <stp>BarTp=T</stp>
        <stp>RecurDaily=True</stp>
        <stp>TZ=London</stp>
        <stp>DTS=H</stp>
        <tr r="N247" s="23"/>
      </tp>
    </main>
    <main first="bloomberg.rtd">
      <tp>
        <v>110.1</v>
        <stp/>
        <stp>##V3_BDHV12</stp>
        <stp>IE00B28HXX02@CBBT Corp</stp>
        <stp>OPEN</stp>
        <stp>11/10/2016 4:15:00 PM</stp>
        <stp>11/10/2016 5:15:00 PM</stp>
        <stp>[Andrea New RollM.xlsm]DB!R238C14</stp>
        <stp>BarSz=60</stp>
        <stp>BarTp=T</stp>
        <stp>RecurDaily=True</stp>
        <stp>TZ=London</stp>
        <stp>DTS=H</stp>
        <tr r="N238" s="23"/>
      </tp>
    </main>
    <main first="marketviewexcelplugin.mkvxp">
      <tp>
        <v>-5.6730000000000003E-2</v>
        <stp/>
        <stp>0</stp>
        <stp>EUR.PRICING_MAIN.PXE.IT0004361041</stp>
        <stp>CurrentClosingYieldMid</stp>
        <tr r="J24" s="23"/>
      </tp>
      <tp>
        <v>0.60645300000000002</v>
        <stp/>
        <stp>0</stp>
        <stp>EUR.PRICING_MAIN.PXE.IT0004801541</stp>
        <stp>CurrentClosingYieldMid</stp>
        <tr r="J66" s="23"/>
      </tp>
      <tp>
        <v>1.0855630000000001</v>
        <stp/>
        <stp>0</stp>
        <stp>EUR.PRICING_MAIN.PXE.IT0005001547</stp>
        <stp>CurrentClosingYieldMid</stp>
        <tr r="J79" s="23"/>
      </tp>
      <tp t="e">
        <v>#REF!</v>
        <stp/>
        <stp>0</stp>
        <stp>EUR.PRICING_MAIN.PXE.IT0004761950</stp>
        <stp>CurrentClosingYieldMid</stp>
        <tr r="J6" s="23"/>
      </tp>
      <tp>
        <v>0.799543</v>
        <stp/>
        <stp>0</stp>
        <stp>EUR.PRICING_MAIN.PXE.IE00BJ38CR43</stp>
        <stp>CurrentClosingYieldMid</stp>
        <tr r="J248" s="23"/>
      </tp>
      <tp>
        <v>-0.220529</v>
        <stp/>
        <stp>0</stp>
        <stp>EUR.PRICING_MAIN.PXE.IE00BJ38CQ36</stp>
        <stp>CurrentClosingYieldMid</stp>
        <tr r="J243" s="23"/>
      </tp>
    </main>
    <main first="bloomberg.rtd">
      <tp>
        <v>120</v>
        <stp/>
        <stp>##V3_BDPV12</stp>
        <stp>IT0005009839 Corp</stp>
        <stp>FLT_SPREAD</stp>
        <stp>[Andrea New RollM.xlsm]CCT!R10C5</stp>
        <tr r="E10" s="27"/>
      </tp>
      <tp>
        <v>128.48500000000001</v>
        <stp/>
        <stp>##V3_BDPV12</stp>
        <stp>IT0004848831 Corp</stp>
        <stp>BID</stp>
        <stp>[Andrea New RollM.xlsm]CCT!R37C7</stp>
        <tr r="G37" s="27"/>
      </tp>
      <tp>
        <v>70</v>
        <stp/>
        <stp>##V3_BDPV12</stp>
        <stp>IT0005137614 Corp</stp>
        <stp>FLT_SPREAD</stp>
        <stp>[Andrea New RollM.xlsm]CCT!R13C5</stp>
        <tr r="E13" s="27"/>
      </tp>
      <tp>
        <v>-1.4E-2</v>
        <stp/>
        <stp>##V3_BDPV12</stp>
        <stp>IT0004361041@CBBT Corp</stp>
        <stp>YAS_BOND_YLD</stp>
        <stp>[Andrea New RollM.xlsm]DB!R24C19</stp>
        <stp>SETTLE_DT=20160909</stp>
        <stp>YAS_BOND_PX=108.552</stp>
        <tr r="S24" s="23"/>
      </tp>
      <tp>
        <v>1.087</v>
        <stp/>
        <stp>##V3_BDPV12</stp>
        <stp>IT0005090318@CBBT Corp</stp>
        <stp>YAS_BOND_YLD</stp>
        <stp>[Andrea New RollM.xlsm]DB!R84C19</stp>
        <stp>SETTLE_DT=20160909</stp>
        <stp>YAS_BOND_PX=103.455</stp>
        <tr r="S84" s="23"/>
      </tp>
    </main>
    <main first="marketviewexcelplugin.mkvxp">
      <tp>
        <v>110.1</v>
        <stp/>
        <stp>0</stp>
        <stp>EUR.PRICING_MAIN.PXE.IE00B28HXX02</stp>
        <stp>CurrentClosingPriceMid</stp>
        <tr r="L238" s="23"/>
      </tp>
    </main>
    <main first="bloomberg.rtd">
      <tp>
        <v>9.4E-2</v>
        <stp/>
        <stp>##V3_BDPV12</stp>
        <stp>IT0005107708@CBBT Corp</stp>
        <stp>YAS_BOND_YLD</stp>
        <stp>[Andrea New RollM.xlsm]DB!R45C19</stp>
        <stp>SETTLE_DT=20160909</stp>
        <stp>YAS_BOND_PX=102.202</stp>
        <tr r="S45" s="23"/>
      </tp>
      <tp>
        <v>1.181</v>
        <stp/>
        <stp>##V3_BDPV12</stp>
        <stp>IT0005127086@CBBT Corp</stp>
        <stp>YAS_BOND_YLD</stp>
        <stp>[Andrea New RollM.xlsm]DB!R86C19</stp>
        <stp>SETTLE_DT=20160909</stp>
        <stp>YAS_BOND_PX=107.173</stp>
        <tr r="S86" s="23"/>
      </tp>
      <tp>
        <v>-0.57899999999999996</v>
        <stp/>
        <stp>##V3_BDPV12</stp>
        <stp>FR0011993179@CBBT Corp</stp>
        <stp>YAS_BOND_YLD</stp>
        <stp>[Andrea New RollM.xlsm]DB!R40C18</stp>
        <stp>SETTLE_DT=20161004</stp>
        <stp>YAS_BOND_PX=103.431</stp>
        <tr r="R40" s="23"/>
      </tp>
      <tp>
        <v>0.23699999999999999</v>
        <stp/>
        <stp>##V3_BDPV12</stp>
        <stp>IT0004634132@CBBT Corp</stp>
        <stp>YAS_BOND_YLD</stp>
        <stp>[Andrea New RollM.xlsm]DB!R52C19</stp>
        <stp>SETTLE_DT=20160909</stp>
        <stp>YAS_BOND_PX=115.637</stp>
        <tr r="S52" s="23"/>
      </tp>
      <tp>
        <v>1.702</v>
        <stp/>
        <stp>##V3_BDPV12</stp>
        <stp>IT0005024234@CBBT Corp</stp>
        <stp>YAS_BOND_YLD</stp>
        <stp>[Andrea New RollM.xlsm]DB!R98C17</stp>
        <stp>SETTLE_DT=20161011</stp>
        <stp>YAS_BOND_PX=121.535</stp>
        <tr r="Q98" s="23"/>
      </tp>
      <tp>
        <v>-0.111</v>
        <stp/>
        <stp>##V3_BDPV12</stp>
        <stp>IT0004867070@CBBT Corp</stp>
        <stp>YAS_BOND_YLD</stp>
        <stp>[Andrea New RollM.xlsm]DB!R16C19</stp>
        <stp>SETTLE_DT=20160909</stp>
        <stp>YAS_BOND_PX=104.135</stp>
        <tr r="S16" s="23"/>
      </tp>
      <tp>
        <v>-0.29699999999999999</v>
        <stp/>
        <stp>##V3_BDPV12</stp>
        <stp>IT0005023459@CBBT Corp</stp>
        <stp>YAS_BOND_YLD</stp>
        <stp>[Andrea New RollM.xlsm]DB!R12C17</stp>
        <stp>SETTLE_DT=20161011</stp>
        <stp>YAS_BOND_PX=100.863</stp>
        <tr r="Q12" s="23"/>
      </tp>
      <tp>
        <v>0.107</v>
        <stp/>
        <stp>##V3_BDPV12</stp>
        <stp>ES00000128B8@CBBT Corp</stp>
        <stp>YAS_BOND_YLD</stp>
        <stp>[Andrea New RollM.xlsm]DB!R57C17</stp>
        <stp>SETTLE_DT=20161011</stp>
        <stp>YAS_BOND_PX=103.077</stp>
        <tr r="Q57" s="23"/>
      </tp>
      <tp>
        <v>0.56200000000000006</v>
        <stp/>
        <stp>##V3_BDPV12</stp>
        <stp>IT0005135840@CBBT Corp</stp>
        <stp>YAS_BOND_YLD</stp>
        <stp>[Andrea New RollM.xlsm]DB!R67C19</stp>
        <stp>SETTLE_DT=20160909</stp>
        <stp>YAS_BOND_PX=105.253</stp>
        <tr r="S67" s="23"/>
      </tp>
      <tp>
        <v>-0.18099999999999999</v>
        <stp/>
        <stp>##V3_BDPV12</stp>
        <stp>IT0004867070@CBBT Corp</stp>
        <stp>YAS_BOND_YLD</stp>
        <stp>[Andrea New RollM.xlsm]DB!R16C17</stp>
        <stp>SETTLE_DT=20161011</stp>
        <stp>YAS_BOND_PX=103.897</stp>
        <tr r="Q16" s="23"/>
      </tp>
    </main>
    <main first="marketviewexcelplugin.mkvxp">
      <tp>
        <v>0.18792400000000001</v>
        <stp/>
        <stp>0</stp>
        <stp>EUR.PRICING_MAIN.PXE.IT0005142143</stp>
        <stp>CurrentClosingYieldMid</stp>
        <tr r="J49" s="23"/>
        <tr r="J50" s="23"/>
      </tp>
      <tp>
        <v>-0.269563</v>
        <stp/>
        <stp>0</stp>
        <stp>EUR.PRICING_MAIN.PXE.IT0003242747</stp>
        <stp>CurrentClosingYieldMid</stp>
        <tr r="J14" s="23"/>
      </tp>
      <tp>
        <v>3.6250999999999999E-2</v>
        <stp/>
        <stp>0</stp>
        <stp>EUR.PRICING_MAIN.PXE.IT0004992308</stp>
        <stp>CurrentClosingYieldMid</stp>
        <tr r="J34" s="23"/>
      </tp>
      <tp>
        <v>0.75883699999999998</v>
        <stp/>
        <stp>0</stp>
        <stp>EUR.PRICING_MAIN.PXE.IT0005172322</stp>
        <stp>CurrentClosingYieldMid</stp>
        <tr r="J70" s="23"/>
      </tp>
      <tp>
        <v>2.326902</v>
        <stp/>
        <stp>0</stp>
        <stp>EUR.PRICING_MAIN.PXE.IT0004532559</stp>
        <stp>CurrentClosingYieldMid</stp>
        <tr r="J112" s="23"/>
      </tp>
      <tp>
        <v>2.4846050000000002</v>
        <stp/>
        <stp>0</stp>
        <stp>EUR.PRICING_MAIN.PXE.IT0005162828</stp>
        <stp>CurrentClosingYieldMid</stp>
        <tr r="J117" s="23"/>
      </tp>
    </main>
    <main first="bloomberg.rtd">
      <tp>
        <v>101.315</v>
        <stp/>
        <stp>##V3_BDPV12</stp>
        <stp>IT0004164775 Corp</stp>
        <stp>BID</stp>
        <stp>[Andrea New RollM.xlsm]CCT!R22C7</stp>
        <tr r="G22" s="27"/>
      </tp>
      <tp>
        <v>100.91500000000001</v>
        <stp/>
        <stp>##V3_BDPV12</stp>
        <stp>IT0005104473 Corp</stp>
        <stp>BID</stp>
        <stp>[Andrea New RollM.xlsm]CCT!R12C7</stp>
        <tr r="G12" s="27"/>
      </tp>
      <tp>
        <v>100.53</v>
        <stp/>
        <stp>##V3_BDPV12</stp>
        <stp>IT0005106049 Corp</stp>
        <stp>BID</stp>
        <stp>[Andrea New RollM.xlsm]CCT!R28C7</stp>
        <tr r="G28" s="27"/>
      </tp>
      <tp>
        <v>70</v>
        <stp/>
        <stp>##V3_BDPV12</stp>
        <stp>IT0005185456 Corp</stp>
        <stp>FLT_SPREAD</stp>
        <stp>[Andrea New RollM.xlsm]CCT!R14C5</stp>
        <tr r="E14" s="27"/>
      </tp>
      <tp>
        <v>107.565</v>
        <stp/>
        <stp>##V3_BDPV12</stp>
        <stp>IT0004957574 Corp</stp>
        <stp>BID</stp>
        <stp>[Andrea New RollM.xlsm]CCT!R30C7</stp>
        <tr r="G30" s="27"/>
      </tp>
      <tp>
        <v>103.05500000000001</v>
        <stp/>
        <stp>##V3_BDPV12</stp>
        <stp>IT0005069395 Corp</stp>
        <stp>BID</stp>
        <stp>[Andrea New RollM.xlsm]CCT!R32C7</stp>
        <tr r="G32" s="27"/>
      </tp>
      <tp>
        <v>-0.64200000000000002</v>
        <stp/>
        <stp>##V3_BDPV12</stp>
        <stp>FR0012634558@CBBT Corp</stp>
        <stp>YAS_BOND_YLD</stp>
        <stp>[Andrea New RollM.xlsm]DB!R19C18</stp>
        <stp>SETTLE_DT=20161004</stp>
        <stp>YAS_BOND_PX=100.901</stp>
        <tr r="R19" s="23"/>
      </tp>
      <tp>
        <v>0.191</v>
        <stp/>
        <stp>##V3_BDPV12</stp>
        <stp>IT0005142143@CBBT Corp</stp>
        <stp>YAS_BOND_YLD</stp>
        <stp>[Andrea New RollM.xlsm]DB!R50C17</stp>
        <stp>SETTLE_DT=20161011</stp>
        <stp>YAS_BOND_PX=101.855</stp>
        <tr r="Q50" s="23"/>
      </tp>
      <tp>
        <v>0.29799999999999999</v>
        <stp/>
        <stp>##V3_BDPV12</stp>
        <stp>PTOTENOE0018@CBBT Corp</stp>
        <stp>YAS_BOND_YLD</stp>
        <stp>[Andrea New RollM.xlsm]DB!R224C17</stp>
        <stp>SETTLE_DT=20161011</stp>
        <stp>YAS_BOND_PX=106.932</stp>
        <tr r="Q224" s="23"/>
      </tp>
      <tp>
        <v>2.7E-2</v>
        <stp/>
        <stp>##V3_BDPV12</stp>
        <stp>IT0005069395@CBBT Corp</stp>
        <stp>YAS_BOND_YLD</stp>
        <stp>[Andrea New RollM.xlsm]DB!R41C18</stp>
        <stp>SETTLE_DT=20161004</stp>
        <stp>YAS_BOND_PX=103.228</stp>
        <tr r="R41" s="23"/>
      </tp>
      <tp>
        <v>3.9E-2</v>
        <stp/>
        <stp>##V3_BDPV12</stp>
        <stp>IT0004992308@CBBT Corp</stp>
        <stp>YAS_BOND_YLD</stp>
        <stp>[Andrea New RollM.xlsm]DB!R34C19</stp>
        <stp>SETTLE_DT=20160909</stp>
        <stp>YAS_BOND_PX=106.503</stp>
        <tr r="S34" s="23"/>
      </tp>
      <tp>
        <v>0.97699999999999998</v>
        <stp/>
        <stp>##V3_BDPV12</stp>
        <stp>PTOTEMOE0027@CBBT Corp</stp>
        <stp>YAS_BOND_YLD</stp>
        <stp>[Andrea New RollM.xlsm]DB!R225C19</stp>
        <stp>SETTLE_DT=20160909</stp>
        <stp>YAS_BOND_PX=110.228</stp>
        <tr r="S225" s="23"/>
      </tp>
      <tp>
        <v>0.49</v>
        <stp/>
        <stp>##V3_BDPV12</stp>
        <stp>IE00BV8C9418@CBBT Corp</stp>
        <stp>YAS_BOND_YLD</stp>
        <stp>[Andrea New RollM.xlsm]DB!R247C17</stp>
        <stp>SETTLE_DT=20161011</stp>
        <stp>YAS_BOND_PX=104.762</stp>
        <tr r="Q247" s="23"/>
      </tp>
      <tp>
        <v>-0.04</v>
        <stp/>
        <stp>##V3_BDPV12</stp>
        <stp>IT0005139099@CBBT Corp</stp>
        <stp>YAS_BOND_YLD</stp>
        <stp>[Andrea New RollM.xlsm]DB!R25C17</stp>
        <stp>SETTLE_DT=20161011</stp>
        <stp>YAS_BOND_PX=100.685</stp>
        <tr r="Q25" s="23"/>
      </tp>
      <tp>
        <v>8.9999999999999993E-3</v>
        <stp/>
        <stp>##V3_BDPV12</stp>
        <stp>IT0004423957@CBBT Corp</stp>
        <stp>YAS_BOND_YLD</stp>
        <stp>[Andrea New RollM.xlsm]DB!R31C19</stp>
        <stp>SETTLE_DT=20160909</stp>
        <stp>YAS_BOND_PX=111.128</stp>
        <tr r="S31" s="23"/>
      </tp>
    </main>
    <main first="marketviewexcelplugin.mkvxp">
      <tp>
        <v>2.4535999999999998</v>
        <stp/>
        <stp>0</stp>
        <stp>EUR.PRICING_MAIN.PXE.IT0005083057</stp>
        <stp>CurrentClosingYieldMid</stp>
        <tr r="J116" s="23"/>
      </tp>
      <tp>
        <v>-0.31321199999999999</v>
        <stp/>
        <stp>0</stp>
        <stp>EUR.PRICING_MAIN.PXE.IT0005023459</stp>
        <stp>CurrentClosingYieldMid</stp>
        <tr r="J12" s="23"/>
      </tp>
      <tp>
        <v>-3.307E-3</v>
        <stp/>
        <stp>0</stp>
        <stp>EUR.PRICING_MAIN.PXE.IT0003493258</stp>
        <stp>CurrentClosingYieldMid</stp>
        <tr r="J29" s="23"/>
      </tp>
      <tp>
        <v>-0.33628599999999997</v>
        <stp/>
        <stp>0</stp>
        <stp>EUR.PRICING_MAIN.PXE.IT0004793474</stp>
        <stp>CurrentClosingYieldMid</stp>
        <tr r="J11" s="23"/>
      </tp>
      <tp>
        <v>0.97682999999999998</v>
        <stp/>
        <stp>0</stp>
        <stp>EUR.PRICING_MAIN.PXE.IT0004953417</stp>
        <stp>CurrentClosingYieldMid</stp>
        <tr r="J77" s="23"/>
      </tp>
      <tp>
        <v>-0.139963</v>
        <stp/>
        <stp>0</stp>
        <stp>EUR.PRICING_MAIN.PXE.IT0004273493</stp>
        <stp>CurrentClosingYieldMid</stp>
        <tr r="J18" s="23"/>
      </tp>
      <tp>
        <v>1.1566179999999999</v>
        <stp/>
        <stp>0</stp>
        <stp>EUR.PRICING_MAIN.PXE.IT0004513641</stp>
        <stp>CurrentClosingYieldMid</stp>
        <tr r="J82" s="23"/>
      </tp>
      <tp>
        <v>2.4205950000000001</v>
        <stp/>
        <stp>0</stp>
        <stp>EUR.PRICING_MAIN.PXE.IT0004923998</stp>
        <stp>CurrentClosingYieldMid</stp>
        <tr r="J114" s="23"/>
      </tp>
      <tp>
        <v>-1.0204E-2</v>
        <stp/>
        <stp>0</stp>
        <stp>EUR.PRICING_MAIN.PXE.IT0004423957</stp>
        <stp>CurrentClosingYieldMid</stp>
        <tr r="J31" s="23"/>
      </tp>
    </main>
    <main first="bloomberg.rtd">
      <tp>
        <v>103.205</v>
        <stp/>
        <stp>##V3_BDPV12</stp>
        <stp>IT0004820426 Corp</stp>
        <stp>BID</stp>
        <stp>[Andrea New RollM.xlsm]CCT!R24C7</stp>
        <tr r="G24" s="27"/>
      </tp>
      <tp>
        <v>103.88500000000001</v>
        <stp/>
        <stp>##V3_BDPV12</stp>
        <stp>IT0004867070 Corp</stp>
        <stp>BID</stp>
        <stp>[Andrea New RollM.xlsm]CCT!R26C7</stp>
        <tr r="G26" s="27"/>
      </tp>
      <tp>
        <v>1.3420000000000001</v>
        <stp/>
        <stp>##V3_BDPV12</stp>
        <stp>IT0004644735@CBBT Corp</stp>
        <stp>YAS_BOND_YLD</stp>
        <stp>[Andrea New RollM.xlsm]DB!R87C17</stp>
        <stp>SETTLE_DT=20161011</stp>
        <stp>YAS_BOND_PX=127.813</stp>
        <tr r="Q87" s="23"/>
      </tp>
      <tp>
        <v>-0.58799999999999997</v>
        <stp/>
        <stp>##V3_BDPV12</stp>
        <stp>FR0013101466@CBBT Corp</stp>
        <stp>YAS_BOND_YLD</stp>
        <stp>[Andrea New RollM.xlsm]DB!R30C17</stp>
        <stp>SETTLE_DT=20161011</stp>
        <stp>YAS_BOND_PX=101.409</stp>
        <tr r="Q30" s="23"/>
      </tp>
      <tp>
        <v>-7.8E-2</v>
        <stp/>
        <stp>##V3_BDPV12</stp>
        <stp>IT0005106049@CBBT Corp</stp>
        <stp>YAS_BOND_YLD</stp>
        <stp>[Andrea New RollM.xlsm]DB!R21C19</stp>
        <stp>SETTLE_DT=20160909</stp>
        <stp>YAS_BOND_PX=100.552</stp>
        <tr r="S21" s="23"/>
      </tp>
      <tp>
        <v>-0.54500000000000004</v>
        <stp/>
        <stp>##V3_BDPV12</stp>
        <stp>FR0010854182@CBBT Corp</stp>
        <stp>YAS_BOND_YLD</stp>
        <stp>[Andrea New RollM.xlsm]DB!R44C18</stp>
        <stp>SETTLE_DT=20161004</stp>
        <stp>YAS_BOND_PX=114.568</stp>
        <tr r="R44" s="23"/>
      </tp>
      <tp>
        <v>-0.27800000000000002</v>
        <stp/>
        <stp>##V3_BDPV12</stp>
        <stp>IT0004793474@CBBT Corp</stp>
        <stp>YAS_BOND_YLD</stp>
        <stp>[Andrea New RollM.xlsm]DB!R11C18</stp>
        <stp>SETTLE_DT=20161004</stp>
        <stp>YAS_BOND_PX=102.902</stp>
        <tr r="R11" s="23"/>
      </tp>
      <tp>
        <v>1.304</v>
        <stp/>
        <stp>##V3_BDPV12</stp>
        <stp>IE00BV8C9186@CBBT Corp</stp>
        <stp>YAS_BOND_YLD</stp>
        <stp>[Andrea New RollM.xlsm]DB!R249C19</stp>
        <stp>SETTLE_DT=20160909</stp>
        <stp>YAS_BOND_PX=116.455</stp>
        <tr r="S249" s="23"/>
      </tp>
      <tp>
        <v>-0.52200000000000002</v>
        <stp/>
        <stp>##V3_BDPV12</stp>
        <stp>FR0000189151@CBBT Corp</stp>
        <stp>YAS_BOND_YLD</stp>
        <stp>[Andrea New RollM.xlsm]DB!R32C19</stp>
        <stp>SETTLE_DT=20160909</stp>
        <stp>YAS_BOND_PX=112.647</stp>
        <tr r="S32" s="23"/>
      </tp>
      <tp>
        <v>-0.36499999999999999</v>
        <stp/>
        <stp>##V3_BDPV12</stp>
        <stp>FR0013157096@CBBT Corp</stp>
        <stp>YAS_BOND_YLD</stp>
        <stp>[Andrea New RollM.xlsm]DB!R55C17</stp>
        <stp>SETTLE_DT=20161011</stp>
        <stp>YAS_BOND_PX=101.703</stp>
        <tr r="Q55" s="23"/>
      </tp>
      <tp>
        <v>0.157</v>
        <stp/>
        <stp>##V3_BDPV12</stp>
        <stp>IT0005142143@CBBT Corp</stp>
        <stp>YAS_BOND_YLD</stp>
        <stp>[Andrea New RollM.xlsm]DB!R50C19</stp>
        <stp>SETTLE_DT=20160909</stp>
        <stp>YAS_BOND_PX=102.035</stp>
        <tr r="S50" s="23"/>
      </tp>
      <tp>
        <v>-6.2E-2</v>
        <stp/>
        <stp>##V3_BDPV12</stp>
        <stp>IT0005139099@CBBT Corp</stp>
        <stp>YAS_BOND_YLD</stp>
        <stp>[Andrea New RollM.xlsm]DB!R25C18</stp>
        <stp>SETTLE_DT=20161004</stp>
        <stp>YAS_BOND_PX=100.735</stp>
        <tr r="R25" s="23"/>
      </tp>
      <tp>
        <v>-0.64300000000000002</v>
        <stp/>
        <stp>##V3_BDPV12</stp>
        <stp>FR0012634558@CBBT Corp</stp>
        <stp>YAS_BOND_YLD</stp>
        <stp>[Andrea New RollM.xlsm]DB!R19C17</stp>
        <stp>SETTLE_DT=20161011</stp>
        <stp>YAS_BOND_PX=100.891</stp>
        <tr r="Q19" s="23"/>
      </tp>
      <tp>
        <v>-0.61299999999999999</v>
        <stp/>
        <stp>##V3_BDPV12</stp>
        <stp>FR0013101466@CBBT Corp</stp>
        <stp>YAS_BOND_YLD</stp>
        <stp>[Andrea New RollM.xlsm]DB!R30C18</stp>
        <stp>SETTLE_DT=20161004</stp>
        <stp>YAS_BOND_PX=101.483</stp>
        <tr r="R30" s="23"/>
      </tp>
      <tp>
        <v>-0.61699999999999999</v>
        <stp/>
        <stp>##V3_BDPV12</stp>
        <stp>FR0010604983@CBBT Corp</stp>
        <stp>YAS_BOND_YLD</stp>
        <stp>[Andrea New RollM.xlsm]DB!R20C17</stp>
        <stp>SETTLE_DT=20161011</stp>
        <stp>YAS_BOND_PX=107.156</stp>
        <tr r="Q20" s="23"/>
      </tp>
      <tp>
        <v>0.17899999999999999</v>
        <stp/>
        <stp>##V3_BDPV12</stp>
        <stp>IT0004594930@CBBT Corp</stp>
        <stp>YAS_BOND_YLD</stp>
        <stp>[Andrea New RollM.xlsm]DB!R47C17</stp>
        <stp>SETTLE_DT=20161011</stp>
        <stp>YAS_BOND_PX=114.802</stp>
        <tr r="Q47" s="23"/>
      </tp>
      <tp>
        <v>0.13800000000000001</v>
        <stp/>
        <stp>##V3_BDPV12</stp>
        <stp>IT0005142143@CBBT Corp</stp>
        <stp>YAS_BOND_YLD</stp>
        <stp>[Andrea New RollM.xlsm]DB!R49C18</stp>
        <stp>SETTLE_DT=20161004</stp>
        <stp>YAS_BOND_PX=102.082</stp>
        <tr r="R49" s="23"/>
      </tp>
      <tp>
        <v>-0.53400000000000003</v>
        <stp/>
        <stp>##V3_BDPV12</stp>
        <stp>FR0011708080@CBBT Corp</stp>
        <stp>YAS_BOND_YLD</stp>
        <stp>[Andrea New RollM.xlsm]DB!R35C19</stp>
        <stp>SETTLE_DT=20160909</stp>
        <stp>YAS_BOND_PX=104.194</stp>
        <tr r="S35" s="23"/>
      </tp>
      <tp>
        <v>110.158</v>
        <stp/>
        <stp>##V3_BDHV12</stp>
        <stp>IE00B28HXX02@CBBT Corp</stp>
        <stp>OPEN</stp>
        <stp>04/10/2016 4:15:00 PM</stp>
        <stp>04/10/2016 5:15:00 PM</stp>
        <stp>[Andrea New RollM.xlsm]DB!R238C15</stp>
        <stp>BarSz=60</stp>
        <stp>BarTp=T</stp>
        <stp>RecurDaily=True</stp>
        <stp>TZ=London</stp>
        <stp>DTS=H</stp>
        <tr r="O238" s="23"/>
      </tp>
      <tp>
        <v>-2.9000000000000001E-2</v>
        <stp/>
        <stp>##V3_BDPV12</stp>
        <stp>PTOTELOE0010@CBBT Corp</stp>
        <stp>YAS_BOND_YLD</stp>
        <stp>[Andrea New RollM.xlsm]DB!R223C17</stp>
        <stp>SETTLE_DT=20161011</stp>
        <stp>YAS_BOND_PX=104.44</stp>
        <tr r="Q223" s="23"/>
      </tp>
    </main>
    <main first="marketviewexcelplugin.mkvxp">
      <tp>
        <v>0.259772</v>
        <stp/>
        <stp>0</stp>
        <stp>EUR.PRICING_MAIN.PXE.IT0004634132</stp>
        <stp>CurrentClosingYieldMid</stp>
        <tr r="J52" s="23"/>
      </tp>
      <tp>
        <v>2.1357569999999999</v>
        <stp/>
        <stp>0</stp>
        <stp>EUR.PRICING_MAIN.PXE.IT0003934657</stp>
        <stp>CurrentClosingYieldMid</stp>
        <tr r="J109" s="23"/>
      </tp>
      <tp>
        <v>1.7845899999999999</v>
        <stp/>
        <stp>0</stp>
        <stp>EUR.PRICING_MAIN.PXE.IT0005094088</stp>
        <stp>CurrentClosingYieldMid</stp>
        <tr r="J102" s="23"/>
      </tp>
      <tp>
        <v>0.10727200000000001</v>
        <stp/>
        <stp>0</stp>
        <stp>EUR.PRICING_MAIN.PXE.IT0003644769</stp>
        <stp>CurrentClosingYieldMid</stp>
        <tr r="J42" s="23"/>
      </tp>
      <tp>
        <v>1.5095449999999999</v>
        <stp/>
        <stp>0</stp>
        <stp>EUR.PRICING_MAIN.PXE.IT0001174611</stp>
        <stp>CurrentClosingYieldMid</stp>
        <tr r="J95" s="23"/>
      </tp>
      <tp>
        <v>1.702056</v>
        <stp/>
        <stp>0</stp>
        <stp>EUR.PRICING_MAIN.PXE.IT0005024234</stp>
        <stp>CurrentClosingYieldMid</stp>
        <tr r="J98" s="23"/>
      </tp>
      <tp>
        <v>1.341747</v>
        <stp/>
        <stp>0</stp>
        <stp>EUR.PRICING_MAIN.PXE.IT0004644735</stp>
        <stp>CurrentClosingYieldMid</stp>
        <tr r="J87" s="23"/>
      </tp>
      <tp>
        <v>-0.405727</v>
        <stp/>
        <stp>0</stp>
        <stp>EUR.PRICING_MAIN.PXE.IT0004164775</stp>
        <stp>CurrentClosingYieldMid</stp>
        <tr r="J9" s="23"/>
      </tp>
      <tp>
        <v>1.7757130000000001</v>
        <stp/>
        <stp>0</stp>
        <stp>EUR.PRICING_MAIN.PXE.IT0001444378</stp>
        <stp>CurrentClosingYieldMid</stp>
        <tr r="J100" s="23"/>
      </tp>
      <tp>
        <v>0.17369100000000001</v>
        <stp/>
        <stp>0</stp>
        <stp>EUR.PRICING_MAIN.PXE.IT0004594930</stp>
        <stp>CurrentClosingYieldMid</stp>
        <tr r="J47" s="23"/>
      </tp>
      <tp>
        <v>-0.47005000000000002</v>
        <stp/>
        <stp>0</stp>
        <stp>EUR.PRICING_MAIN.PXE.IE00B2QTFG59</stp>
        <stp>CurrentClosingYieldMid</stp>
        <tr r="J239" s="23"/>
      </tp>
    </main>
    <main first="bloomberg.rtd">
      <tp>
        <v>128.15</v>
        <stp/>
        <stp>##V3_BDPV12</stp>
        <stp>IT0004801541 Corp</stp>
        <stp>BID</stp>
        <stp>[Andrea New RollM.xlsm]CCT!R36C7</stp>
        <tr r="G36" s="27"/>
      </tp>
      <tp>
        <v>0.88500000000000001</v>
        <stp/>
        <stp>##V3_BDPV12</stp>
        <stp>IT0004953417@CBBT Corp</stp>
        <stp>YAS_BOND_YLD</stp>
        <stp>[Andrea New RollM.xlsm]DB!R77C19</stp>
        <stp>SETTLE_DT=20160909</stp>
        <stp>YAS_BOND_PX=126.118</stp>
        <tr r="S77" s="23"/>
      </tp>
      <tp>
        <v>1.7000000000000001E-2</v>
        <stp/>
        <stp>##V3_BDPV12</stp>
        <stp>FR0011962398@CBBT Corp</stp>
        <stp>YAS_BOND_YLD</stp>
        <stp>[Andrea New RollM.xlsm]DB!R80C17</stp>
        <stp>SETTLE_DT=20161011</stp>
        <stp>YAS_BOND_PX=114.064</stp>
        <tr r="Q80" s="23"/>
      </tp>
      <tp>
        <v>0.16600000000000001</v>
        <stp/>
        <stp>##V3_BDPV12</stp>
        <stp>FR0012938116@CBBT Corp</stp>
        <stp>YAS_BOND_YLD</stp>
        <stp>[Andrea New RollM.xlsm]DB!R85C19</stp>
        <stp>SETTLE_DT=20160909</stp>
        <stp>YAS_BOND_PX=107.613</stp>
        <tr r="S85" s="23"/>
      </tp>
      <tp>
        <v>0.60299999999999998</v>
        <stp/>
        <stp>##V3_BDPV12</stp>
        <stp>IT0004848831@CBBT Corp</stp>
        <stp>YAS_BOND_YLD</stp>
        <stp>[Andrea New RollM.xlsm]DB!R69C19</stp>
        <stp>SETTLE_DT=20160909</stp>
        <stp>YAS_BOND_PX=129.495</stp>
        <tr r="S69" s="23"/>
      </tp>
      <tp>
        <v>-0.50700000000000001</v>
        <stp/>
        <stp>##V3_BDPV12</stp>
        <stp>FR0010949651@CBBT Corp</stp>
        <stp>YAS_BOND_YLD</stp>
        <stp>[Andrea New RollM.xlsm]DB!R48C18</stp>
        <stp>SETTLE_DT=20161004</stp>
        <stp>YAS_BOND_PX=112.361</stp>
        <tr r="R48" s="23"/>
      </tp>
      <tp>
        <v>0.46300000000000002</v>
        <stp/>
        <stp>##V3_BDPV12</stp>
        <stp>IT0005028003@CBBT Corp</stp>
        <stp>YAS_BOND_YLD</stp>
        <stp>[Andrea New RollM.xlsm]DB!R62C17</stp>
        <stp>SETTLE_DT=20161011</stp>
        <stp>YAS_BOND_PX=108.622</stp>
        <tr r="Q62" s="23"/>
      </tp>
      <tp>
        <v>0.30499999999999999</v>
        <stp/>
        <stp>##V3_BDPV12</stp>
        <stp>IT0005175598@CBBT Corp</stp>
        <stp>YAS_BOND_YLD</stp>
        <stp>[Andrea New RollM.xlsm]DB!R56C19</stp>
        <stp>SETTLE_DT=20160909</stp>
        <stp>YAS_BOND_PX=100.683</stp>
        <tr r="S56" s="23"/>
      </tp>
      <tp>
        <v>0.48399999999999999</v>
        <stp/>
        <stp>##V3_BDPV12</stp>
        <stp>IT0005086886@CBBT Corp</stp>
        <stp>YAS_BOND_YLD</stp>
        <stp>[Andrea New RollM.xlsm]DB!R64C19</stp>
        <stp>SETTLE_DT=20160909</stp>
        <stp>YAS_BOND_PX=104.775</stp>
        <tr r="S64" s="23"/>
      </tp>
      <tp>
        <v>-3.3000000000000002E-2</v>
        <stp/>
        <stp>##V3_BDPV12</stp>
        <stp>IT0004907843@CBBT Corp</stp>
        <stp>YAS_BOND_YLD</stp>
        <stp>[Andrea New RollM.xlsm]DB!R23C19</stp>
        <stp>SETTLE_DT=20160909</stp>
        <stp>YAS_BOND_PX=106.103</stp>
        <tr r="S23" s="23"/>
      </tp>
      <tp>
        <v>-5.5E-2</v>
        <stp/>
        <stp>##V3_BDPV12</stp>
        <stp>IT0004907843@CBBT Corp</stp>
        <stp>YAS_BOND_YLD</stp>
        <stp>[Andrea New RollM.xlsm]DB!R23C17</stp>
        <stp>SETTLE_DT=20161011</stp>
        <stp>YAS_BOND_PX=105.832</stp>
        <tr r="Q23" s="23"/>
      </tp>
      <tp>
        <v>-0.308</v>
        <stp/>
        <stp>##V3_BDPV12</stp>
        <stp>FR0011196856@CBBT Corp</stp>
        <stp>YAS_BOND_YLD</stp>
        <stp>[Andrea New RollM.xlsm]DB!R65C19</stp>
        <stp>SETTLE_DT=20160909</stp>
        <stp>YAS_BOND_PX=118.801</stp>
        <tr r="S65" s="23"/>
      </tp>
      <tp>
        <v>-0.496</v>
        <stp/>
        <stp>##V3_BDPV12</stp>
        <stp>FR0010854182@CBBT Corp</stp>
        <stp>YAS_BOND_YLD</stp>
        <stp>[Andrea New RollM.xlsm]DB!R44C17</stp>
        <stp>SETTLE_DT=20161011</stp>
        <stp>YAS_BOND_PX=114.296</stp>
        <tr r="Q44" s="23"/>
      </tp>
      <tp>
        <v>28148325000</v>
        <stp/>
        <stp>##V3_BDPV12</stp>
        <stp>IT0004009673 Corp</stp>
        <stp>AMT_OUTSTANDING</stp>
        <stp>[Andrea New RollM.xlsm]Ita!R34C26</stp>
        <tr r="Z34" s="7"/>
      </tp>
      <tp>
        <v>25012075000</v>
        <stp/>
        <stp>##V3_BDPV12</stp>
        <stp>IT0004489610 Corp</stp>
        <stp>AMT_OUTSTANDING</stp>
        <stp>[Andrea New RollM.xlsm]Ita!R23C26</stp>
        <tr r="Z23" s="7"/>
      </tp>
      <tp>
        <v>20635579000</v>
        <stp/>
        <stp>##V3_BDPV12</stp>
        <stp>IT0004759673 Corp</stp>
        <stp>AMT_OUTSTANDING</stp>
        <stp>[Andrea New RollM.xlsm]Ita!R38C26</stp>
        <tr r="Z38" s="7"/>
      </tp>
      <tp>
        <v>21783654000</v>
        <stp/>
        <stp>##V3_BDPV12</stp>
        <stp>IT0004889033 Corp</stp>
        <stp>AMT_OUTSTANDING</stp>
        <stp>[Andrea New RollM.xlsm]Ita!R59C26</stp>
        <tr r="Z59" s="7"/>
      </tp>
      <tp>
        <v>12199233000</v>
        <stp/>
        <stp>##V3_BDPV12</stp>
        <stp>IT0005139099 Corp</stp>
        <stp>AMT_OUTSTANDING</stp>
        <stp>[Andrea New RollM.xlsm]Ita!R16C26</stp>
        <tr r="Z16" s="7"/>
      </tp>
      <tp>
        <v>15470969000</v>
        <stp/>
        <stp>##V3_BDPV12</stp>
        <stp>IT0005069395 Corp</stp>
        <stp>AMT_OUTSTANDING</stp>
        <stp>[Andrea New RollM.xlsm]Ita!R25C26</stp>
        <tr r="Z25" s="7"/>
      </tp>
      <tp>
        <v>1.4060000000000001</v>
        <stp/>
        <stp>##V3_BDPV12</stp>
        <stp>PTOTE6OE0006@CBBT Corp</stp>
        <stp>YAS_BOND_YLD</stp>
        <stp>[Andrea New RollM.xlsm]DB!R222C17</stp>
        <stp>SETTLE_DT=20161011</stp>
        <stp>YAS_BOND_PX=100.03</stp>
        <tr r="Q222" s="23"/>
      </tp>
      <tp>
        <v>3.8220000000000001</v>
        <stp/>
        <stp>##V3_BDPV12</stp>
        <stp>PTOTEROE0014@CBBT Corp</stp>
        <stp>YAS_BOND_YLD</stp>
        <stp>[Andrea New RollM.xlsm]DB!R234C17</stp>
        <stp>SETTLE_DT=20161011</stp>
        <stp>YAS_BOND_PX=100.53</stp>
        <tr r="Q234" s="23"/>
      </tp>
      <tp>
        <v>3.097</v>
        <stp/>
        <stp>##V3_BDPV12</stp>
        <stp>PTOTEQOE0015@CBBT Corp</stp>
        <stp>YAS_BOND_YLD</stp>
        <stp>[Andrea New RollM.xlsm]DB!R230C17</stp>
        <stp>SETTLE_DT=20161011</stp>
        <stp>YAS_BOND_PX=116.53</stp>
        <tr r="Q230" s="23"/>
      </tp>
    </main>
    <main first="marketviewexcelplugin.mkvxp">
      <tp>
        <v>0.384772</v>
        <stp/>
        <stp>0</stp>
        <stp>EUR.PRICING_MAIN.PXE.IT0004695075</stp>
        <stp>CurrentClosingYieldMid</stp>
        <tr r="J59" s="23"/>
      </tp>
      <tp>
        <v>0.85968699999999998</v>
        <stp/>
        <stp>0</stp>
        <stp>EUR.PRICING_MAIN.PXE.IT0005215246</stp>
        <stp>CurrentClosingYieldMid</stp>
        <tr r="J74" s="23"/>
      </tp>
      <tp>
        <v>1.124641</v>
        <stp/>
        <stp>0</stp>
        <stp>EUR.PRICING_MAIN.PXE.IT0005045270</stp>
        <stp>CurrentClosingYieldMid</stp>
        <tr r="J81" s="23"/>
      </tp>
    </main>
    <main first="marketviewexcelplugin.mkvxp">
      <tp>
        <v>0.34578300000000001</v>
        <stp/>
        <stp>0</stp>
        <stp>EUR.PRICING_MAIN.PXE.IT0005175598</stp>
        <stp>CurrentClosingYieldMid</stp>
        <tr r="J56" s="23"/>
      </tp>
      <tp>
        <v>2.0044529999999998</v>
        <stp/>
        <stp>0</stp>
        <stp>EUR.PRICING_MAIN.PXE.IT0003535157</stp>
        <stp>CurrentClosingYieldMid</stp>
        <tr r="J105" s="23"/>
      </tp>
      <tp>
        <v>0.62855700000000003</v>
        <stp/>
        <stp>0</stp>
        <stp>EUR.PRICING_MAIN.PXE.IT0005135840</stp>
        <stp>CurrentClosingYieldMid</stp>
        <tr r="J67" s="23"/>
      </tp>
    </main>
    <main first="bloomberg.rtd">
      <tp>
        <v>104.42</v>
        <stp/>
        <stp>##V3_BDPV12</stp>
        <stp>IT0003242747 Corp</stp>
        <stp>BID</stp>
        <stp>[Andrea New RollM.xlsm]CCT!R25C7</stp>
        <tr r="G25" s="27"/>
      </tp>
      <tp>
        <v>1.54</v>
        <stp/>
        <stp>##V3_BDPV12</stp>
        <stp>IT0005024234@CBBT Corp</stp>
        <stp>YAS_BOND_YLD</stp>
        <stp>[Andrea New RollM.xlsm]DB!R98C19</stp>
        <stp>SETTLE_DT=20160909</stp>
        <stp>YAS_BOND_PX=123.852</stp>
        <tr r="S98" s="23"/>
      </tp>
      <tp>
        <v>1.9E-2</v>
        <stp/>
        <stp>##V3_BDPV12</stp>
        <stp>IT0004489610@CBBT Corp</stp>
        <stp>YAS_BOND_YLD</stp>
        <stp>[Andrea New RollM.xlsm]DB!R37C18</stp>
        <stp>SETTLE_DT=20161004</stp>
        <stp>YAS_BOND_PX=112.302</stp>
        <tr r="R37" s="23"/>
      </tp>
      <tp>
        <v>3.7999999999999999E-2</v>
        <stp/>
        <stp>##V3_BDPV12</stp>
        <stp>IT0005030504@CBBT Corp</stp>
        <stp>YAS_BOND_YLD</stp>
        <stp>[Andrea New RollM.xlsm]DB!R36C19</stp>
        <stp>SETTLE_DT=20160909</stp>
        <stp>YAS_BOND_PX=104.228</stp>
        <tr r="S36" s="23"/>
      </tp>
      <tp>
        <v>-0.64400000000000002</v>
        <stp/>
        <stp>##V3_BDPV12</stp>
        <stp>FR0010517417@CBBT Corp</stp>
        <stp>YAS_BOND_YLD</stp>
        <stp>[Andrea New RollM.xlsm]DB!R15C17</stp>
        <stp>SETTLE_DT=20161011</stp>
        <stp>YAS_BOND_PX=105.115</stp>
        <tr r="Q15" s="23"/>
      </tp>
      <tp>
        <v>0.47099999999999997</v>
        <stp/>
        <stp>##V3_BDPV12</stp>
        <stp>IE00BV8C9418@CBBT Corp</stp>
        <stp>YAS_BOND_YLD</stp>
        <stp>[Andrea New RollM.xlsm]DB!R247C19</stp>
        <stp>SETTLE_DT=20160909</stp>
        <stp>YAS_BOND_PX=104.997</stp>
        <tr r="S247" s="23"/>
      </tp>
      <tp>
        <v>4.0000000000000001E-3</v>
        <stp/>
        <stp>##V3_BDPV12</stp>
        <stp>IT0003493258@CBBT Corp</stp>
        <stp>YAS_BOND_YLD</stp>
        <stp>[Andrea New RollM.xlsm]DB!R29C17</stp>
        <stp>SETTLE_DT=20161011</stp>
        <stp>YAS_BOND_PX=109.795</stp>
        <tr r="Q29" s="23"/>
      </tp>
      <tp>
        <v>-0.26100000000000001</v>
        <stp/>
        <stp>##V3_BDPV12</stp>
        <stp>FR0011337880@CBBT Corp</stp>
        <stp>YAS_BOND_YLD</stp>
        <stp>[Andrea New RollM.xlsm]DB!R68C19</stp>
        <stp>SETTLE_DT=20160909</stp>
        <stp>YAS_BOND_PX=115.524</stp>
        <tr r="S68" s="23"/>
      </tp>
      <tp>
        <v>-7.5999999999999998E-2</v>
        <stp/>
        <stp>##V3_BDPV12</stp>
        <stp>IT0004907843@CBBT Corp</stp>
        <stp>YAS_BOND_YLD</stp>
        <stp>[Andrea New RollM.xlsm]DB!R23C18</stp>
        <stp>SETTLE_DT=20161004</stp>
        <stp>YAS_BOND_PX=105.935</stp>
        <tr r="R23" s="23"/>
      </tp>
      <tp>
        <v>15733746000</v>
        <stp/>
        <stp>##V3_BDPV12</stp>
        <stp>IT0005058463 Corp</stp>
        <stp>AMT_OUTSTANDING</stp>
        <stp>[Andrea New RollM.xlsm]Ita!R11C26</stp>
        <tr r="Z11" s="7"/>
      </tp>
      <tp>
        <v>28148499209</v>
        <stp/>
        <stp>##V3_BDPV12</stp>
        <stp>IT0001278511 Corp</stp>
        <stp>AMT_OUTSTANDING</stp>
        <stp>[Andrea New RollM.xlsm]Ita!R60C26</stp>
        <tr r="Z60" s="7"/>
      </tp>
      <tp>
        <v>20070594000</v>
        <stp/>
        <stp>##V3_BDPV12</stp>
        <stp>IT0004898034 Corp</stp>
        <stp>AMT_OUTSTANDING</stp>
        <stp>[Andrea New RollM.xlsm]Ita!R44C26</stp>
        <tr r="Z44" s="7"/>
      </tp>
      <tp>
        <v>17657877000</v>
        <stp/>
        <stp>##V3_BDPV12</stp>
        <stp>IT0005028003 Corp</stp>
        <stp>AMT_OUTSTANDING</stp>
        <stp>[Andrea New RollM.xlsm]Ita!R37C26</stp>
        <tr r="Z37" s="7"/>
      </tp>
      <tp>
        <v>105.75</v>
        <stp/>
        <stp>##V3_BDHV12</stp>
        <stp>IE00BV8C9418@CBBT Corp</stp>
        <stp>OPEN</stp>
        <stp>04/10/2016 4:15:00 PM</stp>
        <stp>04/10/2016 5:15:00 PM</stp>
        <stp>[Andrea New RollM.xlsm]DB!R247C15</stp>
        <stp>BarSz=60</stp>
        <stp>BarTp=T</stp>
        <stp>RecurDaily=True</stp>
        <stp>TZ=London</stp>
        <stp>DTS=H</stp>
        <tr r="O247" s="23"/>
      </tp>
      <tp>
        <v>21378388000</v>
        <stp/>
        <stp>##V3_BDPV12</stp>
        <stp>IT0004848831 Corp</stp>
        <stp>AMT_OUTSTANDING</stp>
        <stp>[Andrea New RollM.xlsm]Ita!R42C26</stp>
        <tr r="Z42" s="7"/>
      </tp>
      <tp>
        <v>4.0519999999999996</v>
        <stp/>
        <stp>##V3_BDPV12</stp>
        <stp>PTOTE5OE0007@CBBT Corp</stp>
        <stp>YAS_BOND_YLD</stp>
        <stp>[Andrea New RollM.xlsm]DB!R235C17</stp>
        <stp>SETTLE_DT=20161011</stp>
        <stp>YAS_BOND_PX=100.64</stp>
        <tr r="Q235" s="23"/>
      </tp>
      <tp>
        <v>0.79149999999999998</v>
        <stp/>
        <stp>##V3_BDPV12</stp>
        <stp>EUSWE25 CMPN Curncy</stp>
        <stp>ask</stp>
        <stp>[Andrea New RollM.xlsm]Crv!R38C5</stp>
        <tr r="E38" s="1"/>
      </tp>
      <tp>
        <v>0.81399999999999995</v>
        <stp/>
        <stp>##V3_BDPV12</stp>
        <stp>EUSWE30 CMPN Curncy</stp>
        <stp>ask</stp>
        <stp>[Andrea New RollM.xlsm]Crv!R39C5</stp>
        <tr r="E39" s="1"/>
      </tp>
      <tp>
        <v>106.512</v>
        <stp/>
        <stp>##V3_BDHV12</stp>
        <stp>IE00B8DLLB38@CBBT Corp</stp>
        <stp>OPEN</stp>
        <stp>09/09/2016 4:15:00 PM</stp>
        <stp>09/09/2016 5:15:00 PM</stp>
        <stp>[Andrea New RollM.xlsm]DB!R237C16</stp>
        <stp>BarSz=60</stp>
        <stp>BarTp=T</stp>
        <stp>RecurDaily=True</stp>
        <stp>TZ=London</stp>
        <stp>DTS=H</stp>
        <tr r="P237" s="23"/>
      </tp>
    </main>
    <main first="marketviewexcelplugin.mkvxp">
      <tp>
        <v>-8.8725999999999999E-2</v>
        <stp/>
        <stp>0</stp>
        <stp>EUR.PRICING_MAIN.PXE.IT0005106049</stp>
        <stp>CurrentClosingYieldMid</stp>
        <tr r="J21" s="23"/>
      </tp>
      <tp>
        <v>0.17188500000000001</v>
        <stp/>
        <stp>0</stp>
        <stp>EUR.PRICING_MAIN.PXE.FR0012938116</stp>
        <stp>CurrentClosingYieldMid</stp>
        <tr r="J85" s="23"/>
      </tp>
      <tp>
        <v>1.387534</v>
        <stp/>
        <stp>0</stp>
        <stp>EUR.PRICING_MAIN.PXE.IT0001086567</stp>
        <stp>CurrentClosingYieldMid</stp>
        <tr r="J91" s="23"/>
      </tp>
      <tp>
        <v>-0.57943</v>
        <stp/>
        <stp>0</stp>
        <stp>EUR.PRICING_MAIN.PXE.FR0000189151</stp>
        <stp>CurrentClosingYieldMid</stp>
        <tr r="J32" s="23"/>
      </tp>
      <tp>
        <v>-0.58036799999999999</v>
        <stp/>
        <stp>0</stp>
        <stp>EUR.PRICING_MAIN.PXE.FR0011708080</stp>
        <stp>CurrentClosingYieldMid</stp>
        <tr r="J35" s="23"/>
      </tp>
      <tp>
        <v>-0.42857800000000001</v>
        <stp/>
        <stp>0</stp>
        <stp>EUR.PRICING_MAIN.PXE.FR0012968337</stp>
        <stp>CurrentClosingYieldMid</stp>
        <tr r="J51" s="23"/>
      </tp>
      <tp>
        <v>0.85360100000000005</v>
        <stp/>
        <stp>0</stp>
        <stp>EUR.PRICING_MAIN.PXE.IT0000366655</stp>
        <stp>CurrentClosingYieldMid</stp>
        <tr r="J76" s="23"/>
      </tp>
      <tp>
        <v>0.42918499999999998</v>
        <stp/>
        <stp>0</stp>
        <stp>EUR.PRICING_MAIN.PXE.IT0005216491</stp>
        <stp>CurrentClosingYieldMid</stp>
        <tr r="J61" s="23"/>
      </tp>
      <tp>
        <v>0.33446700000000001</v>
        <stp/>
        <stp>0</stp>
        <stp>EUR.PRICING_MAIN.PXE.IT0004966401</stp>
        <stp>CurrentClosingYieldMid</stp>
        <tr r="J54" s="23"/>
      </tp>
      <tp>
        <v>2.2705609999999998</v>
        <stp/>
        <stp>0</stp>
        <stp>EUR.PRICING_MAIN.PXE.IT0004286966</stp>
        <stp>CurrentClosingYieldMid</stp>
        <tr r="J111" s="23"/>
      </tp>
      <tp>
        <v>0.110952</v>
        <stp/>
        <stp>0</stp>
        <stp>EUR.PRICING_MAIN.PXE.IT0004536949</stp>
        <stp>CurrentClosingYieldMid</stp>
        <tr r="J43" s="23"/>
      </tp>
      <tp>
        <v>0.547427</v>
        <stp/>
        <stp>0</stp>
        <stp>EUR.PRICING_MAIN.PXE.IT0005086886</stp>
        <stp>CurrentClosingYieldMid</stp>
        <tr r="J64" s="23"/>
      </tp>
      <tp>
        <v>0.78066199999999997</v>
        <stp/>
        <stp>0</stp>
        <stp>EUR.PRICING_MAIN.PXE.IT0004356843</stp>
        <stp>CurrentClosingYieldMid</stp>
        <tr r="J73" s="23"/>
      </tp>
      <tp>
        <v>1.8874230000000001</v>
        <stp/>
        <stp>0</stp>
        <stp>EUR.PRICING_MAIN.PXE.IT0003256820</stp>
        <stp>CurrentClosingYieldMid</stp>
        <tr r="J104" s="23"/>
      </tp>
    </main>
    <main first="bloomberg.rtd">
      <tp>
        <v>0.2</v>
        <stp/>
        <stp>##V3_BDPV12</stp>
        <stp>IE00B6X95T99@CBBT Corp</stp>
        <stp>YAS_BOND_YLD</stp>
        <stp>[Andrea New RollM.xlsm]DB!R245C19</stp>
        <stp>SETTLE_DT=20160909</stp>
        <stp>YAS_BOND_PX=123.863</stp>
        <tr r="S245" s="23"/>
      </tp>
      <tp>
        <v>115.15</v>
        <stp/>
        <stp>##V3_BDPV12</stp>
        <stp>IT0004634132 Corp</stp>
        <stp>BID</stp>
        <stp>[Andrea New RollM.xlsm]CCT!R34C7</stp>
        <tr r="G34" s="27"/>
      </tp>
      <tp>
        <v>102.22499999999999</v>
        <stp/>
        <stp>##V3_BDPV12</stp>
        <stp>IT0005056541 Corp</stp>
        <stp>BID</stp>
        <stp>[Andrea New RollM.xlsm]CCT!R11C7</stp>
        <tr r="G11" s="27"/>
      </tp>
      <tp>
        <v>123.685</v>
        <stp/>
        <stp>##V3_BDPV12</stp>
        <stp>IT0004898034 Corp</stp>
        <stp>BID</stp>
        <stp>[Andrea New RollM.xlsm]CCT!R38C7</stp>
        <tr r="G38" s="27"/>
      </tp>
      <tp>
        <v>55</v>
        <stp/>
        <stp>##V3_BDPV12</stp>
        <stp>IT0005104473 Corp</stp>
        <stp>FLT_SPREAD</stp>
        <stp>[Andrea New RollM.xlsm]CCT!R12C5</stp>
        <tr r="E12" s="27"/>
      </tp>
      <tp>
        <v>1.6219999999999999</v>
        <stp/>
        <stp>##V3_BDPV12</stp>
        <stp>PTOTECOE0029@CBBT Corp</stp>
        <stp>YAS_BOND_YLD</stp>
        <stp>[Andrea New RollM.xlsm]DB!R226C17</stp>
        <stp>SETTLE_DT=20161011</stp>
        <stp>YAS_BOND_PX=111.245</stp>
        <tr r="Q226" s="23"/>
      </tp>
      <tp>
        <v>-0.622</v>
        <stp/>
        <stp>##V3_BDPV12</stp>
        <stp>FR0011394345@CBBT Corp</stp>
        <stp>YAS_BOND_YLD</stp>
        <stp>[Andrea New RollM.xlsm]DB!R22C17</stp>
        <stp>SETTLE_DT=20161011</stp>
        <stp>YAS_BOND_PX=102.649</stp>
        <tr r="Q22" s="23"/>
      </tp>
      <tp>
        <v>1.591</v>
        <stp/>
        <stp>##V3_BDPV12</stp>
        <stp>IT0004889033@CBBT Corp</stp>
        <stp>YAS_BOND_YLD</stp>
        <stp>[Andrea New RollM.xlsm]DB!R96C17</stp>
        <stp>SETTLE_DT=20161011</stp>
        <stp>YAS_BOND_PX=134.173</stp>
        <tr r="Q96" s="23"/>
      </tp>
      <tp>
        <v>-0.61199999999999999</v>
        <stp/>
        <stp>##V3_BDPV12</stp>
        <stp>FR0011523257@CBBT Corp</stp>
        <stp>YAS_BOND_YLD</stp>
        <stp>[Andrea New RollM.xlsm]DB!R27C17</stp>
        <stp>SETTLE_DT=20161011</stp>
        <stp>YAS_BOND_PX=103.455</stp>
        <tr r="Q27" s="23"/>
      </tp>
      <tp>
        <v>-0.15</v>
        <stp/>
        <stp>##V3_BDPV12</stp>
        <stp>IT0005058463@CBBT Corp</stp>
        <stp>YAS_BOND_YLD</stp>
        <stp>[Andrea New RollM.xlsm]DB!R17C17</stp>
        <stp>SETTLE_DT=20161011</stp>
        <stp>YAS_BOND_PX=101.137</stp>
        <tr r="Q17" s="23"/>
      </tp>
      <tp>
        <v>-1.6E-2</v>
        <stp/>
        <stp>##V3_BDPV12</stp>
        <stp>IT0004957574@CBBT Corp</stp>
        <stp>YAS_BOND_YLD</stp>
        <stp>[Andrea New RollM.xlsm]DB!R28C19</stp>
        <stp>SETTLE_DT=20160909</stp>
        <stp>YAS_BOND_PX=107.832</stp>
        <tr r="S28" s="23"/>
      </tp>
      <tp>
        <v>-0.63900000000000001</v>
        <stp/>
        <stp>##V3_BDPV12</stp>
        <stp>FR0010517417@CBBT Corp</stp>
        <stp>YAS_BOND_YLD</stp>
        <stp>[Andrea New RollM.xlsm]DB!R15C18</stp>
        <stp>SETTLE_DT=20161004</stp>
        <stp>YAS_BOND_PX=105.204</stp>
        <tr r="R15" s="23"/>
      </tp>
      <tp>
        <v>2.669</v>
        <stp/>
        <stp>##V3_BDPV12</stp>
        <stp>PTOTEAOE0021@CBBT Corp</stp>
        <stp>YAS_BOND_YLD</stp>
        <stp>[Andrea New RollM.xlsm]DB!R229C19</stp>
        <stp>SETTLE_DT=20160909</stp>
        <stp>YAS_BOND_PX=114.615</stp>
        <tr r="S229" s="23"/>
      </tp>
      <tp>
        <v>-0.17699999999999999</v>
        <stp/>
        <stp>##V3_BDPV12</stp>
        <stp>FR0010466938@CBBT Corp</stp>
        <stp>YAS_BOND_YLD</stp>
        <stp>[Andrea New RollM.xlsm]DB!R75C17</stp>
        <stp>SETTLE_DT=20161011</stp>
        <stp>YAS_BOND_PX=131.384</stp>
        <tr r="Q75" s="23"/>
      </tp>
      <tp>
        <v>0.10299999999999999</v>
        <stp/>
        <stp>##V3_BDPV12</stp>
        <stp>FR0012517027@CBBT Corp</stp>
        <stp>YAS_BOND_YLD</stp>
        <stp>[Andrea New RollM.xlsm]DB!R83C17</stp>
        <stp>SETTLE_DT=20161011</stp>
        <stp>YAS_BOND_PX=103.406</stp>
        <tr r="Q83" s="23"/>
      </tp>
      <tp>
        <v>1.2050000000000001</v>
        <stp/>
        <stp>##V3_BDPV12</stp>
        <stp>IT0004644735@CBBT Corp</stp>
        <stp>YAS_BOND_YLD</stp>
        <stp>[Andrea New RollM.xlsm]DB!R87C19</stp>
        <stp>SETTLE_DT=20160909</stp>
        <stp>YAS_BOND_PX=129.462</stp>
        <tr r="S87" s="23"/>
      </tp>
      <tp>
        <v>-0.157</v>
        <stp/>
        <stp>##V3_BDPV12</stp>
        <stp>IT0005058463@CBBT Corp</stp>
        <stp>YAS_BOND_YLD</stp>
        <stp>[Andrea New RollM.xlsm]DB!R17C18</stp>
        <stp>SETTLE_DT=20161004</stp>
        <stp>YAS_BOND_PX=101.163</stp>
        <tr r="R17" s="23"/>
      </tp>
      <tp>
        <v>0.79700000000000004</v>
        <stp/>
        <stp>##V3_BDPV12</stp>
        <stp>IT0000366655@CBBT Corp</stp>
        <stp>YAS_BOND_YLD</stp>
        <stp>[Andrea New RollM.xlsm]DB!R76C19</stp>
        <stp>SETTLE_DT=20160909</stp>
        <stp>YAS_BOND_PX=156.785</stp>
        <tr r="S76" s="23"/>
      </tp>
      <tp>
        <v>-0.48199999999999998</v>
        <stp/>
        <stp>##V3_BDPV12</stp>
        <stp>FR0012557957@CBBT Corp</stp>
        <stp>YAS_BOND_YLD</stp>
        <stp>[Andrea New RollM.xlsm]DB!R46C19</stp>
        <stp>SETTLE_DT=20160909</stp>
        <stp>YAS_BOND_PX=101.806</stp>
        <tr r="S46" s="23"/>
      </tp>
      <tp>
        <v>0.77400000000000002</v>
        <stp/>
        <stp>##V3_BDPV12</stp>
        <stp>IT0004898034@CBBT Corp</stp>
        <stp>YAS_BOND_YLD</stp>
        <stp>[Andrea New RollM.xlsm]DB!R71C17</stp>
        <stp>SETTLE_DT=20161011</stp>
        <stp>YAS_BOND_PX=123.783</stp>
        <tr r="Q71" s="23"/>
      </tp>
    </main>
    <main first="marketviewexcelplugin.mkvxp">
      <tp>
        <v>-0.43099799999999999</v>
        <stp/>
        <stp>0</stp>
        <stp>EUR.PRICING_MAIN.PXE.IT0004987191</stp>
        <stp>CurrentClosingYieldMid</stp>
        <tr r="J8" s="23"/>
      </tp>
      <tp>
        <v>1.305291</v>
        <stp/>
        <stp>0</stp>
        <stp>EUR.PRICING_MAIN.PXE.IT0005127086</stp>
        <stp>CurrentClosingYieldMid</stp>
        <tr r="J86" s="23"/>
      </tp>
      <tp>
        <v>-0.20480899999999999</v>
        <stp/>
        <stp>0</stp>
        <stp>EUR.PRICING_MAIN.PXE.IT0004867070</stp>
        <stp>CurrentClosingYieldMid</stp>
        <tr r="J16" s="23"/>
      </tp>
      <tp>
        <v>3.0119E-2</v>
        <stp/>
        <stp>0</stp>
        <stp>EUR.PRICING_MAIN.PXE.IT0005177271</stp>
        <stp>CurrentClosingYieldMid</stp>
        <tr r="J33" s="23"/>
      </tp>
      <tp>
        <v>-0.34803699999999999</v>
        <stp/>
        <stp>0</stp>
        <stp>EUR.PRICING_MAIN.PXE.FR0011059088</stp>
        <stp>CurrentClosingYieldMid</stp>
        <tr r="J60" s="23"/>
      </tp>
      <tp>
        <v>2.9285019999999999</v>
        <stp/>
        <stp>0</stp>
        <stp>EUR.PRICING_MAIN.PXE.IT0005217390</stp>
        <stp>CurrentClosingYieldMid</stp>
        <tr r="J118" s="23"/>
      </tp>
      <tp>
        <v>-5.3516000000000001E-2</v>
        <stp/>
        <stp>0</stp>
        <stp>EUR.PRICING_MAIN.PXE.IT0004957574</stp>
        <stp>CurrentClosingYieldMid</stp>
        <tr r="J28" s="23"/>
      </tp>
      <tp>
        <v>-0.45163199999999998</v>
        <stp/>
        <stp>0</stp>
        <stp>EUR.PRICING_MAIN.PXE.FR0010949651</stp>
        <stp>CurrentClosingYieldMid</stp>
        <tr r="J48" s="23"/>
      </tp>
      <tp>
        <v>-7.5075000000000003E-2</v>
        <stp/>
        <stp>0</stp>
        <stp>EUR.PRICING_MAIN.PXE.FR0011619436</stp>
        <stp>CurrentClosingYieldMid</stp>
        <tr r="J78" s="23"/>
      </tp>
      <tp>
        <v>0.113619</v>
        <stp/>
        <stp>0</stp>
        <stp>EUR.PRICING_MAIN.PXE.IT0005107708</stp>
        <stp>CurrentClosingYieldMid</stp>
        <tr r="J45" s="23"/>
      </tp>
      <tp>
        <v>5.8651000000000002E-2</v>
        <stp/>
        <stp>0</stp>
        <stp>EUR.PRICING_MAIN.PXE.IT0005217929</stp>
        <stp>CurrentClosingYieldMid</stp>
        <tr r="J38" s="23"/>
      </tp>
      <tp>
        <v>2.0954769999999998</v>
        <stp/>
        <stp>0</stp>
        <stp>EUR.PRICING_MAIN.PXE.IT0005177909</stp>
        <stp>CurrentClosingYieldMid</stp>
        <tr r="J108" s="23"/>
      </tp>
      <tp>
        <v>-6.4472000000000002E-2</v>
        <stp/>
        <stp>0</stp>
        <stp>EUR.PRICING_MAIN.PXE.IT0004907843</stp>
        <stp>CurrentClosingYieldMid</stp>
        <tr r="J23" s="23"/>
      </tp>
    </main>
    <main first="marketviewexcelplugin.mkvxp">
      <tp>
        <v>-0.43062600000000001</v>
        <stp/>
        <stp>0</stp>
        <stp>EUR.PRICING_MAIN.PXE.IE0034074488</stp>
        <stp>CurrentClosingYieldMid</stp>
        <tr r="J241" s="23"/>
      </tp>
    </main>
    <main first="bloomberg.rtd">
      <tp>
        <v>101.33</v>
        <stp/>
        <stp>##V3_BDPV12</stp>
        <stp>IT0005137614 Corp</stp>
        <stp>BID</stp>
        <stp>[Andrea New RollM.xlsm]CCT!R13C7</stp>
        <tr r="G13" s="27"/>
      </tp>
      <tp>
        <v>80</v>
        <stp/>
        <stp>##V3_BDPV12</stp>
        <stp>IT0005056541 Corp</stp>
        <stp>FLT_SPREAD</stp>
        <stp>[Andrea New RollM.xlsm]CCT!R11C5</stp>
        <tr r="E11" s="27"/>
      </tp>
      <tp>
        <v>-0.61599999999999999</v>
        <stp/>
        <stp>##V3_BDPV12</stp>
        <stp>FR0010415331@CBBT Corp</stp>
        <stp>YAS_BOND_YLD</stp>
        <stp>[Andrea New RollM.xlsm]DB!R10C18</stp>
        <stp>SETTLE_DT=20161004</stp>
        <stp>YAS_BOND_PX=102.443</stp>
        <tr r="R10" s="23"/>
      </tp>
      <tp>
        <v>-0.45</v>
        <stp/>
        <stp>##V3_BDPV12</stp>
        <stp>FR0010949651@CBBT Corp</stp>
        <stp>YAS_BOND_YLD</stp>
        <stp>[Andrea New RollM.xlsm]DB!R48C17</stp>
        <stp>SETTLE_DT=20161011</stp>
        <stp>YAS_BOND_PX=112.051</stp>
        <tr r="Q48" s="23"/>
      </tp>
      <tp>
        <v>0.10299999999999999</v>
        <stp/>
        <stp>##V3_BDPV12</stp>
        <stp>IT0004536949@CBBT Corp</stp>
        <stp>YAS_BOND_YLD</stp>
        <stp>[Andrea New RollM.xlsm]DB!R43C19</stp>
        <stp>SETTLE_DT=20160909</stp>
        <stp>YAS_BOND_PX=114.393</stp>
        <tr r="S43" s="23"/>
      </tp>
      <tp>
        <v>-0.64100000000000001</v>
        <stp/>
        <stp>##V3_BDPV12</stp>
        <stp>FR0011394345@CBBT Corp</stp>
        <stp>YAS_BOND_YLD</stp>
        <stp>[Andrea New RollM.xlsm]DB!R22C18</stp>
        <stp>SETTLE_DT=20161004</stp>
        <stp>YAS_BOND_PX=102.712</stp>
        <tr r="R22" s="23"/>
      </tp>
      <tp>
        <v>1.7999999999999999E-2</v>
        <stp/>
        <stp>##V3_BDPV12</stp>
        <stp>IT0005177271@CBBT Corp</stp>
        <stp>YAS_BOND_YLD</stp>
        <stp>[Andrea New RollM.xlsm]DB!R33C19</stp>
        <stp>SETTLE_DT=20160909</stp>
        <stp>YAS_BOND_PX=100.213</stp>
        <tr r="S33" s="23"/>
      </tp>
      <tp>
        <v>-0.153</v>
        <stp/>
        <stp>##V3_BDPV12</stp>
        <stp>IT0004820426@CBBT Corp</stp>
        <stp>YAS_BOND_YLD</stp>
        <stp>[Andrea New RollM.xlsm]DB!R13C19</stp>
        <stp>SETTLE_DT=20160909</stp>
        <stp>YAS_BOND_PX=103.567</stp>
        <tr r="S13" s="23"/>
      </tp>
      <tp>
        <v>0.18</v>
        <stp/>
        <stp>##V3_BDPV12</stp>
        <stp>FR0010916924@CBBT Corp</stp>
        <stp>YAS_BOND_YLD</stp>
        <stp>[Andrea New RollM.xlsm]DB!R88C19</stp>
        <stp>SETTLE_DT=20160909</stp>
        <stp>YAS_BOND_PX=131.652</stp>
        <tr r="S88" s="23"/>
      </tp>
      <tp>
        <v>-0.34799999999999998</v>
        <stp/>
        <stp>##V3_BDPV12</stp>
        <stp>EONIA  Index</stp>
        <stp>px_last</stp>
        <stp>[Andrea New RollM.xlsm]Crv!R8C5</stp>
        <tr r="E8" s="1"/>
      </tp>
      <tp>
        <v>-0.34799999999999998</v>
        <stp/>
        <stp>##V3_BDPV12</stp>
        <stp>EONIA  Index</stp>
        <stp>px_last</stp>
        <stp>[Andrea New RollM.xlsm]Crv!R8C4</stp>
        <tr r="D8" s="1"/>
      </tp>
      <tp>
        <v>-0.39800000000000002</v>
        <stp/>
        <stp>##V3_BDPV12</stp>
        <stp>FR0010192997@CBBT Corp</stp>
        <stp>YAS_BOND_YLD</stp>
        <stp>[Andrea New RollM.xlsm]DB!R53C17</stp>
        <stp>SETTLE_DT=20161011</stp>
        <stp>YAS_BOND_PX=119.029</stp>
        <tr r="Q53" s="23"/>
      </tp>
    </main>
    <main first="marketviewexcelplugin.mkvxp">
      <tp t="s">
        <v>IRISH</v>
        <stp/>
        <stp>0</stp>
        <stp>EUR.CM_INSTRUMENT.PXE.IE00BV8C9418</stp>
        <stp>Ticker</stp>
        <tr r="B247" s="23"/>
      </tp>
      <tp t="s">
        <v>IRISH</v>
        <stp/>
        <stp>0</stp>
        <stp>EUR.CM_INSTRUMENT.PXE.IE00BV8C9186</stp>
        <stp>Ticker</stp>
        <tr r="B249" s="23"/>
      </tp>
    </main>
    <main first="bloomberg.rtd">
      <tp>
        <v>116.455</v>
        <stp/>
        <stp>##V3_BDHV12</stp>
        <stp>IE00BV8C9186@CBBT Corp</stp>
        <stp>OPEN</stp>
        <stp>09/09/2016 4:15:00 PM</stp>
        <stp>09/09/2016 5:15:00 PM</stp>
        <stp>[Andrea New RollM.xlsm]DB!R249C16</stp>
        <stp>BarSz=60</stp>
        <stp>BarTp=T</stp>
        <stp>RecurDaily=True</stp>
        <stp>TZ=London</stp>
        <stp>DTS=H</stp>
        <tr r="P249" s="23"/>
      </tp>
    </main>
    <main first="marketviewexcelplugin.mkvxp">
      <tp t="s">
        <v>IRISH</v>
        <stp/>
        <stp>0</stp>
        <stp>EUR.CM_INSTRUMENT.PXE.IE00B6089D15</stp>
        <stp>Ticker</stp>
        <tr r="B240" s="23"/>
      </tp>
    </main>
    <main first="bloomberg.rtd">
      <tp>
        <v>0.36349999999999999</v>
        <stp/>
        <stp>##V3_BDPV12</stp>
        <stp>EUSWE12 CMPN Curncy</stp>
        <stp>ask</stp>
        <stp>[Andrea New RollM.xlsm]Crv!R35C5</stp>
        <tr r="E35" s="1"/>
      </tp>
    </main>
    <main first="marketviewexcelplugin.mkvxp">
      <tp t="s">
        <v>IRISH</v>
        <stp/>
        <stp>0</stp>
        <stp>EUR.CM_INSTRUMENT.PXE.IE00B60Z6194</stp>
        <stp>Ticker</stp>
        <tr r="B242" s="23"/>
      </tp>
    </main>
    <main first="bloomberg.rtd">
      <tp>
        <v>110.253</v>
        <stp/>
        <stp>##V3_BDHV12</stp>
        <stp>IE00B28HXX02@CBBT Corp</stp>
        <stp>OPEN</stp>
        <stp>09/09/2016 4:15:00 PM</stp>
        <stp>09/09/2016 5:15:00 PM</stp>
        <stp>[Andrea New RollM.xlsm]DB!R238C16</stp>
        <stp>BarSz=60</stp>
        <stp>BarTp=T</stp>
        <stp>RecurDaily=True</stp>
        <stp>TZ=London</stp>
        <stp>DTS=H</stp>
        <tr r="P238" s="23"/>
      </tp>
    </main>
    <main first="marketviewexcelplugin.mkvxp">
      <tp>
        <v>0.45989000000000002</v>
        <stp/>
        <stp>0</stp>
        <stp>EUR.PRICING_MAIN.PXE.IT0005028003</stp>
        <stp>CurrentClosingYieldMid</stp>
        <tr r="J62" s="23"/>
      </tp>
      <tp>
        <v>1.6647780000000001</v>
        <stp/>
        <stp>0</stp>
        <stp>EUR.PRICING_MAIN.PXE.IT0001278511</stp>
        <stp>CurrentClosingYieldMid</stp>
        <tr r="J97" s="23"/>
      </tp>
      <tp>
        <v>0.77132999999999996</v>
        <stp/>
        <stp>0</stp>
        <stp>EUR.PRICING_MAIN.PXE.IT0004898034</stp>
        <stp>CurrentClosingYieldMid</stp>
        <tr r="J71" s="23"/>
      </tp>
      <tp>
        <v>-0.54331799999999997</v>
        <stp/>
        <stp>0</stp>
        <stp>EUR.PRICING_MAIN.PXE.FR0010776161</stp>
        <stp>CurrentClosingYieldMid</stp>
        <tr r="J39" s="23"/>
      </tp>
      <tp>
        <v>-0.19429099999999999</v>
        <stp/>
        <stp>0</stp>
        <stp>EUR.PRICING_MAIN.PXE.FR0011486067</stp>
        <stp>CurrentClosingYieldMid</stp>
        <tr r="J72" s="23"/>
      </tp>
      <tp>
        <v>-0.15434</v>
        <stp/>
        <stp>0</stp>
        <stp>EUR.PRICING_MAIN.PXE.IT0005058463</stp>
        <stp>CurrentClosingYieldMid</stp>
        <tr r="J17" s="23"/>
      </tp>
      <tp>
        <v>0.62981200000000004</v>
        <stp/>
        <stp>0</stp>
        <stp>EUR.PRICING_MAIN.PXE.FR0000187635</stp>
        <stp>CurrentClosingYieldMid</stp>
        <tr r="J103" s="23"/>
      </tp>
      <tp>
        <v>0.67272100000000001</v>
        <stp/>
        <stp>0</stp>
        <stp>EUR.PRICING_MAIN.PXE.IT0004848831</stp>
        <stp>CurrentClosingYieldMid</stp>
        <tr r="J69" s="23"/>
      </tp>
      <tp>
        <v>-0.31608700000000001</v>
        <stp/>
        <stp>0</stp>
        <stp>EUR.PRICING_MAIN.PXE.FR0011196856</stp>
        <stp>CurrentClosingYieldMid</stp>
        <tr r="J65" s="23"/>
      </tp>
      <tp>
        <v>-0.18038000000000001</v>
        <stp/>
        <stp>0</stp>
        <stp>EUR.PRICING_MAIN.PXE.FR0010466938</stp>
        <stp>CurrentClosingYieldMid</stp>
        <tr r="J75" s="23"/>
      </tp>
      <tp>
        <v>0.19581599999999999</v>
        <stp/>
        <stp>0</stp>
        <stp>EUR.PRICING_MAIN.PXE.FR0010916924</stp>
        <stp>CurrentClosingYieldMid</stp>
        <tr r="J88" s="23"/>
      </tp>
    </main>
    <main first="marketviewexcelplugin.mkvxp">
      <tp>
        <v>-0.51997499999999997</v>
        <stp/>
        <stp>0</stp>
        <stp>EUR.PRICING_MAIN.PXE.DE0001135457</stp>
        <stp>CurrentClosingYieldMid</stp>
        <tr r="J154" s="23"/>
      </tp>
      <tp>
        <v>-0.55296999999999996</v>
        <stp/>
        <stp>0</stp>
        <stp>EUR.PRICING_MAIN.PXE.DE0001135440</stp>
        <stp>CurrentClosingYieldMid</stp>
        <tr r="J153" s="23"/>
      </tp>
      <tp>
        <v>-0.449932</v>
        <stp/>
        <stp>0</stp>
        <stp>EUR.PRICING_MAIN.PXE.DE0001135473</stp>
        <stp>CurrentClosingYieldMid</stp>
        <tr r="J157" s="23"/>
      </tp>
      <tp>
        <v>-0.47478599999999999</v>
        <stp/>
        <stp>0</stp>
        <stp>EUR.PRICING_MAIN.PXE.DE0001135465</stp>
        <stp>CurrentClosingYieldMid</stp>
        <tr r="J156" s="23"/>
      </tp>
      <tp>
        <v>-0.63090400000000002</v>
        <stp/>
        <stp>0</stp>
        <stp>EUR.PRICING_MAIN.PXE.DE0001135416</stp>
        <stp>CurrentClosingYieldMid</stp>
        <tr r="J149" s="23"/>
      </tp>
      <tp>
        <v>-0.61929999999999996</v>
        <stp/>
        <stp>0</stp>
        <stp>EUR.PRICING_MAIN.PXE.DE0001135408</stp>
        <stp>CurrentClosingYieldMid</stp>
        <tr r="J148" s="23"/>
      </tp>
      <tp>
        <v>0.59435700000000002</v>
        <stp/>
        <stp>0</stp>
        <stp>EUR.PRICING_MAIN.PXE.DE0001135432</stp>
        <stp>CurrentClosingYieldMid</stp>
        <tr r="J179" s="23"/>
      </tp>
      <tp>
        <v>-0.58492999999999995</v>
        <stp/>
        <stp>0</stp>
        <stp>EUR.PRICING_MAIN.PXE.DE0001135424</stp>
        <stp>CurrentClosingYieldMid</stp>
        <tr r="J151" s="23"/>
      </tp>
      <tp>
        <v>-0.43522</v>
        <stp/>
        <stp>0</stp>
        <stp>EUR.PRICING_MAIN.PXE.DE0001135499</stp>
        <stp>CurrentClosingYieldMid</stp>
        <tr r="J158" s="23"/>
      </tp>
      <tp>
        <v>0.62647900000000001</v>
        <stp/>
        <stp>0</stp>
        <stp>EUR.PRICING_MAIN.PXE.DE0001135481</stp>
        <stp>CurrentClosingYieldMid</stp>
        <tr r="J180" s="23"/>
      </tp>
      <tp>
        <v>7.3829000000000006E-2</v>
        <stp/>
        <stp>0</stp>
        <stp>EUR.PRICING_MAIN.PXE.DE0001135143</stp>
        <stp>CurrentClosingYieldMid</stp>
        <tr r="J173" s="23"/>
      </tp>
      <tp>
        <v>0.176872</v>
        <stp/>
        <stp>0</stp>
        <stp>EUR.PRICING_MAIN.PXE.DE0001135176</stp>
        <stp>CurrentClosingYieldMid</stp>
        <tr r="J174" s="23"/>
      </tp>
      <tp>
        <v>-2.2221999999999999E-2</v>
        <stp/>
        <stp>0</stp>
        <stp>EUR.PRICING_MAIN.PXE.DE0001135044</stp>
        <stp>CurrentClosingYieldMid</stp>
        <tr r="J170" s="23"/>
      </tp>
      <tp>
        <v>5.6750000000000004E-3</v>
        <stp/>
        <stp>0</stp>
        <stp>EUR.PRICING_MAIN.PXE.DE0001135069</stp>
        <stp>CurrentClosingYieldMid</stp>
        <tr r="J171" s="23"/>
      </tp>
      <tp>
        <v>3.8962999999999998E-2</v>
        <stp/>
        <stp>0</stp>
        <stp>EUR.PRICING_MAIN.PXE.DE0001135085</stp>
        <stp>CurrentClosingYieldMid</stp>
        <tr r="J172" s="23"/>
      </tp>
      <tp>
        <v>-0.683199</v>
        <stp/>
        <stp>0</stp>
        <stp>EUR.PRICING_MAIN.PXE.DE0001135358</stp>
        <stp>CurrentClosingYieldMid</stp>
        <tr r="J138" s="23"/>
      </tp>
      <tp>
        <v>-0.71870199999999995</v>
        <stp/>
        <stp>0</stp>
        <stp>EUR.PRICING_MAIN.PXE.DE0001135341</stp>
        <stp>CurrentClosingYieldMid</stp>
        <tr r="J133" s="23"/>
      </tp>
      <tp>
        <v>-0.678593</v>
        <stp/>
        <stp>0</stp>
        <stp>EUR.PRICING_MAIN.PXE.DE0001135374</stp>
        <stp>CurrentClosingYieldMid</stp>
        <tr r="J141" s="23"/>
      </tp>
      <tp>
        <v>0.53076199999999996</v>
        <stp/>
        <stp>0</stp>
        <stp>EUR.PRICING_MAIN.PXE.DE0001135366</stp>
        <stp>CurrentClosingYieldMid</stp>
        <tr r="J178" s="23"/>
      </tp>
      <tp>
        <v>-0.69412099999999999</v>
        <stp/>
        <stp>0</stp>
        <stp>EUR.PRICING_MAIN.PXE.DE0001135333</stp>
        <stp>CurrentClosingYieldMid</stp>
        <tr r="J129" s="23"/>
      </tp>
      <tp>
        <v>0.50677399999999995</v>
        <stp/>
        <stp>0</stp>
        <stp>EUR.PRICING_MAIN.PXE.DE0001135325</stp>
        <stp>CurrentClosingYieldMid</stp>
        <tr r="J177" s="23"/>
      </tp>
      <tp>
        <v>-0.66355799999999998</v>
        <stp/>
        <stp>0</stp>
        <stp>EUR.PRICING_MAIN.PXE.DE0001135390</stp>
        <stp>CurrentClosingYieldMid</stp>
        <tr r="J146" s="23"/>
      </tp>
      <tp>
        <v>-0.66695400000000005</v>
        <stp/>
        <stp>0</stp>
        <stp>EUR.PRICING_MAIN.PXE.DE0001135382</stp>
        <stp>CurrentClosingYieldMid</stp>
        <tr r="J144" s="23"/>
      </tp>
      <tp>
        <v>0.42732599999999998</v>
        <stp/>
        <stp>0</stp>
        <stp>EUR.PRICING_MAIN.PXE.DE0001135275</stp>
        <stp>CurrentClosingYieldMid</stp>
        <tr r="J176" s="23"/>
      </tp>
      <tp>
        <v>0.309589</v>
        <stp/>
        <stp>0</stp>
        <stp>EUR.PRICING_MAIN.PXE.DE0001135226</stp>
        <stp>CurrentClosingYieldMid</stp>
        <tr r="J175" s="23"/>
      </tp>
    </main>
    <main first="marketviewexcelplugin.mkvxp">
      <tp>
        <v>-3.7504000000000003E-2</v>
        <stp/>
        <stp>0</stp>
        <stp>EUR.PRICING_MAIN.PXE.IE00B4S3JD47</stp>
        <stp>CurrentClosingYieldMid</stp>
        <tr r="J244" s="23"/>
      </tp>
    </main>
    <main first="bloomberg.rtd">
      <tp>
        <v>4.0129999999999999</v>
        <stp/>
        <stp>##V3_BDPV12</stp>
        <stp>PTOTEBOE0020@CBBT Corp</stp>
        <stp>YAS_BOND_YLD</stp>
        <stp>[Andrea New RollM.xlsm]DB!R236C19</stp>
        <stp>SETTLE_DT=20160909</stp>
        <stp>YAS_BOND_PX=101.445</stp>
        <tr r="S236" s="23"/>
      </tp>
      <tp>
        <v>-0.53700000000000003</v>
        <stp/>
        <stp>##V3_BDPV12</stp>
        <stp>FR0010776161@CBBT Corp</stp>
        <stp>YAS_BOND_YLD</stp>
        <stp>[Andrea New RollM.xlsm]DB!R39C17</stp>
        <stp>SETTLE_DT=20161011</stp>
        <stp>YAS_BOND_PX=113.168</stp>
        <tr r="Q39" s="23"/>
      </tp>
      <tp>
        <v>-0.27600000000000002</v>
        <stp/>
        <stp>##V3_BDPV12</stp>
        <stp>IT0004820426@CBBT Corp</stp>
        <stp>YAS_BOND_YLD</stp>
        <stp>[Andrea New RollM.xlsm]DB!R13C18</stp>
        <stp>SETTLE_DT=20161004</stp>
        <stp>YAS_BOND_PX=103.315</stp>
        <tr r="R13" s="23"/>
      </tp>
      <tp>
        <v>1.3759999999999999</v>
        <stp/>
        <stp>##V3_BDPV12</stp>
        <stp>IT0001174611@CBBT Corp</stp>
        <stp>YAS_BOND_YLD</stp>
        <stp>[Andrea New RollM.xlsm]DB!R95C19</stp>
        <stp>SETTLE_DT=20160909</stp>
        <stp>YAS_BOND_PX=152.832</stp>
        <tr r="S95" s="23"/>
      </tp>
      <tp>
        <v>0.36099999999999999</v>
        <stp/>
        <stp>##V3_BDPV12</stp>
        <stp>IT0004009673@CBBT Corp</stp>
        <stp>YAS_BOND_YLD</stp>
        <stp>[Andrea New RollM.xlsm]DB!R58C17</stp>
        <stp>SETTLE_DT=20161011</stp>
        <stp>YAS_BOND_PX=116.135</stp>
        <tr r="Q58" s="23"/>
      </tp>
      <tp>
        <v>2.8580000000000001</v>
        <stp/>
        <stp>##V3_BDPV12</stp>
        <stp>PTOTEAOE0021@CBBT Corp</stp>
        <stp>YAS_BOND_YLD</stp>
        <stp>[Andrea New RollM.xlsm]DB!R229C17</stp>
        <stp>SETTLE_DT=20161011</stp>
        <stp>YAS_BOND_PX=113.167</stp>
        <tr r="Q229" s="23"/>
      </tp>
      <tp>
        <v>1.206</v>
        <stp/>
        <stp>##V3_BDPV12</stp>
        <stp>IT0005090318@CBBT Corp</stp>
        <stp>YAS_BOND_YLD</stp>
        <stp>[Andrea New RollM.xlsm]DB!R84C17</stp>
        <stp>SETTLE_DT=20161011</stp>
        <stp>YAS_BOND_PX=102.428</stp>
        <tr r="Q84" s="23"/>
      </tp>
      <tp>
        <v>6.6000000000000003E-2</v>
        <stp/>
        <stp>##V3_BDPV12</stp>
        <stp>IT0005107708@CBBT Corp</stp>
        <stp>YAS_BOND_YLD</stp>
        <stp>[Andrea New RollM.xlsm]DB!R45C18</stp>
        <stp>SETTLE_DT=20161004</stp>
        <stp>YAS_BOND_PX=102.265</stp>
        <tr r="R45" s="23"/>
      </tp>
      <tp>
        <v>0.98799999999999999</v>
        <stp/>
        <stp>##V3_BDPV12</stp>
        <stp>IT0005001547@CBBT Corp</stp>
        <stp>YAS_BOND_YLD</stp>
        <stp>[Andrea New RollM.xlsm]DB!R79C19</stp>
        <stp>SETTLE_DT=20160909</stp>
        <stp>YAS_BOND_PX=121.158</stp>
        <tr r="S79" s="23"/>
      </tp>
      <tp>
        <v>1.0589999999999999</v>
        <stp/>
        <stp>##V3_BDPV12</stp>
        <stp>IT0004513641@CBBT Corp</stp>
        <stp>YAS_BOND_YLD</stp>
        <stp>[Andrea New RollM.xlsm]DB!R82C19</stp>
        <stp>SETTLE_DT=20160909</stp>
        <stp>YAS_BOND_PX=131.897</stp>
        <tr r="S82" s="23"/>
      </tp>
      <tp>
        <v>1.3820000000000001</v>
        <stp/>
        <stp>##V3_BDPV12</stp>
        <stp>IT0005170839@CBBT Corp</stp>
        <stp>YAS_BOND_YLD</stp>
        <stp>[Andrea New RollM.xlsm]DB!R90C17</stp>
        <stp>SETTLE_DT=20161011</stp>
        <stp>YAS_BOND_PX=102.007</stp>
        <tr r="Q90" s="23"/>
      </tp>
      <tp>
        <v>17183296000.000004</v>
        <stp/>
        <stp>##V3_BDPV12</stp>
        <stp>IT0005175598 Corp</stp>
        <stp>AMT_OUTSTANDING</stp>
        <stp>[Andrea New RollM.xlsm]Ita!R33C26</stp>
        <tr r="Z33" s="7"/>
      </tp>
    </main>
    <main first="bloomberg.rtd">
      <tp>
        <v>23742921000</v>
        <stp/>
        <stp>##V3_BDPV12</stp>
        <stp>IT0003535157 Corp</stp>
        <stp>AMT_OUTSTANDING</stp>
        <stp>[Andrea New RollM.xlsm]Ita!R65C26</stp>
        <tr r="Z65" s="7"/>
      </tp>
      <tp>
        <v>24986368000</v>
        <stp/>
        <stp>##V3_BDPV12</stp>
        <stp>IT0004695075 Corp</stp>
        <stp>AMT_OUTSTANDING</stp>
        <stp>[Andrea New RollM.xlsm]Ita!R35C26</stp>
        <tr r="Z35" s="7"/>
      </tp>
      <tp t="s">
        <v>15/01/2014</v>
        <stp/>
        <stp>##V3_BDPV12</stp>
        <stp>IT0004987191 Corp</stp>
        <stp>ISSUE_DT</stp>
        <stp>[Andrea New RollM.xlsm]Ita!R4C25</stp>
        <tr r="Y4" s="7"/>
      </tp>
      <tp>
        <v>4000000000</v>
        <stp/>
        <stp>##V3_BDPV12</stp>
        <stp>IT0005215246 Corp</stp>
        <stp>AMT_OUTSTANDING</stp>
        <stp>[Andrea New RollM.xlsm]Ita!R46C26</stp>
        <tr r="Z46" s="7"/>
      </tp>
      <tp>
        <v>20383767000</v>
        <stp/>
        <stp>##V3_BDPV12</stp>
        <stp>IT0005045270 Corp</stp>
        <stp>AMT_OUTSTANDING</stp>
        <stp>[Andrea New RollM.xlsm]Ita!R50C26</stp>
        <tr r="Z50" s="7"/>
      </tp>
    </main>
    <main first="bloomberg.rtd">
      <tp>
        <v>17005194000.000004</v>
        <stp/>
        <stp>##V3_BDPV12</stp>
        <stp>IT0005135840 Corp</stp>
        <stp>AMT_OUTSTANDING</stp>
        <stp>[Andrea New RollM.xlsm]Ita!R41C26</stp>
        <tr r="Z41" s="7"/>
      </tp>
    </main>
    <main first="bloomberg.rtd">
      <tp>
        <v>0.27350000000000002</v>
        <stp/>
        <stp>##V3_BDPV12</stp>
        <stp>EUSWE11 CMPN Curncy</stp>
        <stp>ask</stp>
        <stp>[Andrea New RollM.xlsm]Crv!R34C5</stp>
        <tr r="E34" s="1"/>
      </tp>
      <tp>
        <v>0.73599999999999999</v>
        <stp/>
        <stp>##V3_BDPV12</stp>
        <stp>EUSWE20 CMPN Curncy</stp>
        <stp>ask</stp>
        <stp>[Andrea New RollM.xlsm]Crv!R37C5</stp>
        <tr r="E37" s="1"/>
      </tp>
      <tp>
        <v>0.81699999999999995</v>
        <stp/>
        <stp>##V3_BDPV12</stp>
        <stp>EUSWE40 CMPN Curncy</stp>
        <stp>ask</stp>
        <stp>[Andrea New RollM.xlsm]Crv!R41C5</stp>
        <tr r="E41" s="1"/>
      </tp>
    </main>
    <main first="marketviewexcelplugin.mkvxp">
      <tp>
        <v>-4.2873000000000001E-2</v>
        <stp/>
        <stp>0</stp>
        <stp>EUR.PRICING_MAIN.PXE.IT0005139099</stp>
        <stp>CurrentClosingYieldMid</stp>
        <tr r="J25" s="23"/>
      </tp>
      <tp>
        <v>-0.36788900000000002</v>
        <stp/>
        <stp>0</stp>
        <stp>EUR.PRICING_MAIN.PXE.FR0013157096</stp>
        <stp>CurrentClosingYieldMid</stp>
        <tr r="J55" s="23"/>
      </tp>
      <tp>
        <v>0.10262300000000001</v>
        <stp/>
        <stp>0</stp>
        <stp>EUR.PRICING_MAIN.PXE.FR0012517027</stp>
        <stp>CurrentClosingYieldMid</stp>
        <tr r="J83" s="23"/>
      </tp>
      <tp>
        <v>1.5904670000000001</v>
        <stp/>
        <stp>0</stp>
        <stp>EUR.PRICING_MAIN.PXE.IT0004889033</stp>
        <stp>CurrentClosingYieldMid</stp>
        <tr r="J96" s="23"/>
      </tp>
      <tp>
        <v>6.5333000000000002E-2</v>
        <stp/>
        <stp>0</stp>
        <stp>EUR.PRICING_MAIN.PXE.IT0005069395</stp>
        <stp>CurrentClosingYieldMid</stp>
        <tr r="J41" s="23"/>
      </tp>
      <tp t="e">
        <v>#REF!</v>
        <stp/>
        <stp>0</stp>
        <stp>EUR.PRICING_MAIN.PXE.IT0004019581</stp>
        <stp>CurrentClosingYieldMid</stp>
        <tr r="J5" s="23"/>
      </tp>
      <tp>
        <v>0.35434300000000002</v>
        <stp/>
        <stp>0</stp>
        <stp>EUR.PRICING_MAIN.PXE.FR0011317783</stp>
        <stp>CurrentClosingYieldMid</stp>
        <tr r="J94" s="23"/>
      </tp>
      <tp>
        <v>-0.670821</v>
        <stp/>
        <stp>0</stp>
        <stp>EUR.PRICING_MAIN.PXE.FR0010517417</stp>
        <stp>CurrentClosingYieldMid</stp>
        <tr r="J15" s="23"/>
      </tp>
      <tp>
        <v>4.7507000000000001E-2</v>
        <stp/>
        <stp>0</stp>
        <stp>EUR.PRICING_MAIN.PXE.IT0004489610</stp>
        <stp>CurrentClosingYieldMid</stp>
        <tr r="J37" s="23"/>
      </tp>
      <tp>
        <v>0.35758299999999998</v>
        <stp/>
        <stp>0</stp>
        <stp>EUR.PRICING_MAIN.PXE.IT0004009673</stp>
        <stp>CurrentClosingYieldMid</stp>
        <tr r="J58" s="23"/>
      </tp>
      <tp>
        <v>0.52896100000000001</v>
        <stp/>
        <stp>0</stp>
        <stp>EUR.PRICING_MAIN.PXE.IT0004759673</stp>
        <stp>CurrentClosingYieldMid</stp>
        <tr r="J63" s="23"/>
      </tp>
      <tp>
        <v>-0.48569499999999999</v>
        <stp/>
        <stp>0</stp>
        <stp>EUR.PRICING_MAIN.PXE.FR0012557957</stp>
        <stp>CurrentClosingYieldMid</stp>
        <tr r="J46" s="23"/>
      </tp>
      <tp>
        <v>-0.261992</v>
        <stp/>
        <stp>0</stp>
        <stp>EUR.PRICING_MAIN.PXE.FR0011337880</stp>
        <stp>CurrentClosingYieldMid</stp>
        <tr r="J68" s="23"/>
      </tp>
      <tp>
        <v>-0.66989500000000002</v>
        <stp/>
        <stp>0</stp>
        <stp>EUR.PRICING_MAIN.PXE.DE0001104651</stp>
        <stp>CurrentClosingYieldMid</stp>
        <tr r="J139" s="23"/>
      </tp>
      <tp>
        <v>-0.66951300000000002</v>
        <stp/>
        <stp>0</stp>
        <stp>EUR.PRICING_MAIN.PXE.DE0001104644</stp>
        <stp>CurrentClosingYieldMid</stp>
        <tr r="J137" s="23"/>
      </tp>
      <tp>
        <v>-0.68876700000000002</v>
        <stp/>
        <stp>0</stp>
        <stp>EUR.PRICING_MAIN.PXE.DE0001104610</stp>
        <stp>CurrentClosingYieldMid</stp>
        <tr r="J130" s="23"/>
      </tp>
      <tp>
        <v>-0.71173200000000003</v>
        <stp/>
        <stp>0</stp>
        <stp>EUR.PRICING_MAIN.PXE.DE0001104602</stp>
        <stp>CurrentClosingYieldMid</stp>
        <tr r="J128" s="23"/>
      </tp>
      <tp>
        <v>-0.67036399999999996</v>
        <stp/>
        <stp>0</stp>
        <stp>EUR.PRICING_MAIN.PXE.DE0001104636</stp>
        <stp>CurrentClosingYieldMid</stp>
        <tr r="J135" s="23"/>
      </tp>
      <tp>
        <v>-0.68169999999999997</v>
        <stp/>
        <stp>0</stp>
        <stp>EUR.PRICING_MAIN.PXE.DE0001104628</stp>
        <stp>CurrentClosingYieldMid</stp>
        <tr r="J132" s="23"/>
      </tp>
      <tp>
        <v>-0.34935300000000002</v>
        <stp/>
        <stp>0</stp>
        <stp>EUR.PRICING_MAIN.PXE.DE0001134922</stp>
        <stp>CurrentClosingYieldMid</stp>
        <tr r="J162" s="23"/>
      </tp>
    </main>
    <main first="bloomberg.rtd">
      <tp>
        <v>114.75</v>
        <stp/>
        <stp>##V3_BDPV12</stp>
        <stp>IT0004594930 Corp</stp>
        <stp>BID</stp>
        <stp>[Andrea New RollM.xlsm]CCT!R33C7</stp>
        <tr r="G33" s="27"/>
      </tp>
      <tp>
        <v>100.905</v>
        <stp/>
        <stp>##V3_BDPV12</stp>
        <stp>IT0005185456 Corp</stp>
        <stp>BID</stp>
        <stp>[Andrea New RollM.xlsm]CCT!R14C7</stp>
        <tr r="G14" s="27"/>
      </tp>
      <tp>
        <v>-0.20699999999999999</v>
        <stp/>
        <stp>##V3_BDPV12</stp>
        <stp>IT0005023459@CBBT Corp</stp>
        <stp>YAS_BOND_YLD</stp>
        <stp>[Andrea New RollM.xlsm]DB!R12C19</stp>
        <stp>SETTLE_DT=20160909</stp>
        <stp>YAS_BOND_PX=100.927</stp>
        <tr r="S12" s="23"/>
      </tp>
      <tp>
        <v>-0.60599999999999998</v>
        <stp/>
        <stp>##V3_BDPV12</stp>
        <stp>FR0000189151@CBBT Corp</stp>
        <stp>YAS_BOND_YLD</stp>
        <stp>[Andrea New RollM.xlsm]DB!R32C18</stp>
        <stp>SETTLE_DT=20161004</stp>
        <stp>YAS_BOND_PX=112.552</stp>
        <tr r="R32" s="23"/>
      </tp>
      <tp>
        <v>7.2999999999999995E-2</v>
        <stp/>
        <stp>##V3_BDPV12</stp>
        <stp>IT0003644769@CBBT Corp</stp>
        <stp>YAS_BOND_YLD</stp>
        <stp>[Andrea New RollM.xlsm]DB!R42C18</stp>
        <stp>SETTLE_DT=20161004</stp>
        <stp>YAS_BOND_PX=114.705</stp>
        <tr r="R42" s="23"/>
      </tp>
      <tp>
        <v>-0.57099999999999995</v>
        <stp/>
        <stp>##V3_BDPV12</stp>
        <stp>FR0010517417@CBBT Corp</stp>
        <stp>YAS_BOND_YLD</stp>
        <stp>[Andrea New RollM.xlsm]DB!R15C19</stp>
        <stp>SETTLE_DT=20160909</stp>
        <stp>YAS_BOND_PX=105.461</stp>
        <tr r="S15" s="23"/>
      </tp>
      <tp>
        <v>-0.59899999999999998</v>
        <stp/>
        <stp>##V3_BDPV12</stp>
        <stp>FR0010670737@CBBT Corp</stp>
        <stp>YAS_BOND_YLD</stp>
        <stp>[Andrea New RollM.xlsm]DB!R26C17</stp>
        <stp>SETTLE_DT=20161011</stp>
        <stp>YAS_BOND_PX=109.974</stp>
        <tr r="Q26" s="23"/>
      </tp>
      <tp>
        <v>0.19800000000000001</v>
        <stp/>
        <stp>##V3_BDPV12</stp>
        <stp>FR0010916924@CBBT Corp</stp>
        <stp>YAS_BOND_YLD</stp>
        <stp>[Andrea New RollM.xlsm]DB!R88C17</stp>
        <stp>SETTLE_DT=20161011</stp>
        <stp>YAS_BOND_PX=131.165</stp>
        <tr r="Q88" s="23"/>
      </tp>
      <tp>
        <v>-0.34100000000000003</v>
        <stp/>
        <stp>##V3_BDPV12</stp>
        <stp>IE00B28HXX02@CBBT Corp</stp>
        <stp>YAS_BOND_YLD</stp>
        <stp>[Andrea New RollM.xlsm]DB!R238C19</stp>
        <stp>SETTLE_DT=20160909</stp>
        <stp>YAS_BOND_PX=110.253</stp>
        <tr r="S238" s="23"/>
      </tp>
      <tp>
        <v>0.90900000000000003</v>
        <stp/>
        <stp>##V3_BDPV12</stp>
        <stp>PTOTEMOE0027@CBBT Corp</stp>
        <stp>YAS_BOND_YLD</stp>
        <stp>[Andrea New RollM.xlsm]DB!R225C17</stp>
        <stp>SETTLE_DT=20161011</stp>
        <stp>YAS_BOND_PX=110.098</stp>
        <tr r="Q225" s="23"/>
      </tp>
      <tp>
        <v>0.54900000000000004</v>
        <stp/>
        <stp>##V3_BDPV12</stp>
        <stp>IT0005086886@CBBT Corp</stp>
        <stp>YAS_BOND_YLD</stp>
        <stp>[Andrea New RollM.xlsm]DB!R64C17</stp>
        <stp>SETTLE_DT=20161011</stp>
        <stp>YAS_BOND_PX=104.338</stp>
        <tr r="Q64" s="23"/>
      </tp>
      <tp>
        <v>-0.61099999999999999</v>
        <stp/>
        <stp>##V3_BDPV12</stp>
        <stp>FR0011708080@CBBT Corp</stp>
        <stp>YAS_BOND_YLD</stp>
        <stp>[Andrea New RollM.xlsm]DB!R35C18</stp>
        <stp>SETTLE_DT=20161004</stp>
        <stp>YAS_BOND_PX=104.299</stp>
        <tr r="R35" s="23"/>
      </tp>
      <tp>
        <v>29762750000</v>
        <stp/>
        <stp>##V3_BDPV12</stp>
        <stp>IT0001444378 Corp</stp>
        <stp>AMT_OUTSTANDING</stp>
        <stp>[Andrea New RollM.xlsm]Ita!R62C26</stp>
        <tr r="Z62" s="7"/>
      </tp>
      <tp>
        <v>20733398000</v>
        <stp/>
        <stp>##V3_BDPV12</stp>
        <stp>IT0004644735 Corp</stp>
        <stp>AMT_OUTSTANDING</stp>
        <stp>[Andrea New RollM.xlsm]Ita!R54C26</stp>
        <tr r="Z54" s="7"/>
      </tp>
      <tp>
        <v>22659650000</v>
        <stp/>
        <stp>##V3_BDPV12</stp>
        <stp>IT0003644769 Corp</stp>
        <stp>AMT_OUTSTANDING</stp>
        <stp>[Andrea New RollM.xlsm]Ita!R26C26</stp>
        <tr r="Z26" s="7"/>
      </tp>
      <tp>
        <v>24268782000.000004</v>
        <stp/>
        <stp>##V3_BDPV12</stp>
        <stp>IT0004634132 Corp</stp>
        <stp>AMT_OUTSTANDING</stp>
        <stp>[Andrea New RollM.xlsm]Ita!R31C26</stp>
        <tr r="Z31" s="7"/>
      </tp>
      <tp>
        <v>18891833000</v>
        <stp/>
        <stp>##V3_BDPV12</stp>
        <stp>IT0005094088 Corp</stp>
        <stp>AMT_OUTSTANDING</stp>
        <stp>[Andrea New RollM.xlsm]Ita!R63C26</stp>
        <tr r="Z63" s="7"/>
      </tp>
      <tp>
        <v>26291398000</v>
        <stp/>
        <stp>##V3_BDPV12</stp>
        <stp>IT0003934657 Corp</stp>
        <stp>AMT_OUTSTANDING</stp>
        <stp>[Andrea New RollM.xlsm]Ita!R67C26</stp>
        <tr r="Z67" s="7"/>
      </tp>
      <tp>
        <v>26013132147.48</v>
        <stp/>
        <stp>##V3_BDPV12</stp>
        <stp>IT0001174611 Corp</stp>
        <stp>AMT_OUTSTANDING</stp>
        <stp>[Andrea New RollM.xlsm]Ita!R58C26</stp>
        <tr r="Z58" s="7"/>
      </tp>
      <tp>
        <v>21956500000</v>
        <stp/>
        <stp>##V3_BDPV12</stp>
        <stp>IT0005024234 Corp</stp>
        <stp>AMT_OUTSTANDING</stp>
        <stp>[Andrea New RollM.xlsm]Ita!R61C26</stp>
        <tr r="Z61" s="7"/>
      </tp>
      <tp>
        <v>24922124000</v>
        <stp/>
        <stp>##V3_BDPV12</stp>
        <stp>IT0004594930 Corp</stp>
        <stp>AMT_OUTSTANDING</stp>
        <stp>[Andrea New RollM.xlsm]Ita!R29C26</stp>
        <tr r="Z29" s="7"/>
      </tp>
      <tp>
        <v>104.997</v>
        <stp/>
        <stp>##V3_BDHV12</stp>
        <stp>IE00BV8C9418@CBBT Corp</stp>
        <stp>OPEN</stp>
        <stp>09/09/2016 4:15:00 PM</stp>
        <stp>09/09/2016 5:15:00 PM</stp>
        <stp>[Andrea New RollM.xlsm]DB!R247C16</stp>
        <stp>BarSz=60</stp>
        <stp>BarTp=T</stp>
        <stp>RecurDaily=True</stp>
        <stp>TZ=London</stp>
        <stp>DTS=H</stp>
        <tr r="P247" s="23"/>
      </tp>
    </main>
    <main first="bloomberg.rtd">
      <tp>
        <v>106.2</v>
        <stp/>
        <stp>##V3_BDHV12</stp>
        <stp>IE00B8DLLB38@CBBT Corp</stp>
        <stp>OPEN</stp>
        <stp>04/10/2016 4:15:00 PM</stp>
        <stp>04/10/2016 5:15:00 PM</stp>
        <stp>[Andrea New RollM.xlsm]DB!R237C15</stp>
        <stp>BarSz=60</stp>
        <stp>BarTp=T</stp>
        <stp>RecurDaily=True</stp>
        <stp>TZ=London</stp>
        <stp>DTS=H</stp>
        <tr r="O237" s="23"/>
      </tp>
      <tp>
        <v>2.8940000000000001</v>
        <stp/>
        <stp>##V3_BDPV12</stp>
        <stp>PTOTEQOE0015@CBBT Corp</stp>
        <stp>YAS_BOND_YLD</stp>
        <stp>[Andrea New RollM.xlsm]DB!R230C19</stp>
        <stp>SETTLE_DT=20160909</stp>
        <stp>YAS_BOND_PX=118.18</stp>
        <tr r="S230" s="23"/>
      </tp>
    </main>
    <main first="marketviewexcelplugin.mkvxp">
      <tp>
        <v>0.90005100000000005</v>
        <stp/>
        <stp>0</stp>
        <stp>EUR.PRICING_MAIN.PXE.FR0013154044</stp>
        <stp>CurrentClosingYieldMid</stp>
        <tr r="J107" s="23"/>
      </tp>
      <tp>
        <v>1.4435530000000001</v>
        <stp/>
        <stp>0</stp>
        <stp>EUR.PRICING_MAIN.PXE.FR0013154028</stp>
        <stp>CurrentClosingYieldMid</stp>
        <tr r="J121" s="23"/>
      </tp>
      <tp>
        <v>-0.626753</v>
        <stp/>
        <stp>0</stp>
        <stp>EUR.PRICING_MAIN.PXE.FR0011394345</stp>
        <stp>CurrentClosingYieldMid</stp>
        <tr r="J22" s="23"/>
      </tp>
      <tp>
        <v>-0.50134999999999996</v>
        <stp/>
        <stp>0</stp>
        <stp>EUR.PRICING_MAIN.PXE.FR0010854182</stp>
        <stp>CurrentClosingYieldMid</stp>
        <tr r="J44" s="23"/>
      </tp>
      <tp>
        <v>-0.64449299999999998</v>
        <stp/>
        <stp>0</stp>
        <stp>EUR.PRICING_MAIN.PXE.FR0012634558</stp>
        <stp>CurrentClosingYieldMid</stp>
        <tr r="J19" s="23"/>
      </tp>
      <tp>
        <v>-0.63244400000000001</v>
        <stp/>
        <stp>0</stp>
        <stp>EUR.PRICING_MAIN.PXE.FR0010604983</stp>
        <stp>CurrentClosingYieldMid</stp>
        <tr r="J20" s="23"/>
      </tp>
      <tp t="e">
        <v>#REF!</v>
        <stp/>
        <stp>0</stp>
        <stp>EUR.PRICING_MAIN.PXE.DE0001137479</stp>
        <stp>CurrentClosingYieldMid</stp>
        <tr r="J122" s="23"/>
      </tp>
      <tp>
        <v>-0.74255499999999997</v>
        <stp/>
        <stp>0</stp>
        <stp>EUR.PRICING_MAIN.PXE.DE0001137495</stp>
        <stp>CurrentClosingYieldMid</stp>
        <tr r="J126" s="23"/>
      </tp>
      <tp>
        <v>-0.71965599999999996</v>
        <stp/>
        <stp>0</stp>
        <stp>EUR.PRICING_MAIN.PXE.DE0001137487</stp>
        <stp>CurrentClosingYieldMid</stp>
        <tr r="J124" s="23"/>
      </tp>
    </main>
    <main first="bloomberg.rtd">
      <tp>
        <v>103.11</v>
        <stp/>
        <stp>##V3_BDPV12</stp>
        <stp>IT0005009839 Corp</stp>
        <stp>BID</stp>
        <stp>[Andrea New RollM.xlsm]CCT!R10C7</stp>
        <tr r="G10" s="27"/>
      </tp>
      <tp>
        <v>112.07</v>
        <stp/>
        <stp>##V3_BDPV12</stp>
        <stp>IT0004489610 Corp</stp>
        <stp>BID</stp>
        <stp>[Andrea New RollM.xlsm]CCT!R31C7</stp>
        <tr r="G31" s="27"/>
      </tp>
      <tp>
        <v>-0.57699999999999996</v>
        <stp/>
        <stp>##V3_BDPV12</stp>
        <stp>FR0011708080@CBBT Corp</stp>
        <stp>YAS_BOND_YLD</stp>
        <stp>[Andrea New RollM.xlsm]DB!R35C17</stp>
        <stp>SETTLE_DT=20161011</stp>
        <stp>YAS_BOND_PX=104.175</stp>
        <tr r="Q35" s="23"/>
      </tp>
      <tp>
        <v>-0.57299999999999995</v>
        <stp/>
        <stp>##V3_BDPV12</stp>
        <stp>FR0010776161@CBBT Corp</stp>
        <stp>YAS_BOND_YLD</stp>
        <stp>[Andrea New RollM.xlsm]DB!R39C18</stp>
        <stp>SETTLE_DT=20161004</stp>
        <stp>YAS_BOND_PX=113.372</stp>
        <tr r="R39" s="23"/>
      </tp>
      <tp>
        <v>1.1259999999999999</v>
        <stp/>
        <stp>##V3_BDPV12</stp>
        <stp>IT0005045270@CBBT Corp</stp>
        <stp>YAS_BOND_YLD</stp>
        <stp>[Andrea New RollM.xlsm]DB!R81C17</stp>
        <stp>SETTLE_DT=20161011</stp>
        <stp>YAS_BOND_PX=110.678</stp>
        <tr r="Q81" s="23"/>
      </tp>
      <tp>
        <v>0.113</v>
        <stp/>
        <stp>##V3_BDPV12</stp>
        <stp>IT0003644769@CBBT Corp</stp>
        <stp>YAS_BOND_YLD</stp>
        <stp>[Andrea New RollM.xlsm]DB!R42C17</stp>
        <stp>SETTLE_DT=20161011</stp>
        <stp>YAS_BOND_PX=114.478</stp>
        <tr r="Q42" s="23"/>
      </tp>
      <tp>
        <v>0.34100000000000003</v>
        <stp/>
        <stp>##V3_BDPV12</stp>
        <stp>IT0004695075@CBBT Corp</stp>
        <stp>YAS_BOND_YLD</stp>
        <stp>[Andrea New RollM.xlsm]DB!R59C19</stp>
        <stp>SETTLE_DT=20160909</stp>
        <stp>YAS_BOND_PX=121.743</stp>
        <tr r="S59" s="23"/>
      </tp>
      <tp>
        <v>1.341</v>
        <stp/>
        <stp>##V3_BDPV12</stp>
        <stp>IE00BV8C9186@CBBT Corp</stp>
        <stp>YAS_BOND_YLD</stp>
        <stp>[Andrea New RollM.xlsm]DB!R249C17</stp>
        <stp>SETTLE_DT=20161011</stp>
        <stp>YAS_BOND_PX=115.455</stp>
        <tr r="Q249" s="23"/>
      </tp>
      <tp>
        <v>-0.19400000000000001</v>
        <stp/>
        <stp>##V3_BDPV12</stp>
        <stp>FR0011486067@CBBT Corp</stp>
        <stp>YAS_BOND_YLD</stp>
        <stp>[Andrea New RollM.xlsm]DB!R72C19</stp>
        <stp>SETTLE_DT=20160909</stp>
        <stp>YAS_BOND_PX=113.133</stp>
        <tr r="S72" s="23"/>
      </tp>
      <tp>
        <v>1.5720000000000001</v>
        <stp/>
        <stp>##V3_BDPV12</stp>
        <stp>PTOTECOE0029@CBBT Corp</stp>
        <stp>YAS_BOND_YLD</stp>
        <stp>[Andrea New RollM.xlsm]DB!R226C19</stp>
        <stp>SETTLE_DT=20160909</stp>
        <stp>YAS_BOND_PX=111.702</stp>
        <tr r="S226" s="23"/>
      </tp>
      <tp>
        <v>0.115</v>
        <stp/>
        <stp>##V3_BDPV12</stp>
        <stp>IT0005107708@CBBT Corp</stp>
        <stp>YAS_BOND_YLD</stp>
        <stp>[Andrea New RollM.xlsm]DB!R45C17</stp>
        <stp>SETTLE_DT=20161011</stp>
        <stp>YAS_BOND_PX=102.077</stp>
        <tr r="Q45" s="23"/>
      </tp>
      <tp>
        <v>0.157</v>
        <stp/>
        <stp>##V3_BDPV12</stp>
        <stp>IT0005142143@CBBT Corp</stp>
        <stp>YAS_BOND_YLD</stp>
        <stp>[Andrea New RollM.xlsm]DB!R49C19</stp>
        <stp>SETTLE_DT=20160909</stp>
        <stp>YAS_BOND_PX=102.035</stp>
        <tr r="S49" s="23"/>
      </tp>
      <tp>
        <v>5.0000000000000001E-3</v>
        <stp/>
        <stp>##V3_BDPV12</stp>
        <stp>IT0003493258@CBBT Corp</stp>
        <stp>YAS_BOND_YLD</stp>
        <stp>[Andrea New RollM.xlsm]DB!R29C19</stp>
        <stp>SETTLE_DT=20160909</stp>
        <stp>YAS_BOND_PX=110.162</stp>
        <tr r="S29" s="23"/>
      </tp>
      <tp>
        <v>-0.23599999999999999</v>
        <stp/>
        <stp>##V3_BDPV12</stp>
        <stp>IT0003242747@CBBT Corp</stp>
        <stp>YAS_BOND_YLD</stp>
        <stp>[Andrea New RollM.xlsm]DB!R14C17</stp>
        <stp>SETTLE_DT=20161011</stp>
        <stp>YAS_BOND_PX=104.435</stp>
        <tr r="Q14" s="23"/>
      </tp>
      <tp>
        <v>-0.59599999999999997</v>
        <stp/>
        <stp>##V3_BDPV12</stp>
        <stp>FR0012634558@CBBT Corp</stp>
        <stp>YAS_BOND_YLD</stp>
        <stp>[Andrea New RollM.xlsm]DB!R19C19</stp>
        <stp>SETTLE_DT=20160909</stp>
        <stp>YAS_BOND_PX=100.878</stp>
        <tr r="S19" s="23"/>
      </tp>
      <tp>
        <v>0.122</v>
        <stp/>
        <stp>##V3_BDPV12</stp>
        <stp>IT0004594930@CBBT Corp</stp>
        <stp>YAS_BOND_YLD</stp>
        <stp>[Andrea New RollM.xlsm]DB!R47C18</stp>
        <stp>SETTLE_DT=20161004</stp>
        <stp>YAS_BOND_PX=115.118</stp>
        <tr r="R47" s="23"/>
      </tp>
      <tp>
        <v>-0.111</v>
        <stp/>
        <stp>##V3_BDPV12</stp>
        <stp>IT0005106049@CBBT Corp</stp>
        <stp>YAS_BOND_YLD</stp>
        <stp>[Andrea New RollM.xlsm]DB!R21C18</stp>
        <stp>SETTLE_DT=20161004</stp>
        <stp>YAS_BOND_PX=100.583</stp>
        <tr r="R21" s="23"/>
      </tp>
      <tp>
        <v>0.13800000000000001</v>
        <stp/>
        <stp>##V3_BDPV12</stp>
        <stp>IT0005142143@CBBT Corp</stp>
        <stp>YAS_BOND_YLD</stp>
        <stp>[Andrea New RollM.xlsm]DB!R50C18</stp>
        <stp>SETTLE_DT=20161004</stp>
        <stp>YAS_BOND_PX=102.082</stp>
        <tr r="R50" s="23"/>
      </tp>
      <tp>
        <v>0.52</v>
        <stp/>
        <stp>##V3_BDPV12</stp>
        <stp>PTOTENOE0018@CBBT Corp</stp>
        <stp>YAS_BOND_YLD</stp>
        <stp>[Andrea New RollM.xlsm]DB!R224C19</stp>
        <stp>SETTLE_DT=20160909</stp>
        <stp>YAS_BOND_PX=106.882</stp>
        <tr r="S224" s="23"/>
      </tp>
      <tp>
        <v>-0.47799999999999998</v>
        <stp/>
        <stp>##V3_BDPV12</stp>
        <stp>FR0010854182@CBBT Corp</stp>
        <stp>YAS_BOND_YLD</stp>
        <stp>[Andrea New RollM.xlsm]DB!R44C19</stp>
        <stp>SETTLE_DT=20160909</stp>
        <stp>YAS_BOND_PX=114.583</stp>
        <tr r="S44" s="23"/>
      </tp>
      <tp>
        <v>19858640000</v>
        <stp/>
        <stp>##V3_BDPV12</stp>
        <stp>IT0004957574 Corp</stp>
        <stp>AMT_OUTSTANDING</stp>
        <stp>[Andrea New RollM.xlsm]Ita!R17C26</stp>
        <tr r="Z17" s="7"/>
      </tp>
      <tp>
        <v>15308150000</v>
        <stp/>
        <stp>##V3_BDPV12</stp>
        <stp>IT0005107708 Corp</stp>
        <stp>AMT_OUTSTANDING</stp>
        <stp>[Andrea New RollM.xlsm]Ita!R28C26</stp>
        <tr r="Z28" s="7"/>
      </tp>
      <tp>
        <v>16164354000.000002</v>
        <stp/>
        <stp>##V3_BDPV12</stp>
        <stp>IT0004867070 Corp</stp>
        <stp>AMT_OUTSTANDING</stp>
        <stp>[Andrea New RollM.xlsm]Ita!R10C26</stp>
        <tr r="Z10" s="7"/>
      </tp>
      <tp>
        <v>17829688000.000004</v>
        <stp/>
        <stp>##V3_BDPV12</stp>
        <stp>IT0005127086 Corp</stp>
        <stp>AMT_OUTSTANDING</stp>
        <stp>[Andrea New RollM.xlsm]Ita!R53C26</stp>
        <tr r="Z53" s="7"/>
      </tp>
      <tp>
        <v>5000000000</v>
        <stp/>
        <stp>##V3_BDPV12</stp>
        <stp>IT0005217390 Corp</stp>
        <stp>AMT_OUTSTANDING</stp>
        <stp>[Andrea New RollM.xlsm]Ita!R73C26</stp>
        <tr r="Z73" s="7"/>
      </tp>
      <tp>
        <v>12117500000</v>
        <stp/>
        <stp>##V3_BDPV12</stp>
        <stp>IT0005177271 Corp</stp>
        <stp>AMT_OUTSTANDING</stp>
        <stp>[Andrea New RollM.xlsm]Ita!R20C26</stp>
        <tr r="Z20" s="7"/>
      </tp>
      <tp>
        <v>9500000000</v>
        <stp/>
        <stp>##V3_BDPV12</stp>
        <stp>IT0005177909 Corp</stp>
        <stp>AMT_OUTSTANDING</stp>
        <stp>[Andrea New RollM.xlsm]Ita!R66C26</stp>
        <tr r="Z66" s="7"/>
      </tp>
      <tp>
        <v>0</v>
        <stp/>
        <stp>##V3_BDPV12</stp>
        <stp>IT0005217929 Corp</stp>
        <stp>AMT_OUTSTANDING</stp>
        <stp>[Andrea New RollM.xlsm]Ita!R24C26</stp>
        <tr r="Z24" s="7"/>
      </tp>
      <tp>
        <v>19388580000</v>
        <stp/>
        <stp>##V3_BDPV12</stp>
        <stp>IT0004907843 Corp</stp>
        <stp>AMT_OUTSTANDING</stp>
        <stp>[Andrea New RollM.xlsm]Ita!R14C26</stp>
        <tr r="Z14" s="7"/>
      </tp>
      <tp>
        <v>0.5655</v>
        <stp/>
        <stp>##V3_BDPV12</stp>
        <stp>EUSWE15 CMPN Curncy</stp>
        <stp>ask</stp>
        <stp>[Andrea New RollM.xlsm]Crv!R36C5</stp>
        <tr r="E36" s="1"/>
      </tp>
      <tp>
        <v>0.78100000000000003</v>
        <stp/>
        <stp>##V3_BDPV12</stp>
        <stp>EUSWE50 CMPN Curncy</stp>
        <stp>ask</stp>
        <stp>[Andrea New RollM.xlsm]Crv!R42C5</stp>
        <tr r="E42" s="1"/>
      </tp>
    </main>
    <main first="marketviewexcelplugin.mkvxp">
      <tp>
        <v>-0.69867400000000002</v>
        <stp/>
        <stp>0</stp>
        <stp>EUR.PRICING_MAIN.PXE.FR0010415331</stp>
        <stp>CurrentClosingYieldMid</stp>
        <tr r="J10" s="23"/>
      </tp>
    </main>
    <main first="bloomberg.rtd">
      <tp>
        <v>0.191</v>
        <stp/>
        <stp>##V3_BDPV12</stp>
        <stp>IT0005142143@CBBT Corp</stp>
        <stp>YAS_BOND_YLD</stp>
        <stp>[Andrea New RollM.xlsm]DB!R49C17</stp>
        <stp>SETTLE_DT=20161011</stp>
        <stp>YAS_BOND_PX=101.855</stp>
        <tr r="Q49" s="23"/>
      </tp>
      <tp>
        <v>-0.193</v>
        <stp/>
        <stp>##V3_BDPV12</stp>
        <stp>FR0011486067@CBBT Corp</stp>
        <stp>YAS_BOND_YLD</stp>
        <stp>[Andrea New RollM.xlsm]DB!R72C17</stp>
        <stp>SETTLE_DT=20161011</stp>
        <stp>YAS_BOND_PX=112.957</stp>
        <tr r="Q72" s="23"/>
      </tp>
      <tp>
        <v>-0.53200000000000003</v>
        <stp/>
        <stp>##V3_BDPV12</stp>
        <stp>FR0010670737@CBBT Corp</stp>
        <stp>YAS_BOND_YLD</stp>
        <stp>[Andrea New RollM.xlsm]DB!R26C19</stp>
        <stp>SETTLE_DT=20160909</stp>
        <stp>YAS_BOND_PX=110.252</stp>
        <tr r="S26" s="23"/>
      </tp>
      <tp>
        <v>-0.23100000000000001</v>
        <stp/>
        <stp>##V3_BDPV12</stp>
        <stp>IT0003242747@CBBT Corp</stp>
        <stp>YAS_BOND_YLD</stp>
        <stp>[Andrea New RollM.xlsm]DB!R14C18</stp>
        <stp>SETTLE_DT=20161004</stp>
        <stp>YAS_BOND_PX=104.535</stp>
        <tr r="R14" s="23"/>
      </tp>
      <tp>
        <v>-0.26</v>
        <stp/>
        <stp>##V3_BDPV12</stp>
        <stp>FR0011337880@CBBT Corp</stp>
        <stp>YAS_BOND_YLD</stp>
        <stp>[Andrea New RollM.xlsm]DB!R68C17</stp>
        <stp>SETTLE_DT=20161011</stp>
        <stp>YAS_BOND_PX=115.294</stp>
        <tr r="Q68" s="23"/>
      </tp>
      <tp>
        <v>6.2E-2</v>
        <stp/>
        <stp>##V3_BDPV12</stp>
        <stp>IT0004489610@CBBT Corp</stp>
        <stp>YAS_BOND_YLD</stp>
        <stp>[Andrea New RollM.xlsm]DB!R37C19</stp>
        <stp>SETTLE_DT=20160909</stp>
        <stp>YAS_BOND_PX=112.457</stp>
        <tr r="S37" s="23"/>
      </tp>
      <tp>
        <v>5.5E-2</v>
        <stp/>
        <stp>##V3_BDPV12</stp>
        <stp>IT0005069395@CBBT Corp</stp>
        <stp>YAS_BOND_YLD</stp>
        <stp>[Andrea New RollM.xlsm]DB!R41C19</stp>
        <stp>SETTLE_DT=20160909</stp>
        <stp>YAS_BOND_PX=103.207</stp>
        <tr r="S41" s="23"/>
      </tp>
      <tp>
        <v>0.53500000000000003</v>
        <stp/>
        <stp>##V3_BDPV12</stp>
        <stp>FR0011883966@CBBT Corp</stp>
        <stp>YAS_BOND_YLD</stp>
        <stp>[Andrea New RollM.xlsm]DB!R99C17</stp>
        <stp>SETTLE_DT=20161011</stp>
        <stp>YAS_BOND_PX=125.746</stp>
        <tr r="Q99" s="23"/>
      </tp>
      <tp>
        <v>0.30299999999999999</v>
        <stp/>
        <stp>##V3_BDPV12</stp>
        <stp>IT0004966401@CBBT Corp</stp>
        <stp>YAS_BOND_YLD</stp>
        <stp>[Andrea New RollM.xlsm]DB!R54C19</stp>
        <stp>SETTLE_DT=20160909</stp>
        <stp>YAS_BOND_PX=115.885</stp>
        <tr r="S54" s="23"/>
      </tp>
      <tp>
        <v>-0.17</v>
        <stp/>
        <stp>##V3_BDPV12</stp>
        <stp>FR0010466938@CBBT Corp</stp>
        <stp>YAS_BOND_YLD</stp>
        <stp>[Andrea New RollM.xlsm]DB!R75C19</stp>
        <stp>SETTLE_DT=20160909</stp>
        <stp>YAS_BOND_PX=131.717</stp>
        <tr r="S75" s="23"/>
      </tp>
      <tp>
        <v>-2.8000000000000001E-2</v>
        <stp/>
        <stp>##V3_BDPV12</stp>
        <stp>IT0005139099@CBBT Corp</stp>
        <stp>YAS_BOND_YLD</stp>
        <stp>[Andrea New RollM.xlsm]DB!R25C19</stp>
        <stp>SETTLE_DT=20160909</stp>
        <stp>YAS_BOND_PX=100.688</stp>
        <tr r="S25" s="23"/>
      </tp>
      <tp>
        <v>-0.35699999999999998</v>
        <stp/>
        <stp>##V3_BDPV12</stp>
        <stp>FR0013157096@CBBT Corp</stp>
        <stp>YAS_BOND_YLD</stp>
        <stp>[Andrea New RollM.xlsm]DB!R55C19</stp>
        <stp>SETTLE_DT=20160909</stp>
        <stp>YAS_BOND_PX=101.698</stp>
        <tr r="S55" s="23"/>
      </tp>
      <tp>
        <v>18397553000</v>
        <stp/>
        <stp>##V3_BDPV12</stp>
        <stp>IT0004966401 Corp</stp>
        <stp>AMT_OUTSTANDING</stp>
        <stp>[Andrea New RollM.xlsm]Ita!R32C26</stp>
        <tr r="Z32" s="7"/>
      </tp>
    </main>
    <main first="marketviewexcelplugin.mkvxp">
      <tp t="s">
        <v>IRISH</v>
        <stp/>
        <stp>0</stp>
        <stp>EUR.CM_INSTRUMENT.PXE.IE00B6X95T99</stp>
        <stp>Ticker</stp>
        <tr r="B245" s="23"/>
      </tp>
    </main>
    <main first="bloomberg.rtd">
      <tp>
        <v>4001000000</v>
        <stp/>
        <stp>##V3_BDPV12</stp>
        <stp>IT0005216491 Corp</stp>
        <stp>AMT_OUTSTANDING</stp>
        <stp>[Andrea New RollM.xlsm]Ita!R36C26</stp>
        <tr r="Z36" s="7"/>
      </tp>
      <tp t="s">
        <v>02/01/2007</v>
        <stp/>
        <stp>##V3_BDPV12</stp>
        <stp>IT0004164775 Corp</stp>
        <stp>ISSUE_DT</stp>
        <stp>[Andrea New RollM.xlsm]Ita!R5C25</stp>
        <tr r="Y5" s="7"/>
      </tp>
      <tp>
        <v>9417828223</v>
        <stp/>
        <stp>##V3_BDPV12</stp>
        <stp>IT0001086567 Corp</stp>
        <stp>AMT_OUTSTANDING</stp>
        <stp>[Andrea New RollM.xlsm]Ita!R56C26</stp>
        <tr r="Z56" s="7"/>
      </tp>
      <tp>
        <v>13607659000</v>
        <stp/>
        <stp>##V3_BDPV12</stp>
        <stp>IT0005106049 Corp</stp>
        <stp>AMT_OUTSTANDING</stp>
        <stp>[Andrea New RollM.xlsm]Ita!R13C26</stp>
        <tr r="Z13" s="7"/>
      </tp>
      <tp>
        <v>118.875</v>
        <stp/>
        <stp>##V3_BDHV12</stp>
        <stp>IE00BV8C9186@CBBT Corp</stp>
        <stp>OPEN</stp>
        <stp>04/10/2016 4:15:00 PM</stp>
        <stp>04/10/2016 5:15:00 PM</stp>
        <stp>[Andrea New RollM.xlsm]DB!R249C15</stp>
        <stp>BarSz=60</stp>
        <stp>BarTp=T</stp>
        <stp>RecurDaily=True</stp>
        <stp>TZ=London</stp>
        <stp>DTS=H</stp>
        <tr r="O249" s="23"/>
      </tp>
      <tp>
        <v>12226155009</v>
        <stp/>
        <stp>##V3_BDPV12</stp>
        <stp>IT0000366655 Corp</stp>
        <stp>AMT_OUTSTANDING</stp>
        <stp>[Andrea New RollM.xlsm]Ita!R47C26</stp>
        <tr r="Z47" s="7"/>
      </tp>
      <tp>
        <v>15454000000</v>
        <stp/>
        <stp>##V3_BDPV12</stp>
        <stp>IT0003256820 Corp</stp>
        <stp>AMT_OUTSTANDING</stp>
        <stp>[Andrea New RollM.xlsm]Ita!R64C26</stp>
        <tr r="Z64" s="7"/>
      </tp>
      <tp>
        <v>24799152000</v>
        <stp/>
        <stp>##V3_BDPV12</stp>
        <stp>IT0004356843 Corp</stp>
        <stp>AMT_OUTSTANDING</stp>
        <stp>[Andrea New RollM.xlsm]Ita!R45C26</stp>
        <tr r="Z45" s="7"/>
      </tp>
      <tp>
        <v>24330808000</v>
        <stp/>
        <stp>##V3_BDPV12</stp>
        <stp>IT0004536949 Corp</stp>
        <stp>AMT_OUTSTANDING</stp>
        <stp>[Andrea New RollM.xlsm]Ita!R27C26</stp>
        <tr r="Z27" s="7"/>
      </tp>
      <tp>
        <v>19336663000.000004</v>
        <stp/>
        <stp>##V3_BDPV12</stp>
        <stp>IT0004286966 Corp</stp>
        <stp>AMT_OUTSTANDING</stp>
        <stp>[Andrea New RollM.xlsm]Ita!R68C26</stp>
        <tr r="Z68" s="7"/>
      </tp>
      <tp>
        <v>17784500000</v>
        <stp/>
        <stp>##V3_BDPV12</stp>
        <stp>IT0005086886 Corp</stp>
        <stp>AMT_OUTSTANDING</stp>
        <stp>[Andrea New RollM.xlsm]Ita!R39C26</stp>
        <tr r="Z39" s="7"/>
      </tp>
      <tp>
        <v>-0.40500000000000003</v>
        <stp/>
        <stp>##V3_BDPV12</stp>
        <stp>EUSWE2F CMPN Curncy</stp>
        <stp>ask</stp>
        <stp>[Andrea New RollM.xlsm]Crv!R25C5</stp>
        <tr r="E25" s="1"/>
      </tp>
    </main>
    <main first="marketviewexcelplugin.mkvxp">
      <tp>
        <v>1.5821999999999999E-2</v>
        <stp/>
        <stp>0</stp>
        <stp>EUR.PRICING_MAIN.PXE.FR0011962398</stp>
        <stp>CurrentClosingYieldMid</stp>
        <tr r="J80" s="23"/>
      </tp>
      <tp>
        <v>-0.39951199999999998</v>
        <stp/>
        <stp>0</stp>
        <stp>EUR.PRICING_MAIN.PXE.FR0010192997</stp>
        <stp>CurrentClosingYieldMid</stp>
        <tr r="J53" s="23"/>
      </tp>
      <tp>
        <v>-0.486954</v>
        <stp/>
        <stp>0</stp>
        <stp>EUR.PRICING_MAIN.PXE.DE0001141745</stp>
        <stp>CurrentClosingYieldMid</stp>
        <tr r="J155" s="23"/>
      </tp>
      <tp>
        <v>-0.63349200000000006</v>
        <stp/>
        <stp>0</stp>
        <stp>EUR.PRICING_MAIN.PXE.DE0001141711</stp>
        <stp>CurrentClosingYieldMid</stp>
        <tr r="J147" s="23"/>
      </tp>
      <tp>
        <v>-0.66312599999999999</v>
        <stp/>
        <stp>0</stp>
        <stp>EUR.PRICING_MAIN.PXE.DE0001141703</stp>
        <stp>CurrentClosingYieldMid</stp>
        <tr r="J145" s="23"/>
      </tp>
      <tp>
        <v>-0.543771</v>
        <stp/>
        <stp>0</stp>
        <stp>EUR.PRICING_MAIN.PXE.DE0001141737</stp>
        <stp>CurrentClosingYieldMid</stp>
        <tr r="J152" s="23"/>
      </tp>
      <tp>
        <v>-0.60232699999999995</v>
        <stp/>
        <stp>0</stp>
        <stp>EUR.PRICING_MAIN.PXE.DE0001141729</stp>
        <stp>CurrentClosingYieldMid</stp>
        <tr r="J150" s="23"/>
      </tp>
      <tp>
        <v>-0.68271099999999996</v>
        <stp/>
        <stp>0</stp>
        <stp>EUR.PRICING_MAIN.PXE.DE0001141653</stp>
        <stp>CurrentClosingYieldMid</stp>
        <tr r="J134" s="23"/>
      </tp>
      <tp>
        <v>-0.69169999999999998</v>
        <stp/>
        <stp>0</stp>
        <stp>EUR.PRICING_MAIN.PXE.DE0001141646</stp>
        <stp>CurrentClosingYieldMid</stp>
        <tr r="J131" s="23"/>
      </tp>
      <tp>
        <v>-0.680176</v>
        <stp/>
        <stp>0</stp>
        <stp>EUR.PRICING_MAIN.PXE.DE0001141679</stp>
        <stp>CurrentClosingYieldMid</stp>
        <tr r="J140" s="23"/>
      </tp>
      <tp>
        <v>-0.66896599999999995</v>
        <stp/>
        <stp>0</stp>
        <stp>EUR.PRICING_MAIN.PXE.DE0001141661</stp>
        <stp>CurrentClosingYieldMid</stp>
        <tr r="J136" s="23"/>
      </tp>
      <tp>
        <v>-2.7415229999999999</v>
        <stp/>
        <stp>0</stp>
        <stp>EUR.PRICING_MAIN.PXE.DE0001141612</stp>
        <stp>CurrentClosingYieldMid</stp>
        <tr r="J123" s="23"/>
      </tp>
      <tp>
        <v>-0.809666</v>
        <stp/>
        <stp>0</stp>
        <stp>EUR.PRICING_MAIN.PXE.DE0001141638</stp>
        <stp>CurrentClosingYieldMid</stp>
        <tr r="J127" s="23"/>
      </tp>
      <tp>
        <v>-0.749996</v>
        <stp/>
        <stp>0</stp>
        <stp>EUR.PRICING_MAIN.PXE.DE0001141620</stp>
        <stp>CurrentClosingYieldMid</stp>
        <tr r="J125" s="23"/>
      </tp>
      <tp>
        <v>-0.67910899999999996</v>
        <stp/>
        <stp>0</stp>
        <stp>EUR.PRICING_MAIN.PXE.DE0001141695</stp>
        <stp>CurrentClosingYieldMid</stp>
        <tr r="J143" s="23"/>
      </tp>
      <tp>
        <v>-0.67886199999999997</v>
        <stp/>
        <stp>0</stp>
        <stp>EUR.PRICING_MAIN.PXE.DE0001141687</stp>
        <stp>CurrentClosingYieldMid</stp>
        <tr r="J142" s="23"/>
      </tp>
    </main>
    <main first="bloomberg.rtd">
      <tp>
        <v>126.145</v>
        <stp/>
        <stp>##V3_BDPV12</stp>
        <stp>IT0004356843 Corp</stp>
        <stp>BID</stp>
        <stp>[Andrea New RollM.xlsm]CCT!R39C7</stp>
        <tr r="G39" s="27"/>
      </tp>
      <tp>
        <v>-0.439</v>
        <stp/>
        <stp>##V3_BDPV12</stp>
        <stp>FR0010949651@CBBT Corp</stp>
        <stp>YAS_BOND_YLD</stp>
        <stp>[Andrea New RollM.xlsm]DB!R48C19</stp>
        <stp>SETTLE_DT=20160909</stp>
        <stp>YAS_BOND_PX=112.264</stp>
        <tr r="S48" s="23"/>
      </tp>
      <tp>
        <v>0.98</v>
        <stp/>
        <stp>##V3_BDPV12</stp>
        <stp>IT0004953417@CBBT Corp</stp>
        <stp>YAS_BOND_YLD</stp>
        <stp>[Andrea New RollM.xlsm]DB!R77C17</stp>
        <stp>SETTLE_DT=20161011</stp>
        <stp>YAS_BOND_PX=125.053</stp>
        <tr r="Q77" s="23"/>
      </tp>
      <tp>
        <v>-0.34599999999999997</v>
        <stp/>
        <stp>##V3_BDPV12</stp>
        <stp>FR0011059088@CBBT Corp</stp>
        <stp>YAS_BOND_YLD</stp>
        <stp>[Andrea New RollM.xlsm]DB!R60C17</stp>
        <stp>SETTLE_DT=20161011</stp>
        <stp>YAS_BOND_PX=118.311</stp>
        <tr r="Q60" s="23"/>
      </tp>
      <tp>
        <v>0.67800000000000005</v>
        <stp/>
        <stp>##V3_BDPV12</stp>
        <stp>IT0004848831@CBBT Corp</stp>
        <stp>YAS_BOND_YLD</stp>
        <stp>[Andrea New RollM.xlsm]DB!R69C17</stp>
        <stp>SETTLE_DT=20161011</stp>
        <stp>YAS_BOND_PX=128.575</stp>
        <tr r="Q69" s="23"/>
      </tp>
      <tp>
        <v>0.53</v>
        <stp/>
        <stp>##V3_BDPV12</stp>
        <stp>FR0011883966@CBBT Corp</stp>
        <stp>YAS_BOND_YLD</stp>
        <stp>[Andrea New RollM.xlsm]DB!R99C19</stp>
        <stp>SETTLE_DT=20160909</stp>
        <stp>YAS_BOND_PX=125.975</stp>
        <tr r="S99" s="23"/>
      </tp>
      <tp>
        <v>0.26400000000000001</v>
        <stp/>
        <stp>##V3_BDPV12</stp>
        <stp>FR0013131877@CBBT Corp</stp>
        <stp>YAS_BOND_YLD</stp>
        <stp>[Andrea New RollM.xlsm]DB!R89C17</stp>
        <stp>SETTLE_DT=20161011</stp>
        <stp>YAS_BOND_PX=102.237</stp>
        <tr r="Q89" s="23"/>
      </tp>
      <tp>
        <v>4.1000000000000002E-2</v>
        <stp/>
        <stp>##V3_BDPV12</stp>
        <stp>IT0004992308@CBBT Corp</stp>
        <stp>YAS_BOND_YLD</stp>
        <stp>[Andrea New RollM.xlsm]DB!R34C17</stp>
        <stp>SETTLE_DT=20161011</stp>
        <stp>YAS_BOND_PX=106.285</stp>
        <tr r="Q34" s="23"/>
      </tp>
      <tp>
        <v>19826000000</v>
        <stp/>
        <stp>##V3_BDPV12</stp>
        <stp>IT0005001547 Corp</stp>
        <stp>AMT_OUTSTANDING</stp>
        <stp>[Andrea New RollM.xlsm]Ita!R49C26</stp>
        <tr r="Z49" s="7"/>
      </tp>
      <tp t="s">
        <v>01/02/2012</v>
        <stp/>
        <stp>##V3_BDPV12</stp>
        <stp>IT0004793474 Corp</stp>
        <stp>ISSUE_DT</stp>
        <stp>[Andrea New RollM.xlsm]Ita!R6C25</stp>
        <tr r="Y6" s="7"/>
      </tp>
      <tp t="s">
        <v>15/05/2014</v>
        <stp/>
        <stp>##V3_BDPV12</stp>
        <stp>IT0005023459 Corp</stp>
        <stp>ISSUE_DT</stp>
        <stp>[Andrea New RollM.xlsm]Ita!R7C25</stp>
        <tr r="Y7" s="7"/>
      </tp>
      <tp>
        <v>19586032000</v>
        <stp/>
        <stp>##V3_BDPV12</stp>
        <stp>IT0004801541 Corp</stp>
        <stp>AMT_OUTSTANDING</stp>
        <stp>[Andrea New RollM.xlsm]Ita!R40C26</stp>
        <tr r="Z40" s="7"/>
      </tp>
      <tp>
        <v>25499297000</v>
        <stp/>
        <stp>##V3_BDPV12</stp>
        <stp>IT0004361041 Corp</stp>
        <stp>AMT_OUTSTANDING</stp>
        <stp>[Andrea New RollM.xlsm]Ita!R15C26</stp>
        <tr r="Z15" s="7"/>
      </tp>
    </main>
    <main first="marketviewexcelplugin.mkvxp">
      <tp>
        <v>-0.61243599999999998</v>
        <stp/>
        <stp>0</stp>
        <stp>EUR.PRICING_MAIN.PXE.FR0011523257</stp>
        <stp>CurrentClosingYieldMid</stp>
        <tr r="J27" s="23"/>
      </tp>
      <tp>
        <v>0.62553700000000001</v>
        <stp/>
        <stp>0</stp>
        <stp>EUR.PRICING_MAIN.PXE.FR0012993103</stp>
        <stp>CurrentClosingYieldMid</stp>
        <tr r="J101" s="23"/>
      </tp>
      <tp>
        <v>0.99757899999999999</v>
        <stp/>
        <stp>0</stp>
        <stp>EUR.PRICING_MAIN.PXE.FR0010773192</stp>
        <stp>CurrentClosingYieldMid</stp>
        <tr r="J113" s="23"/>
      </tp>
      <tp>
        <v>-0.54195499999999996</v>
        <stp/>
        <stp>0</stp>
        <stp>EUR.PRICING_MAIN.PXE.FR0011993179</stp>
        <stp>CurrentClosingYieldMid</stp>
        <tr r="J40" s="23"/>
      </tp>
      <tp>
        <v>1.246883</v>
        <stp/>
        <stp>0</stp>
        <stp>EUR.PRICING_MAIN.PXE.ES0000011868</stp>
        <stp>CurrentClosingYieldMid</stp>
        <tr r="J213" s="23"/>
      </tp>
      <tp>
        <v>0.53380099999999997</v>
        <stp/>
        <stp>0</stp>
        <stp>EUR.PRICING_MAIN.PXE.FR0011883966</stp>
        <stp>CurrentClosingYieldMid</stp>
        <tr r="J99" s="23"/>
      </tp>
    </main>
    <main first="bloomberg.rtd">
      <tp>
        <v>108.19</v>
        <stp/>
        <stp>##V3_BDPV12</stp>
        <stp>IT0004361041 Corp</stp>
        <stp>BID</stp>
        <stp>[Andrea New RollM.xlsm]CCT!R29C7</stp>
        <tr r="G29" s="27"/>
      </tp>
      <tp>
        <v>102.79</v>
        <stp/>
        <stp>##V3_BDPV12</stp>
        <stp>IT0004793474 Corp</stp>
        <stp>BID</stp>
        <stp>[Andrea New RollM.xlsm]CCT!R23C7</stp>
        <tr r="G23" s="27"/>
      </tp>
      <tp>
        <v>4.0129999999999999</v>
        <stp/>
        <stp>##V3_BDPV12</stp>
        <stp>PTOTEBOE0020@CBBT Corp</stp>
        <stp>YAS_BOND_YLD</stp>
        <stp>[Andrea New RollM.xlsm]DB!R233C19</stp>
        <stp>SETTLE_DT=20160909</stp>
        <stp>YAS_BOND_PX=101.445</stp>
        <tr r="S233" s="23"/>
      </tp>
      <tp>
        <v>0.03</v>
        <stp/>
        <stp>##V3_BDPV12</stp>
        <stp>IT0005177271@CBBT Corp</stp>
        <stp>YAS_BOND_YLD</stp>
        <stp>[Andrea New RollM.xlsm]DB!R33C17</stp>
        <stp>SETTLE_DT=20161011</stp>
        <stp>YAS_BOND_PX=100.175</stp>
        <tr r="Q33" s="23"/>
      </tp>
      <tp>
        <v>-0.53200000000000003</v>
        <stp/>
        <stp>##V3_BDPV12</stp>
        <stp>FR0013101466@CBBT Corp</stp>
        <stp>YAS_BOND_YLD</stp>
        <stp>[Andrea New RollM.xlsm]DB!R30C19</stp>
        <stp>SETTLE_DT=20160909</stp>
        <stp>YAS_BOND_PX=101.322</stp>
        <tr r="S30" s="23"/>
      </tp>
      <tp>
        <v>1.5230000000000001</v>
        <stp/>
        <stp>##V3_BDPV12</stp>
        <stp>IT0001278511@CBBT Corp</stp>
        <stp>YAS_BOND_YLD</stp>
        <stp>[Andrea New RollM.xlsm]DB!R97C19</stp>
        <stp>SETTLE_DT=20160909</stp>
        <stp>YAS_BOND_PX=144.325</stp>
        <tr r="S97" s="23"/>
      </tp>
      <tp>
        <v>-0.55400000000000005</v>
        <stp/>
        <stp>##V3_BDPV12</stp>
        <stp>FR0010415331@CBBT Corp</stp>
        <stp>YAS_BOND_YLD</stp>
        <stp>[Andrea New RollM.xlsm]DB!R10C19</stp>
        <stp>SETTLE_DT=20160909</stp>
        <stp>YAS_BOND_PX=102.703</stp>
        <tr r="S10" s="23"/>
      </tp>
      <tp>
        <v>1.4419999999999999</v>
        <stp/>
        <stp>##V3_BDPV12</stp>
        <stp>IT0004889033@CBBT Corp</stp>
        <stp>YAS_BOND_YLD</stp>
        <stp>[Andrea New RollM.xlsm]DB!R96C19</stp>
        <stp>SETTLE_DT=20160909</stp>
        <stp>YAS_BOND_PX=136.337</stp>
        <tr r="S96" s="23"/>
      </tp>
      <tp>
        <v>0.85899999999999999</v>
        <stp/>
        <stp>##V3_BDPV12</stp>
        <stp>IT0000366655@CBBT Corp</stp>
        <stp>YAS_BOND_YLD</stp>
        <stp>[Andrea New RollM.xlsm]DB!R76C17</stp>
        <stp>SETTLE_DT=20161011</stp>
        <stp>YAS_BOND_PX=155.555</stp>
        <tr r="Q76" s="23"/>
      </tp>
      <tp>
        <v>0.35699999999999998</v>
        <stp/>
        <stp>##V3_BDPV12</stp>
        <stp>FR0011317783@CBBT Corp</stp>
        <stp>YAS_BOND_YLD</stp>
        <stp>[Andrea New RollM.xlsm]DB!R94C17</stp>
        <stp>SETTLE_DT=20161011</stp>
        <stp>YAS_BOND_PX=125.856</stp>
        <tr r="Q94" s="23"/>
      </tp>
      <tp>
        <v>0.61099999999999999</v>
        <stp/>
        <stp>##V3_BDPV12</stp>
        <stp>IT0004801541@CBBT Corp</stp>
        <stp>YAS_BOND_YLD</stp>
        <stp>[Andrea New RollM.xlsm]DB!R66C17</stp>
        <stp>SETTLE_DT=20161011</stp>
        <stp>YAS_BOND_PX=128.242</stp>
        <tr r="Q66" s="23"/>
      </tp>
      <tp>
        <v>-1E-3</v>
        <stp/>
        <stp>##V3_BDPV12</stp>
        <stp>IT0004423957@CBBT Corp</stp>
        <stp>YAS_BOND_YLD</stp>
        <stp>[Andrea New RollM.xlsm]DB!R31C17</stp>
        <stp>SETTLE_DT=20161011</stp>
        <stp>YAS_BOND_PX=110.755</stp>
        <tr r="Q31" s="23"/>
      </tp>
      <tp>
        <v>-0.38900000000000001</v>
        <stp/>
        <stp>##V3_BDPV12</stp>
        <stp>FR0010192997@CBBT Corp</stp>
        <stp>YAS_BOND_YLD</stp>
        <stp>[Andrea New RollM.xlsm]DB!R53C19</stp>
        <stp>SETTLE_DT=20160909</stp>
        <stp>YAS_BOND_PX=119.357</stp>
        <tr r="S53" s="23"/>
      </tp>
      <tp>
        <v>0.63</v>
        <stp/>
        <stp>##V3_BDPV12</stp>
        <stp>IT0005135840@CBBT Corp</stp>
        <stp>YAS_BOND_YLD</stp>
        <stp>[Andrea New RollM.xlsm]DB!R67C17</stp>
        <stp>SETTLE_DT=20161011</stp>
        <stp>YAS_BOND_PX=104.768</stp>
        <tr r="Q67" s="23"/>
      </tp>
      <tp>
        <v>16393155999.999998</v>
        <stp/>
        <stp>##V3_BDPV12</stp>
        <stp>IT0005030504 Corp</stp>
        <stp>AMT_OUTSTANDING</stp>
        <stp>[Andrea New RollM.xlsm]Ita!R22C26</stp>
        <tr r="Z22" s="7"/>
      </tp>
      <tp>
        <v>11640000000</v>
        <stp/>
        <stp>##V3_BDPV12</stp>
        <stp>IT0005210650 Corp</stp>
        <stp>AMT_OUTSTANDING</stp>
        <stp>[Andrea New RollM.xlsm]Ita!R57C26</stp>
        <tr r="Z57" s="7"/>
      </tp>
      <tp t="s">
        <v>14/02/2002</v>
        <stp/>
        <stp>##V3_BDPV12</stp>
        <stp>IT0003242747 Corp</stp>
        <stp>ISSUE_DT</stp>
        <stp>[Andrea New RollM.xlsm]Ita!R9C25</stp>
        <tr r="Y9" s="7"/>
      </tp>
      <tp>
        <v>19786723000</v>
        <stp/>
        <stp>##V3_BDPV12</stp>
        <stp>IT0005090318 Corp</stp>
        <stp>AMT_OUTSTANDING</stp>
        <stp>[Andrea New RollM.xlsm]Ita!R52C26</stp>
        <tr r="Z52" s="7"/>
      </tp>
      <tp>
        <v>16624500000</v>
        <stp/>
        <stp>##V3_BDPV12</stp>
        <stp>IT0005170839 Corp</stp>
        <stp>AMT_OUTSTANDING</stp>
        <stp>[Andrea New RollM.xlsm]Ita!R55C26</stp>
        <tr r="Z55" s="7"/>
      </tp>
      <tp>
        <v>0.182</v>
        <stp/>
        <stp>##V3_BDPV12</stp>
        <stp>EUSWE10 CMPN Curncy</stp>
        <stp>ask</stp>
        <stp>[Andrea New RollM.xlsm]Crv!R33C5</stp>
        <tr r="E33" s="1"/>
      </tp>
    </main>
    <main first="marketviewexcelplugin.mkvxp">
      <tp>
        <v>1.6709000000000002E-2</v>
        <stp/>
        <stp>0</stp>
        <stp>EUR.PRICING_MAIN.PXE.ES00000122T3</stp>
        <stp>CurrentClosingYieldMid</stp>
        <tr r="J198" s="23"/>
      </tp>
      <tp>
        <v>-2.4306999999999999E-2</v>
        <stp/>
        <stp>0</stp>
        <stp>EUR.PRICING_MAIN.PXE.ES00000122D7</stp>
        <stp>CurrentClosingYieldMid</stp>
        <tr r="J196" s="23"/>
      </tp>
      <tp>
        <v>0.897316</v>
        <stp/>
        <stp>0</stp>
        <stp>EUR.PRICING_MAIN.PXE.ES00000122E5</stp>
        <stp>CurrentClosingYieldMid</stp>
        <tr r="J207" s="23"/>
      </tp>
      <tp>
        <v>0.35790100000000002</v>
        <stp/>
        <stp>0</stp>
        <stp>EUR.PRICING_MAIN.PXE.ES00000123U9</stp>
        <stp>CurrentClosingYieldMid</stp>
        <tr r="J201" s="23"/>
      </tp>
      <tp>
        <v>-0.24160200000000001</v>
        <stp/>
        <stp>0</stp>
        <stp>EUR.PRICING_MAIN.PXE.ES00000123Q7</stp>
        <stp>CurrentClosingYieldMid</stp>
        <tr r="J187" s="23"/>
      </tp>
      <tp>
        <v>0.52210199999999996</v>
        <stp/>
        <stp>0</stp>
        <stp>EUR.PRICING_MAIN.PXE.ES00000123X3</stp>
        <stp>CurrentClosingYieldMid</stp>
        <tr r="J202" s="23"/>
      </tp>
      <tp>
        <v>6.5151000000000001E-2</v>
        <stp/>
        <stp>0</stp>
        <stp>EUR.PRICING_MAIN.PXE.ES00000123B9</stp>
        <stp>CurrentClosingYieldMid</stp>
        <tr r="J199" s="23"/>
      </tp>
      <tp>
        <v>1.0370079999999999</v>
        <stp/>
        <stp>0</stp>
        <stp>EUR.PRICING_MAIN.PXE.ES00000123C7</stp>
        <stp>CurrentClosingYieldMid</stp>
        <tr r="J210" s="23"/>
      </tp>
      <tp>
        <v>-0.48604700000000001</v>
        <stp/>
        <stp>0</stp>
        <stp>EUR.PRICING_MAIN.PXE.ES00000123J2</stp>
        <stp>CurrentClosingYieldMid</stp>
        <tr r="J182" s="23"/>
      </tp>
      <tp>
        <v>0.184556</v>
        <stp/>
        <stp>0</stp>
        <stp>EUR.PRICING_MAIN.PXE.ES00000123K0</stp>
        <stp>CurrentClosingYieldMid</stp>
        <tr r="J200" s="23"/>
      </tp>
      <tp>
        <v>1.9267160000000001</v>
        <stp/>
        <stp>0</stp>
        <stp>EUR.PRICING_MAIN.PXE.ES00000120N0</stp>
        <stp>CurrentClosingYieldMid</stp>
        <tr r="J217" s="23"/>
      </tp>
      <tp>
        <v>-0.32921099999999998</v>
        <stp/>
        <stp>0</stp>
        <stp>EUR.PRICING_MAIN.PXE.ES00000120J8</stp>
        <stp>CurrentClosingYieldMid</stp>
        <tr r="J183" s="23"/>
      </tp>
      <tp>
        <v>1.9590289999999999</v>
        <stp/>
        <stp>0</stp>
        <stp>EUR.PRICING_MAIN.PXE.ES00000121S7</stp>
        <stp>CurrentClosingYieldMid</stp>
        <tr r="J218" s="23"/>
      </tp>
      <tp>
        <v>0.58441399999999999</v>
        <stp/>
        <stp>0</stp>
        <stp>EUR.PRICING_MAIN.PXE.ES00000121G2</stp>
        <stp>CurrentClosingYieldMid</stp>
        <tr r="J203" s="23"/>
      </tp>
      <tp>
        <v>-0.21845000000000001</v>
        <stp/>
        <stp>0</stp>
        <stp>EUR.PRICING_MAIN.PXE.ES00000121A5</stp>
        <stp>CurrentClosingYieldMid</stp>
        <tr r="J189" s="23"/>
      </tp>
      <tp>
        <v>-9.0311000000000002E-2</v>
        <stp/>
        <stp>0</stp>
        <stp>EUR.PRICING_MAIN.PXE.ES00000121L2</stp>
        <stp>CurrentClosingYieldMid</stp>
        <tr r="J193" s="23"/>
      </tp>
      <tp>
        <v>-6.7324999999999996E-2</v>
        <stp/>
        <stp>0</stp>
        <stp>EUR.PRICING_MAIN.PXE.ES00000121O6</stp>
        <stp>CurrentClosingYieldMid</stp>
        <tr r="J194" s="23"/>
      </tp>
      <tp>
        <v>0.77215500000000004</v>
        <stp/>
        <stp>0</stp>
        <stp>EUR.PRICING_MAIN.PXE.FR0010070060</stp>
        <stp>CurrentClosingYieldMid</stp>
        <tr r="J106" s="23"/>
      </tp>
      <tp>
        <v>-0.26232299999999997</v>
        <stp/>
        <stp>0</stp>
        <stp>EUR.PRICING_MAIN.PXE.ES00000126V0</stp>
        <stp>CurrentClosingYieldMid</stp>
        <tr r="J186" s="23"/>
      </tp>
      <tp>
        <v>0.842333</v>
        <stp/>
        <stp>0</stp>
        <stp>EUR.PRICING_MAIN.PXE.ES00000126Z1</stp>
        <stp>CurrentClosingYieldMid</stp>
        <tr r="J206" s="23"/>
      </tp>
      <tp>
        <v>0.765351</v>
        <stp/>
        <stp>0</stp>
        <stp>EUR.PRICING_MAIN.PXE.ES00000126B2</stp>
        <stp>CurrentClosingYieldMid</stp>
        <tr r="J205" s="23"/>
      </tp>
      <tp>
        <v>-4.8235E-2</v>
        <stp/>
        <stp>0</stp>
        <stp>EUR.PRICING_MAIN.PXE.ES00000126C0</stp>
        <stp>CurrentClosingYieldMid</stp>
        <tr r="J195" s="23"/>
      </tp>
      <tp>
        <v>-0.60914000000000001</v>
        <stp/>
        <stp>0</stp>
        <stp>EUR.PRICING_MAIN.PXE.FR0010670737</stp>
        <stp>CurrentClosingYieldMid</stp>
        <tr r="J26" s="23"/>
      </tp>
      <tp>
        <v>1.017927</v>
        <stp/>
        <stp>0</stp>
        <stp>EUR.PRICING_MAIN.PXE.ES00000127Z9</stp>
        <stp>CurrentClosingYieldMid</stp>
        <tr r="J209" s="23"/>
      </tp>
      <tp>
        <v>-0.23516300000000001</v>
        <stp/>
        <stp>0</stp>
        <stp>EUR.PRICING_MAIN.PXE.ES00000127D6</stp>
        <stp>CurrentClosingYieldMid</stp>
        <tr r="J188" s="23"/>
      </tp>
      <tp>
        <v>0.953592</v>
        <stp/>
        <stp>0</stp>
        <stp>EUR.PRICING_MAIN.PXE.ES00000127G9</stp>
        <stp>CurrentClosingYieldMid</stp>
        <tr r="J208" s="23"/>
      </tp>
      <tp>
        <v>1.3736999999999999</v>
        <stp/>
        <stp>0</stp>
        <stp>EUR.PRICING_MAIN.PXE.ES00000127A2</stp>
        <stp>CurrentClosingYieldMid</stp>
        <tr r="J214" s="23"/>
      </tp>
      <tp>
        <v>-5.4609999999999997E-3</v>
        <stp/>
        <stp>0</stp>
        <stp>EUR.PRICING_MAIN.PXE.ES00000127H7</stp>
        <stp>CurrentClosingYieldMid</stp>
        <tr r="J197" s="23"/>
      </tp>
      <tp>
        <v>-0.28358699999999998</v>
        <stp/>
        <stp>0</stp>
        <stp>EUR.PRICING_MAIN.PXE.ES0000012783</stp>
        <stp>CurrentClosingYieldMid</stp>
        <tr r="J185" s="23"/>
      </tp>
      <tp>
        <v>-0.121596</v>
        <stp/>
        <stp>0</stp>
        <stp>EUR.PRICING_MAIN.PXE.ES00000124V5</stp>
        <stp>CurrentClosingYieldMid</stp>
        <tr r="J192" s="23"/>
      </tp>
      <tp>
        <v>0.67077699999999996</v>
        <stp/>
        <stp>0</stp>
        <stp>EUR.PRICING_MAIN.PXE.ES00000124W3</stp>
        <stp>CurrentClosingYieldMid</stp>
        <tr r="J204" s="23"/>
      </tp>
      <tp>
        <v>-0.23566899999999999</v>
        <stp/>
        <stp>0</stp>
        <stp>EUR.PRICING_MAIN.PXE.ES00000124B7</stp>
        <stp>CurrentClosingYieldMid</stp>
        <tr r="J190" s="23"/>
      </tp>
      <tp>
        <v>1.2497819999999999</v>
        <stp/>
        <stp>0</stp>
        <stp>EUR.PRICING_MAIN.PXE.ES00000124C5</stp>
        <stp>CurrentClosingYieldMid</stp>
        <tr r="J212" s="23"/>
      </tp>
      <tp>
        <v>2.0800969999999999</v>
        <stp/>
        <stp>0</stp>
        <stp>EUR.PRICING_MAIN.PXE.ES00000124H4</stp>
        <stp>CurrentClosingYieldMid</stp>
        <tr r="J219" s="23"/>
      </tp>
      <tp>
        <v>-0.29646</v>
        <stp/>
        <stp>0</stp>
        <stp>EUR.PRICING_MAIN.PXE.ES00000124I2</stp>
        <stp>CurrentClosingYieldMid</stp>
        <tr r="J184" s="23"/>
      </tp>
      <tp>
        <v>1.442342</v>
        <stp/>
        <stp>0</stp>
        <stp>EUR.PRICING_MAIN.PXE.ES0000012411</stp>
        <stp>CurrentClosingYieldMid</stp>
        <tr r="J215" s="23"/>
      </tp>
      <tp>
        <v>0.32600299999999999</v>
        <stp/>
        <stp>0</stp>
        <stp>EUR.PRICING_MAIN.PXE.FR0013200813</stp>
        <stp>CurrentClosingYieldMid</stp>
        <tr r="J92" s="23"/>
      </tp>
      <tp>
        <v>2.6267779999999998</v>
        <stp/>
        <stp>0</stp>
        <stp>EUR.PRICING_MAIN.PXE.ES00000128E2</stp>
        <stp>CurrentClosingYieldMid</stp>
        <tr r="J221" s="23"/>
      </tp>
      <tp>
        <v>-0.14976600000000001</v>
        <stp/>
        <stp>0</stp>
        <stp>EUR.PRICING_MAIN.PXE.ES00000128A0</stp>
        <stp>CurrentClosingYieldMid</stp>
        <tr r="J191" s="23"/>
      </tp>
      <tp>
        <v>0.105106</v>
        <stp/>
        <stp>0</stp>
        <stp>EUR.PRICING_MAIN.PXE.ES00000128B8</stp>
        <stp>CurrentClosingYieldMid</stp>
        <tr r="J57" s="23"/>
      </tp>
      <tp>
        <v>2.1533030000000002</v>
        <stp/>
        <stp>0</stp>
        <stp>EUR.PRICING_MAIN.PXE.ES00000128C6</stp>
        <stp>CurrentClosingYieldMid</stp>
        <tr r="J220" s="23"/>
      </tp>
      <tp>
        <v>1.087224</v>
        <stp/>
        <stp>0</stp>
        <stp>EUR.PRICING_MAIN.PXE.ES00000128H5</stp>
        <stp>CurrentClosingYieldMid</stp>
        <tr r="J211" s="23"/>
      </tp>
      <tp>
        <v>1.327887</v>
        <stp/>
        <stp>0</stp>
        <stp>EUR.PRICING_MAIN.PXE.FR0010870956</stp>
        <stp>CurrentClosingYieldMid</stp>
        <tr r="J120" s="23"/>
      </tp>
      <tp>
        <v>1.7582880000000001</v>
        <stp/>
        <stp>0</stp>
        <stp>EUR.PRICING_MAIN.PXE.ES0000012932</stp>
        <stp>CurrentClosingYieldMid</stp>
        <tr r="J216" s="23"/>
      </tp>
    </main>
    <main first="marketviewexcelplugin.mkvxp">
      <tp>
        <v>-0.52041700000000002</v>
        <stp/>
        <stp>0</stp>
        <stp>EUR.PRICING_MAIN.PXE.IE00B8DLLB38</stp>
        <stp>CurrentClosingYieldMid</stp>
        <tr r="J237" s="23"/>
      </tp>
    </main>
    <main first="bloomberg.rtd">
      <tp>
        <v>0.33800000000000002</v>
        <stp/>
        <stp>##V3_BDPV12</stp>
        <stp>IT0004966401@CBBT Corp</stp>
        <stp>YAS_BOND_YLD</stp>
        <stp>[Andrea New RollM.xlsm]DB!R54C17</stp>
        <stp>SETTLE_DT=20161011</stp>
        <stp>YAS_BOND_PX=115.415</stp>
        <tr r="Q54" s="23"/>
      </tp>
      <tp>
        <v>-7.9000000000000001E-2</v>
        <stp/>
        <stp>##V3_BDPV12</stp>
        <stp>FR0011619436@CBBT Corp</stp>
        <stp>YAS_BOND_YLD</stp>
        <stp>[Andrea New RollM.xlsm]DB!R78C19</stp>
        <stp>SETTLE_DT=20160909</stp>
        <stp>YAS_BOND_PX=118.014</stp>
        <tr r="S78" s="23"/>
      </tp>
      <tp>
        <v>-0.42</v>
        <stp/>
        <stp>##V3_BDPV12</stp>
        <stp>FR0012968337@CBBT Corp</stp>
        <stp>YAS_BOND_YLD</stp>
        <stp>[Andrea New RollM.xlsm]DB!R51C19</stp>
        <stp>SETTLE_DT=20160909</stp>
        <stp>YAS_BOND_PX=102.853</stp>
        <tr r="S51" s="23"/>
      </tp>
      <tp>
        <v>-0.53800000000000003</v>
        <stp/>
        <stp>##V3_BDPV12</stp>
        <stp>FR0012557957@CBBT Corp</stp>
        <stp>YAS_BOND_YLD</stp>
        <stp>[Andrea New RollM.xlsm]DB!R46C18</stp>
        <stp>SETTLE_DT=20161004</stp>
        <stp>YAS_BOND_PX=101.981</stp>
        <tr r="R46" s="23"/>
      </tp>
      <tp>
        <v>-0.57999999999999996</v>
        <stp/>
        <stp>##V3_BDPV12</stp>
        <stp>FR0011394345@CBBT Corp</stp>
        <stp>YAS_BOND_YLD</stp>
        <stp>[Andrea New RollM.xlsm]DB!R22C19</stp>
        <stp>SETTLE_DT=20160909</stp>
        <stp>YAS_BOND_PX=102.718</stp>
        <tr r="S22" s="23"/>
      </tp>
      <tp>
        <v>9.6000000000000002E-2</v>
        <stp/>
        <stp>##V3_BDPV12</stp>
        <stp>FR0012517027@CBBT Corp</stp>
        <stp>YAS_BOND_YLD</stp>
        <stp>[Andrea New RollM.xlsm]DB!R83C19</stp>
        <stp>SETTLE_DT=20160909</stp>
        <stp>YAS_BOND_PX=103.505</stp>
        <tr r="S83" s="23"/>
      </tp>
      <tp>
        <v>4.8000000000000001E-2</v>
        <stp/>
        <stp>##V3_BDPV12</stp>
        <stp>IT0005030504@CBBT Corp</stp>
        <stp>YAS_BOND_YLD</stp>
        <stp>[Andrea New RollM.xlsm]DB!R36C17</stp>
        <stp>SETTLE_DT=20161011</stp>
        <stp>YAS_BOND_PX=104.073</stp>
        <tr r="Q36" s="23"/>
      </tp>
      <tp>
        <v>1.6659999999999999</v>
        <stp/>
        <stp>##V3_BDPV12</stp>
        <stp>IT0001278511@CBBT Corp</stp>
        <stp>YAS_BOND_YLD</stp>
        <stp>[Andrea New RollM.xlsm]DB!R97C17</stp>
        <stp>SETTLE_DT=20161011</stp>
        <stp>YAS_BOND_PX=141.997</stp>
        <tr r="Q97" s="23"/>
      </tp>
      <tp>
        <v>23264571000</v>
        <stp/>
        <stp>##V3_BDPV12</stp>
        <stp>IT0004953417 Corp</stp>
        <stp>AMT_OUTSTANDING</stp>
        <stp>[Andrea New RollM.xlsm]Ita!R48C26</stp>
        <tr r="Z48" s="7"/>
      </tp>
      <tp>
        <v>22975933000</v>
        <stp/>
        <stp>##V3_BDPV12</stp>
        <stp>IT0004273493 Corp</stp>
        <stp>AMT_OUTSTANDING</stp>
        <stp>[Andrea New RollM.xlsm]Ita!R12C26</stp>
        <tr r="Z12" s="7"/>
      </tp>
      <tp>
        <v>24629574000</v>
        <stp/>
        <stp>##V3_BDPV12</stp>
        <stp>IT0003493258 Corp</stp>
        <stp>AMT_OUTSTANDING</stp>
        <stp>[Andrea New RollM.xlsm]Ita!R18C26</stp>
        <tr r="Z18" s="7"/>
      </tp>
      <tp>
        <v>23868669000</v>
        <stp/>
        <stp>##V3_BDPV12</stp>
        <stp>IT0004513641 Corp</stp>
        <stp>AMT_OUTSTANDING</stp>
        <stp>[Andrea New RollM.xlsm]Ita!R51C26</stp>
        <tr r="Z51" s="7"/>
      </tp>
      <tp>
        <v>13990724000</v>
        <stp/>
        <stp>##V3_BDPV12</stp>
        <stp>IT0005083057 Corp</stp>
        <stp>AMT_OUTSTANDING</stp>
        <stp>[Andrea New RollM.xlsm]Ita!R71C26</stp>
        <tr r="Z71" s="7"/>
      </tp>
      <tp>
        <v>115.455</v>
        <stp/>
        <stp>##V3_BDHV12</stp>
        <stp>IE00BV8C9186@CBBT Corp</stp>
        <stp>OPEN</stp>
        <stp>11/10/2016 4:15:00 PM</stp>
        <stp>11/10/2016 5:15:00 PM</stp>
        <stp>[Andrea New RollM.xlsm]DB!R249C14</stp>
        <stp>BarSz=60</stp>
        <stp>BarTp=T</stp>
        <stp>RecurDaily=True</stp>
        <stp>TZ=London</stp>
        <stp>DTS=H</stp>
        <tr r="N249" s="23"/>
      </tp>
      <tp>
        <v>-0.33</v>
        <stp/>
        <stp>##V3_BDPV12</stp>
        <stp>EUSWE2Z CMPN Curncy</stp>
        <stp>ask</stp>
        <stp>[Andrea New RollM.xlsm]Crv!R10C5</stp>
        <tr r="E10" s="1"/>
      </tp>
      <tp>
        <v>15620763000</v>
        <stp/>
        <stp>##V3_BDPV12</stp>
        <stp>IT0004923998 Corp</stp>
        <stp>AMT_OUTSTANDING</stp>
        <stp>[Andrea New RollM.xlsm]Ita!R70C26</stp>
        <tr r="Z70" s="7"/>
      </tp>
      <tp>
        <v>24149228000.000004</v>
        <stp/>
        <stp>##V3_BDPV12</stp>
        <stp>IT0004423957 Corp</stp>
        <stp>AMT_OUTSTANDING</stp>
        <stp>[Andrea New RollM.xlsm]Ita!R19C26</stp>
        <tr r="Z19" s="7"/>
      </tp>
      <tp>
        <v>2.931</v>
        <stp/>
        <stp>##V3_BDPV12</stp>
        <stp>IT0005217390@CBBT Corp</stp>
        <stp>YAS_BOND_YLD</stp>
        <stp>[Andrea New RollM.xlsm]DB!R118C17</stp>
        <stp>SETTLE_DT=20161011</stp>
        <stp>YAS_BOND_PX=97.11</stp>
        <tr r="Q118" s="23"/>
      </tp>
      <tp>
        <v>-0.38</v>
        <stp/>
        <stp>##V3_BDPV12</stp>
        <stp>EUSWE1F CMPN Curncy</stp>
        <stp>ask</stp>
        <stp>[Andrea New RollM.xlsm]Crv!R23C5</stp>
        <tr r="E23" s="1"/>
      </tp>
    </main>
    <main first="marketviewexcelplugin.mkvxp">
      <tp t="s">
        <v>IRISH</v>
        <stp/>
        <stp>0</stp>
        <stp>EUR.CM_INSTRUMENT.PXE.IE00B4TV0D44</stp>
        <stp>Ticker</stp>
        <tr r="B246" s="23"/>
      </tp>
    </main>
    <main first="bloomberg.rtd">
      <tp>
        <v>0.82050000000000001</v>
        <stp/>
        <stp>##V3_BDPV12</stp>
        <stp>EUSWE35 CMPN Curncy</stp>
        <stp>ask</stp>
        <stp>[Andrea New RollM.xlsm]Crv!R40C5</stp>
        <tr r="E40" s="1"/>
      </tp>
      <tp>
        <v>106.13200000000001</v>
        <stp/>
        <stp>##V3_BDHV12</stp>
        <stp>IE00B8DLLB38@CBBT Corp</stp>
        <stp>OPEN</stp>
        <stp>11/10/2016 4:15:00 PM</stp>
        <stp>11/10/2016 5:15:00 PM</stp>
        <stp>[Andrea New RollM.xlsm]DB!R237C14</stp>
        <stp>BarSz=60</stp>
        <stp>BarTp=T</stp>
        <stp>RecurDaily=True</stp>
        <stp>TZ=London</stp>
        <stp>DTS=H</stp>
        <tr r="N237" s="23"/>
      </tp>
    </main>
    <main first="marketviewexcelplugin.mkvxp">
      <tp>
        <v>1.136201</v>
        <stp/>
        <stp>0</stp>
        <stp>EUR.PRICING_MAIN.PXE.FR0011461037</stp>
        <stp>CurrentClosingYieldMid</stp>
        <tr r="J115" s="23"/>
      </tp>
      <tp>
        <v>-0.59103799999999995</v>
        <stp/>
        <stp>0</stp>
        <stp>EUR.PRICING_MAIN.PXE.FR0013101466</stp>
        <stp>CurrentClosingYieldMid</stp>
        <tr r="J30" s="23"/>
      </tp>
      <tp>
        <v>0.92869599999999997</v>
        <stp/>
        <stp>0</stp>
        <stp>EUR.PRICING_MAIN.PXE.FR0010371401</stp>
        <stp>CurrentClosingYieldMid</stp>
        <tr r="J110" s="23"/>
      </tp>
      <tp>
        <v>0.26358799999999999</v>
        <stp/>
        <stp>0</stp>
        <stp>EUR.PRICING_MAIN.PXE.FR0013131877</stp>
        <stp>CurrentClosingYieldMid</stp>
        <tr r="J89" s="23"/>
      </tp>
      <tp>
        <v>1.283555</v>
        <stp/>
        <stp>0</stp>
        <stp>EUR.PRICING_MAIN.PXE.FR0010171975</stp>
        <stp>CurrentClosingYieldMid</stp>
        <tr r="J119" s="23"/>
      </tp>
      <tp>
        <v>3.5133999999999999E-2</v>
        <stp/>
        <stp>0</stp>
        <stp>EUR.PRICING_MAIN.PXE.DE0001102408</stp>
        <stp>CurrentClosingYieldMid</stp>
        <tr r="J169" s="23"/>
      </tp>
      <tp>
        <v>-0.28662300000000002</v>
        <stp/>
        <stp>0</stp>
        <stp>EUR.PRICING_MAIN.PXE.DE0001102358</stp>
        <stp>CurrentClosingYieldMid</stp>
        <tr r="J164" s="23"/>
      </tp>
      <tp>
        <v>0.66108500000000003</v>
        <stp/>
        <stp>0</stp>
        <stp>EUR.PRICING_MAIN.PXE.DE0001102341</stp>
        <stp>CurrentClosingYieldMid</stp>
        <tr r="J181" s="23"/>
      </tp>
      <tp>
        <v>-0.196489</v>
        <stp/>
        <stp>0</stp>
        <stp>EUR.PRICING_MAIN.PXE.DE0001102374</stp>
        <stp>CurrentClosingYieldMid</stp>
        <tr r="J166" s="23"/>
      </tp>
      <tp>
        <v>-0.25471500000000002</v>
        <stp/>
        <stp>0</stp>
        <stp>EUR.PRICING_MAIN.PXE.DE0001102366</stp>
        <stp>CurrentClosingYieldMid</stp>
        <tr r="J165" s="23"/>
      </tp>
      <tp>
        <v>-0.38695499999999999</v>
        <stp/>
        <stp>0</stp>
        <stp>EUR.PRICING_MAIN.PXE.DE0001102317</stp>
        <stp>CurrentClosingYieldMid</stp>
        <tr r="J160" s="23"/>
      </tp>
      <tp>
        <v>-0.40250599999999997</v>
        <stp/>
        <stp>0</stp>
        <stp>EUR.PRICING_MAIN.PXE.DE0001102309</stp>
        <stp>CurrentClosingYieldMid</stp>
        <tr r="J159" s="23"/>
      </tp>
      <tp>
        <v>-0.31564500000000001</v>
        <stp/>
        <stp>0</stp>
        <stp>EUR.PRICING_MAIN.PXE.DE0001102333</stp>
        <stp>CurrentClosingYieldMid</stp>
        <tr r="J163" s="23"/>
      </tp>
      <tp>
        <v>-0.36936000000000002</v>
        <stp/>
        <stp>0</stp>
        <stp>EUR.PRICING_MAIN.PXE.DE0001102325</stp>
        <stp>CurrentClosingYieldMid</stp>
        <tr r="J161" s="23"/>
      </tp>
      <tp>
        <v>-3.8346999999999999E-2</v>
        <stp/>
        <stp>0</stp>
        <stp>EUR.PRICING_MAIN.PXE.DE0001102390</stp>
        <stp>CurrentClosingYieldMid</stp>
        <tr r="J168" s="23"/>
      </tp>
      <tp>
        <v>-0.123053</v>
        <stp/>
        <stp>0</stp>
        <stp>EUR.PRICING_MAIN.PXE.DE0001102382</stp>
        <stp>CurrentClosingYieldMid</stp>
        <tr r="J167" s="23"/>
      </tp>
    </main>
    <main first="bloomberg.rtd">
      <tp>
        <v>-0.57299999999999995</v>
        <stp/>
        <stp>##V3_BDPV12</stp>
        <stp>FR0000189151@CBBT Corp</stp>
        <stp>YAS_BOND_YLD</stp>
        <stp>[Andrea New RollM.xlsm]DB!R32C17</stp>
        <stp>SETTLE_DT=20161011</stp>
        <stp>YAS_BOND_PX=112.365</stp>
        <tr r="Q32" s="23"/>
      </tp>
      <tp>
        <v>1.2999999999999999E-2</v>
        <stp/>
        <stp>##V3_BDPV12</stp>
        <stp>FR0011962398@CBBT Corp</stp>
        <stp>YAS_BOND_YLD</stp>
        <stp>[Andrea New RollM.xlsm]DB!R80C19</stp>
        <stp>SETTLE_DT=20160909</stp>
        <stp>YAS_BOND_PX=114.255</stp>
        <tr r="S80" s="23"/>
      </tp>
      <tp>
        <v>0.48099999999999998</v>
        <stp/>
        <stp>##V3_BDPV12</stp>
        <stp>IT0004759673@CBBT Corp</stp>
        <stp>YAS_BOND_YLD</stp>
        <stp>[Andrea New RollM.xlsm]DB!R63C19</stp>
        <stp>SETTLE_DT=20160909</stp>
        <stp>YAS_BOND_PX=124.408</stp>
        <tr r="S63" s="23"/>
      </tp>
      <tp>
        <v>0.17299999999999999</v>
        <stp/>
        <stp>##V3_BDPV12</stp>
        <stp>FR0012938116@CBBT Corp</stp>
        <stp>YAS_BOND_YLD</stp>
        <stp>[Andrea New RollM.xlsm]DB!R85C17</stp>
        <stp>SETTLE_DT=20161011</stp>
        <stp>YAS_BOND_PX=107.478</stp>
        <tr r="Q85" s="23"/>
      </tp>
      <tp>
        <v>1.159</v>
        <stp/>
        <stp>##V3_BDPV12</stp>
        <stp>IT0004513641@CBBT Corp</stp>
        <stp>YAS_BOND_YLD</stp>
        <stp>[Andrea New RollM.xlsm]DB!R82C17</stp>
        <stp>SETTLE_DT=20161011</stp>
        <stp>YAS_BOND_PX=130.645</stp>
        <tr r="Q82" s="23"/>
      </tp>
      <tp>
        <v>-0.51900000000000002</v>
        <stp/>
        <stp>##V3_BDPV12</stp>
        <stp>FR0011993179@CBBT Corp</stp>
        <stp>YAS_BOND_YLD</stp>
        <stp>[Andrea New RollM.xlsm]DB!R40C19</stp>
        <stp>SETTLE_DT=20160909</stp>
        <stp>YAS_BOND_PX=103.308</stp>
        <tr r="S40" s="23"/>
      </tp>
      <tp>
        <v>-0.13900000000000001</v>
        <stp/>
        <stp>##V3_BDPV12</stp>
        <stp>IT0003242747@CBBT Corp</stp>
        <stp>YAS_BOND_YLD</stp>
        <stp>[Andrea New RollM.xlsm]DB!R14C19</stp>
        <stp>SETTLE_DT=20160909</stp>
        <stp>YAS_BOND_PX=104.823</stp>
        <tr r="S14" s="23"/>
      </tp>
      <tp>
        <v>1.4E-2</v>
        <stp/>
        <stp>##V3_BDPV12</stp>
        <stp>IT0005030504@CBBT Corp</stp>
        <stp>YAS_BOND_YLD</stp>
        <stp>[Andrea New RollM.xlsm]DB!R36C18</stp>
        <stp>SETTLE_DT=20161004</stp>
        <stp>YAS_BOND_PX=104.198</stp>
        <tr r="R36" s="23"/>
      </tp>
      <tp>
        <v>0.33</v>
        <stp/>
        <stp>##V3_BDPV12</stp>
        <stp>FR0011317783@CBBT Corp</stp>
        <stp>YAS_BOND_YLD</stp>
        <stp>[Andrea New RollM.xlsm]DB!R94C19</stp>
        <stp>SETTLE_DT=20160909</stp>
        <stp>YAS_BOND_PX=126.396</stp>
        <tr r="S94" s="23"/>
      </tp>
      <tp>
        <v>-0.55500000000000005</v>
        <stp/>
        <stp>##V3_BDPV12</stp>
        <stp>FR0010604983@CBBT Corp</stp>
        <stp>YAS_BOND_YLD</stp>
        <stp>[Andrea New RollM.xlsm]DB!R20C19</stp>
        <stp>SETTLE_DT=20160909</stp>
        <stp>YAS_BOND_PX=107.458</stp>
        <tr r="S20" s="23"/>
      </tp>
      <tp>
        <v>-0.48599999999999999</v>
        <stp/>
        <stp>##V3_BDPV12</stp>
        <stp>FR0012968337@CBBT Corp</stp>
        <stp>YAS_BOND_YLD</stp>
        <stp>[Andrea New RollM.xlsm]DB!R51C18</stp>
        <stp>SETTLE_DT=20161004</stp>
        <stp>YAS_BOND_PX=103.087</stp>
        <tr r="R51" s="23"/>
      </tp>
      <tp>
        <v>7.1999999999999995E-2</v>
        <stp/>
        <stp>##V3_BDPV12</stp>
        <stp>IT0004536949@CBBT Corp</stp>
        <stp>YAS_BOND_YLD</stp>
        <stp>[Andrea New RollM.xlsm]DB!R43C18</stp>
        <stp>SETTLE_DT=20161004</stp>
        <stp>YAS_BOND_PX=114.223</stp>
        <tr r="R43" s="23"/>
      </tp>
      <tp t="s">
        <v>01/06/2012</v>
        <stp/>
        <stp>##V3_BDPV12</stp>
        <stp>IT0004820426 Corp</stp>
        <stp>ISSUE_DT</stp>
        <stp>[Andrea New RollM.xlsm]Ita!R8C25</stp>
        <tr r="Y8" s="7"/>
      </tp>
      <tp>
        <v>21547504999.999996</v>
        <stp/>
        <stp>##V3_BDPV12</stp>
        <stp>IT0004532559 Corp</stp>
        <stp>AMT_OUTSTANDING</stp>
        <stp>[Andrea New RollM.xlsm]Ita!R69C26</stp>
        <tr r="Z69" s="7"/>
      </tp>
      <tp>
        <v>14068700000</v>
        <stp/>
        <stp>##V3_BDPV12</stp>
        <stp>IT0005142143 Corp</stp>
        <stp>AMT_OUTSTANDING</stp>
        <stp>[Andrea New RollM.xlsm]Ita!R30C26</stp>
        <tr r="Z30" s="7"/>
      </tp>
      <tp>
        <v>16247000000</v>
        <stp/>
        <stp>##V3_BDPV12</stp>
        <stp>IT0005172322 Corp</stp>
        <stp>AMT_OUTSTANDING</stp>
        <stp>[Andrea New RollM.xlsm]Ita!R43C26</stp>
        <tr r="Z43" s="7"/>
      </tp>
      <tp>
        <v>18316158000</v>
        <stp/>
        <stp>##V3_BDPV12</stp>
        <stp>IT0004992308 Corp</stp>
        <stp>AMT_OUTSTANDING</stp>
        <stp>[Andrea New RollM.xlsm]Ita!R21C26</stp>
        <tr r="Z21" s="7"/>
      </tp>
      <tp t="s">
        <v>16/09/2013</v>
        <stp/>
        <stp>##V3_BDPV12</stp>
        <stp>IT0004960826 Corp</stp>
        <stp>ISSUE_DT</stp>
        <stp>[Andrea New RollM.xlsm]Ita!R3C25</stp>
        <tr r="Y3" s="7"/>
      </tp>
      <tp>
        <v>11633000000</v>
        <stp/>
        <stp>##V3_BDPV12</stp>
        <stp>IT0005162828 Corp</stp>
        <stp>AMT_OUTSTANDING</stp>
        <stp>[Andrea New RollM.xlsm]Ita!R72C26</stp>
        <tr r="Z72" s="7"/>
      </tp>
    </main>
    <main first="marketviewexcelplugin.mkvxp">
      <tp t="s">
        <v>PGB</v>
        <stp/>
        <stp>0</stp>
        <stp>EUR.CM_INSTRUMENT.PXE.PTOTE6OE0006</stp>
        <stp>Ticker</stp>
        <tr r="B222" s="23"/>
      </tp>
      <tp t="s">
        <v>PGB</v>
        <stp/>
        <stp>0</stp>
        <stp>EUR.CM_INSTRUMENT.PXE.PTOTE5OE0007</stp>
        <stp>Ticker</stp>
        <tr r="B235" s="23"/>
      </tp>
    </main>
    <main first="marketviewexcelplugin.mkvxp">
      <tp>
        <v>102.3805</v>
        <stp/>
        <stp>0</stp>
        <stp>EUR.PRICING_MAIN.PXE.FR0010415331</stp>
        <stp>CurrentClosingPriceMid</stp>
        <tr r="L10" s="23"/>
      </tp>
    </main>
    <main first="bloomberg.rtd">
      <tp t="s">
        <v>02/09/2013</v>
        <stp/>
        <stp>##V3_BDPV12</stp>
        <stp>IT0004957574 Corp</stp>
        <stp>ISSUE_DT</stp>
        <stp>[Andrea New RollM.xlsm]Ita!R17C25</stp>
        <tr r="Y17" s="7"/>
      </tp>
      <tp t="s">
        <v>01/03/2012</v>
        <stp/>
        <stp>##V3_BDPV12</stp>
        <stp>IT0004801541 Corp</stp>
        <stp>ISSUE_DT</stp>
        <stp>[Andrea New RollM.xlsm]Ita!R40C25</stp>
        <tr r="Y40" s="7"/>
      </tp>
      <tp t="s">
        <v>03/10/2016</v>
        <stp/>
        <stp>##V3_BDPV12</stp>
        <stp>IT0005216491 Corp</stp>
        <stp>ISSUE_DT</stp>
        <stp>[Andrea New RollM.xlsm]Ita!R36C25</stp>
        <tr r="Y36" s="7"/>
      </tp>
      <tp t="s">
        <v>15/10/2014</v>
        <stp/>
        <stp>##V3_BDPV12</stp>
        <stp>IT0005058463 Corp</stp>
        <stp>ISSUE_DT</stp>
        <stp>[Andrea New RollM.xlsm]Ita!R11C25</stp>
        <tr r="Y11" s="7"/>
      </tp>
      <tp t="s">
        <v>25/06/2003</v>
        <stp/>
        <stp>##V3_BDPV12</stp>
        <stp>IT0003493258 Corp</stp>
        <stp>ISSUE_DT</stp>
        <stp>[Andrea New RollM.xlsm]Ita!R18C25</stp>
        <tr r="Y18" s="7"/>
      </tp>
      <tp t="s">
        <v>16/09/2009</v>
        <stp/>
        <stp>##V3_BDPV12</stp>
        <stp>IT0004532559 Corp</stp>
        <stp>ISSUE_DT</stp>
        <stp>[Andrea New RollM.xlsm]Ita!R69C25</stp>
        <tr r="Y69" s="7"/>
      </tp>
      <tp>
        <v>112.08</v>
        <stp/>
        <stp>##V3_BDPV12</stp>
        <stp>IT0004489610 Corp</stp>
        <stp>ASK</stp>
        <stp>[Andrea New RollM.xlsm]CCT!R31C9</stp>
        <tr r="I31" s="27"/>
      </tp>
      <tp>
        <v>103.13</v>
        <stp/>
        <stp>##V3_BDPV12</stp>
        <stp>IT0005009839 Corp</stp>
        <stp>ASK</stp>
        <stp>[Andrea New RollM.xlsm]CCT!R10C9</stp>
        <tr r="I10" s="27"/>
      </tp>
      <tp>
        <v>4</v>
        <stp/>
        <stp>##V3_BDPV12</stp>
        <stp>IT0004594930 Corp</stp>
        <stp>CPN</stp>
        <stp>[Andrea New RollM.xlsm]CCT!R33C6</stp>
        <tr r="F33" s="27"/>
      </tp>
      <tp>
        <v>0.50900000000000001</v>
        <stp/>
        <stp>##V3_BDPV12</stp>
        <stp>IT0005185456 Corp</stp>
        <stp>CPN</stp>
        <stp>[Andrea New RollM.xlsm]CCT!R14C6</stp>
        <tr r="F14" s="27"/>
      </tp>
      <tp>
        <v>1.8780000000000001</v>
        <stp/>
        <stp>##V3_BDPV12</stp>
        <stp>PTOTEYOE0007@CBBT Corp</stp>
        <stp>YAS_BOND_YLD</stp>
        <stp>[Andrea New RollM.xlsm]DB!R227C19</stp>
        <stp>SETTLE_DT=20160909</stp>
        <stp>YAS_BOND_PX=108.602</stp>
        <tr r="S227" s="23"/>
      </tp>
    </main>
    <main first="marketviewexcelplugin.mkvxp">
      <tp t="s">
        <v>PGB</v>
        <stp/>
        <stp>0</stp>
        <stp>EUR.CM_INSTRUMENT.PXE.PTOTECOE0029</stp>
        <stp>Ticker</stp>
        <tr r="B226" s="23"/>
      </tp>
      <tp t="s">
        <v>PGB</v>
        <stp/>
        <stp>0</stp>
        <stp>EUR.CM_INSTRUMENT.PXE.PTOTEBOE0020</stp>
        <stp>Ticker</stp>
        <tr r="B236" s="23"/>
        <tr r="B233" s="23"/>
      </tp>
      <tp t="s">
        <v>PGB</v>
        <stp/>
        <stp>0</stp>
        <stp>EUR.CM_INSTRUMENT.PXE.PTOTEAOE0021</stp>
        <stp>Ticker</stp>
        <tr r="B229" s="23"/>
      </tp>
    </main>
    <main first="bloomberg.rtd">
      <tp>
        <v>142.04300000000001</v>
        <stp/>
        <stp>##V3_BDHV12</stp>
        <stp>IE00B4TV0D44@CBBT Corp</stp>
        <stp>OPEN</stp>
        <stp>09/09/2016 4:15:00 PM</stp>
        <stp>09/09/2016 5:15:00 PM</stp>
        <stp>[Andrea New RollM.xlsm]DB!R246C16</stp>
        <stp>BarSz=60</stp>
        <stp>BarTp=T</stp>
        <stp>RecurDaily=True</stp>
        <stp>TZ=London</stp>
        <stp>DTS=H</stp>
        <tr r="P246" s="23"/>
      </tp>
    </main>
    <main first="marketviewexcelplugin.mkvxp">
      <tp t="s">
        <v>PGB</v>
        <stp/>
        <stp>0</stp>
        <stp>EUR.CM_INSTRUMENT.PXE.PTOTEKOE0011</stp>
        <stp>Ticker</stp>
        <tr r="B231" s="23"/>
      </tp>
    </main>
    <main first="bloomberg.rtd">
      <tp>
        <v>1.8359999999999999</v>
        <stp/>
        <stp>##V3_BDPV12</stp>
        <stp>ES0000012932@CBBT Corp</stp>
        <stp>YAS_BOND_YLD</stp>
        <stp>[Andrea New RollM.xlsm]DB!R216C19</stp>
        <stp>SETTLE_DT=20160909</stp>
        <stp>YAS_BOND_PX=139.9</stp>
        <tr r="S216" s="23"/>
      </tp>
      <tp>
        <v>121.94199999999999</v>
        <stp/>
        <stp>##V3_BDHV12</stp>
        <stp>IE00B60Z6194@CBBT Corp</stp>
        <stp>OPEN</stp>
        <stp>04/10/2016 4:15:00 PM</stp>
        <stp>04/10/2016 5:15:00 PM</stp>
        <stp>[Andrea New RollM.xlsm]DB!R242C15</stp>
        <stp>BarSz=60</stp>
        <stp>BarTp=T</stp>
        <stp>RecurDaily=True</stp>
        <stp>TZ=London</stp>
        <stp>DTS=H</stp>
        <tr r="O242" s="23"/>
      </tp>
    </main>
    <main first="marketviewexcelplugin.mkvxp">
      <tp t="s">
        <v>PGB</v>
        <stp/>
        <stp>0</stp>
        <stp>EUR.CM_INSTRUMENT.PXE.PTOTENOE0018</stp>
        <stp>Ticker</stp>
        <tr r="B224" s="23"/>
      </tp>
      <tp t="s">
        <v>PGB</v>
        <stp/>
        <stp>0</stp>
        <stp>EUR.CM_INSTRUMENT.PXE.PTOTEMOE0027</stp>
        <stp>Ticker</stp>
        <tr r="B225" s="23"/>
      </tp>
      <tp t="s">
        <v>PGB</v>
        <stp/>
        <stp>0</stp>
        <stp>EUR.CM_INSTRUMENT.PXE.PTOTELOE0010</stp>
        <stp>Ticker</stp>
        <tr r="B223" s="23"/>
      </tp>
    </main>
    <main first="bloomberg.rtd">
      <tp>
        <v>-0.25700000000000001</v>
        <stp/>
        <stp>##V3_BDPV12</stp>
        <stp>ES00000126V0@CBBT Corp</stp>
        <stp>YAS_BOND_YLD</stp>
        <stp>[Andrea New RollM.xlsm]DB!R186C17</stp>
        <stp>SETTLE_DT=20161011</stp>
        <stp>YAS_BOND_PX=100.8</stp>
        <tr r="Q186" s="23"/>
      </tp>
    </main>
    <main first="marketviewexcelplugin.mkvxp">
      <tp t="s">
        <v>PGB</v>
        <stp/>
        <stp>0</stp>
        <stp>EUR.CM_INSTRUMENT.PXE.PTOTESOE0013</stp>
        <stp>Ticker</stp>
        <tr r="B228" s="23"/>
      </tp>
      <tp t="s">
        <v>PGB</v>
        <stp/>
        <stp>0</stp>
        <stp>EUR.CM_INSTRUMENT.PXE.PTOTEROE0014</stp>
        <stp>Ticker</stp>
        <tr r="B234" s="23"/>
      </tp>
      <tp t="s">
        <v>PGB</v>
        <stp/>
        <stp>0</stp>
        <stp>EUR.CM_INSTRUMENT.PXE.PTOTEQOE0015</stp>
        <stp>Ticker</stp>
        <tr r="B230" s="23"/>
      </tp>
    </main>
    <main first="marketviewexcelplugin.mkvxp">
      <tp t="s">
        <v>PGB</v>
        <stp/>
        <stp>0</stp>
        <stp>EUR.CM_INSTRUMENT.PXE.PTOTETOE0012</stp>
        <stp>Ticker</stp>
        <tr r="B232" s="23"/>
      </tp>
      <tp>
        <v>-0.44700692041522494</v>
        <stp/>
        <stp>0</stp>
        <stp>EUR.CM_DEPTH.VMO_REPO.IT0004801541_SN_Fixed</stp>
        <stp>TrdValueAvg</stp>
        <tr r="V40" s="7"/>
      </tp>
      <tp t="s">
        <v>PGB</v>
        <stp/>
        <stp>0</stp>
        <stp>EUR.CM_INSTRUMENT.PXE.PTOTEYOE0007</stp>
        <stp>Ticker</stp>
        <tr r="B227" s="23"/>
      </tp>
      <tp>
        <v>-0.48969081272084808</v>
        <stp/>
        <stp>0</stp>
        <stp>EUR.CM_DEPTH.VMO_REPO.IT0003934657_SN_Fixed</stp>
        <stp>TrdValueAvg</stp>
        <tr r="V67" s="7"/>
      </tp>
    </main>
    <main first="bloomberg.rtd">
      <tp>
        <v>14401000000</v>
        <stp/>
        <stp>##V3_BDPV12</stp>
        <stp>IT0005023459 Corp</stp>
        <stp>AMT_OUTSTANDING</stp>
        <stp>[Andrea New RollM.xlsm]Ita!R7C26</stp>
        <tr r="Z7" s="7"/>
      </tp>
      <tp>
        <v>0.76</v>
        <stp/>
        <stp>##V3_BDPV12</stp>
        <stp>EUSWE50 CMPN Curncy</stp>
        <stp>bid</stp>
        <stp>[Andrea New RollM.xlsm]Crv!R42C4</stp>
        <tr r="D42" s="1"/>
      </tp>
      <tp>
        <v>0.54900000000000004</v>
        <stp/>
        <stp>##V3_BDPV12</stp>
        <stp>EUSWE15 CMPN Curncy</stp>
        <stp>bid</stp>
        <stp>[Andrea New RollM.xlsm]Crv!R36C4</stp>
        <tr r="D36" s="1"/>
      </tp>
      <tp>
        <v>-0.36199999999999999</v>
        <stp/>
        <stp>##V3_BDPV12</stp>
        <stp>IE00B8DLLB38@CBBT Corp</stp>
        <stp>YAS_BOND_YLD</stp>
        <stp>[Andrea New RollM.xlsm]DB!R237C19</stp>
        <stp>SETTLE_DT=20160909</stp>
        <stp>YAS_BOND_PX=106.512</stp>
        <tr r="S237" s="23"/>
      </tp>
    </main>
    <main first="marketviewexcelplugin.mkvxp">
      <tp>
        <v>107.155</v>
        <stp/>
        <stp>0</stp>
        <stp>EUR.PRICING_MAIN.PXE.FR0010604983</stp>
        <stp>CurrentClosingPriceMid</stp>
        <tr r="L20" s="23"/>
      </tp>
      <tp>
        <v>100.889</v>
        <stp/>
        <stp>0</stp>
        <stp>EUR.PRICING_MAIN.PXE.FR0012634558</stp>
        <stp>CurrentClosingPriceMid</stp>
        <tr r="L19" s="23"/>
      </tp>
      <tp>
        <v>110.8</v>
        <stp/>
        <stp>0</stp>
        <stp>EUR.PRICING_MAIN.PXE.FR0013154028</stp>
        <stp>CurrentClosingPriceMid</stp>
        <tr r="L121" s="23"/>
      </tp>
      <tp>
        <v>106.265</v>
        <stp/>
        <stp>0</stp>
        <stp>EUR.PRICING_MAIN.PXE.FR0013154044</stp>
        <stp>CurrentClosingPriceMid</stp>
        <tr r="L107" s="23"/>
      </tp>
      <tp>
        <v>102.64749999999999</v>
        <stp/>
        <stp>0</stp>
        <stp>EUR.PRICING_MAIN.PXE.FR0011394345</stp>
        <stp>CurrentClosingPriceMid</stp>
        <tr r="L22" s="23"/>
      </tp>
      <tp>
        <v>114.295</v>
        <stp/>
        <stp>0</stp>
        <stp>EUR.PRICING_MAIN.PXE.FR0010854182</stp>
        <stp>CurrentClosingPriceMid</stp>
        <tr r="L44" s="23"/>
      </tp>
    </main>
    <main first="bloomberg.rtd">
      <tp t="s">
        <v>03/09/2007</v>
        <stp/>
        <stp>##V3_BDPV12</stp>
        <stp>IT0004273493 Corp</stp>
        <stp>ISSUE_DT</stp>
        <stp>[Andrea New RollM.xlsm]Ita!R12C25</stp>
        <tr r="Y12" s="7"/>
      </tp>
      <tp t="s">
        <v>16/10/2013</v>
        <stp/>
        <stp>##V3_BDPV12</stp>
        <stp>IT0004966401 Corp</stp>
        <stp>ISSUE_DT</stp>
        <stp>[Andrea New RollM.xlsm]Ita!R32C25</stp>
        <tr r="Y32" s="7"/>
      </tp>
      <tp t="s">
        <v>01/08/2013</v>
        <stp/>
        <stp>##V3_BDPV12</stp>
        <stp>IT0004953417 Corp</stp>
        <stp>ISSUE_DT</stp>
        <stp>[Andrea New RollM.xlsm]Ita!R48C25</stp>
        <tr r="Y48" s="7"/>
      </tp>
      <tp t="s">
        <v>01/04/2016</v>
        <stp/>
        <stp>##V3_BDPV12</stp>
        <stp>IT0005175598 Corp</stp>
        <stp>ISSUE_DT</stp>
        <stp>[Andrea New RollM.xlsm]Ita!R33C25</stp>
        <tr r="Y33" s="7"/>
      </tp>
      <tp t="s">
        <v>03/03/2014</v>
        <stp/>
        <stp>##V3_BDPV12</stp>
        <stp>IT0005001547 Corp</stp>
        <stp>ISSUE_DT</stp>
        <stp>[Andrea New RollM.xlsm]Ita!R49C25</stp>
        <tr r="Y49" s="7"/>
      </tp>
    </main>
    <main first="marketviewexcelplugin.mkvxp">
      <tp>
        <v>100.126</v>
        <stp/>
        <stp>0</stp>
        <stp>EUR.PRICING_MAIN.PXE.DE0001137487</stp>
        <stp>CurrentClosingPriceMid</stp>
        <tr r="L124" s="23"/>
      </tp>
      <tp>
        <v>100.30200000000001</v>
        <stp/>
        <stp>0</stp>
        <stp>EUR.PRICING_MAIN.PXE.DE0001137495</stp>
        <stp>CurrentClosingPriceMid</stp>
        <tr r="L126" s="23"/>
      </tp>
      <tp t="e">
        <v>#REF!</v>
        <stp/>
        <stp>0</stp>
        <stp>EUR.PRICING_MAIN.PXE.DE0001137479</stp>
        <stp>CurrentClosingPriceMid</stp>
        <tr r="L122" s="23"/>
      </tp>
    </main>
    <main first="bloomberg.rtd">
      <tp t="s">
        <v>01/07/2014</v>
        <stp/>
        <stp>##V3_BDPV12</stp>
        <stp>IT0005030504 Corp</stp>
        <stp>ISSUE_DT</stp>
        <stp>[Andrea New RollM.xlsm]Ita!R22C25</stp>
        <tr r="Y22" s="7"/>
      </tp>
      <tp>
        <v>101.393</v>
        <stp/>
        <stp>##V3_BDHV12</stp>
        <stp>IT0004164775@CBBT Corp</stp>
        <stp>OPEN</stp>
        <stp>04/10/2016 4:15:00 PM</stp>
        <stp>04/10/2016 5:15:00 PM</stp>
        <stp>[Andrea New RollM.xlsm]DB!R9C15</stp>
        <stp>BarSz=60</stp>
        <stp>BarTp=T</stp>
        <stp>RecurDaily=True</stp>
        <stp>TZ=London</stp>
        <stp>DTS=H</stp>
        <tr r="O9" s="23"/>
      </tp>
      <tp>
        <v>-0.44600000000000001</v>
        <stp/>
        <stp>##V3_BDPV12</stp>
        <stp>IE00B6089D15@CBBT Corp</stp>
        <stp>YAS_BOND_YLD</stp>
        <stp>[Andrea New RollM.xlsm]DB!R240C17</stp>
        <stp>SETTLE_DT=20161011</stp>
        <stp>YAS_BOND_PX=119.333</stp>
        <tr r="Q240" s="23"/>
      </tp>
    </main>
    <main first="marketviewexcelplugin.mkvxp">
      <tp>
        <v>-0.40341726618705037</v>
        <stp/>
        <stp>0</stp>
        <stp>EUR.CM_DEPTH.VMO_REPO.IT0004907843_SN_Fixed</stp>
        <stp>TrdValueAvg</stp>
        <tr r="V14" s="7"/>
      </tp>
    </main>
    <main first="bloomberg.rtd">
      <tp>
        <v>-0.40500000000000003</v>
        <stp/>
        <stp>##V3_BDPV12</stp>
        <stp>EUSWE2F CMPN Curncy</stp>
        <stp>bid</stp>
        <stp>[Andrea New RollM.xlsm]Crv!R25C4</stp>
        <tr r="D25" s="1"/>
      </tp>
      <tp>
        <v>0.35799999999999998</v>
        <stp/>
        <stp>##V3_BDPV12</stp>
        <stp>EUSWE12 CMPN Curncy</stp>
        <stp>bid</stp>
        <stp>[Andrea New RollM.xlsm]Crv!R35C4</stp>
        <tr r="D35" s="1"/>
      </tp>
      <tp>
        <v>-0.316</v>
        <stp/>
        <stp>##V3_BDPV12</stp>
        <stp>IT0004960826@CBBT Corp</stp>
        <stp>YAS_BOND_YLD</stp>
        <stp>[Andrea New RollM.xlsm]DB!R7C17</stp>
        <stp>SETTLE_DT=20161011</stp>
        <stp>YAS_BOND_PX=100.292</stp>
        <tr r="Q7" s="23"/>
      </tp>
    </main>
    <main first="marketviewexcelplugin.mkvxp">
      <tp>
        <v>103.114</v>
        <stp/>
        <stp>0</stp>
        <stp>EUR.PRICING_MAIN.PXE.IT0005009839</stp>
        <stp>CurrentClosingPriceMid</stp>
        <tr r="V10" s="27"/>
      </tp>
      <tp>
        <v>101.77500000000001</v>
        <stp/>
        <stp>0</stp>
        <stp>EUR.PRICING_MAIN.PXE.FR0012557957</stp>
        <stp>CurrentClosingPriceMid</stp>
        <tr r="L46" s="23"/>
      </tp>
      <tp>
        <v>101.767</v>
        <stp/>
        <stp>0</stp>
        <stp>EUR.PRICING_MAIN.PXE.IT0004809809</stp>
        <stp>CurrentClosingPriceMid</stp>
        <tr r="V6" s="27"/>
      </tp>
    </main>
    <main first="marketviewexcelplugin.mkvxp">
      <tp>
        <v>115.295</v>
        <stp/>
        <stp>0</stp>
        <stp>EUR.PRICING_MAIN.PXE.FR0011337880</stp>
        <stp>CurrentClosingPriceMid</stp>
        <tr r="L68" s="23"/>
      </tp>
      <tp t="e">
        <v>#REF!</v>
        <stp/>
        <stp>0</stp>
        <stp>EUR.PRICING_MAIN.PXE.IT0004019581</stp>
        <stp>CurrentClosingPriceMid</stp>
        <tr r="L5" s="23"/>
      </tp>
      <tp>
        <v>125.875715</v>
        <stp/>
        <stp>0</stp>
        <stp>EUR.PRICING_MAIN.PXE.FR0011317783</stp>
        <stp>CurrentClosingPriceMid</stp>
        <tr r="L94" s="23"/>
      </tp>
      <tp>
        <v>123.705</v>
        <stp/>
        <stp>0</stp>
        <stp>EUR.PRICING_MAIN.PXE.IT0004759673</stp>
        <stp>CurrentClosingPriceMid</stp>
        <tr r="L63" s="23"/>
      </tp>
      <tp>
        <v>116.136</v>
        <stp/>
        <stp>0</stp>
        <stp>EUR.PRICING_MAIN.PXE.IT0004009673</stp>
        <stp>CurrentClosingPriceMid</stp>
        <tr r="L58" s="23"/>
      </tp>
      <tp>
        <v>112.11</v>
        <stp/>
        <stp>0</stp>
        <stp>EUR.PRICING_MAIN.PXE.IT0004489610</stp>
        <stp>CurrentClosingPriceMid</stp>
        <tr r="L37" s="23"/>
      </tp>
      <tp>
        <v>105.11750000000001</v>
        <stp/>
        <stp>0</stp>
        <stp>EUR.PRICING_MAIN.PXE.FR0010517417</stp>
        <stp>CurrentClosingPriceMid</stp>
        <tr r="L15" s="23"/>
      </tp>
      <tp>
        <v>101.715</v>
        <stp/>
        <stp>0</stp>
        <stp>EUR.PRICING_MAIN.PXE.FR0013157096</stp>
        <stp>CurrentClosingPriceMid</stp>
        <tr r="L55" s="23"/>
      </tp>
      <tp>
        <v>100.688</v>
        <stp/>
        <stp>0</stp>
        <stp>EUR.PRICING_MAIN.PXE.IT0005139099</stp>
        <stp>CurrentClosingPriceMid</stp>
        <tr r="L25" s="23"/>
      </tp>
      <tp>
        <v>134.167811</v>
        <stp/>
        <stp>0</stp>
        <stp>EUR.PRICING_MAIN.PXE.IT0004889033</stp>
        <stp>CurrentClosingPriceMid</stp>
        <tr r="L96" s="23"/>
      </tp>
      <tp>
        <v>103.40600000000001</v>
        <stp/>
        <stp>0</stp>
        <stp>EUR.PRICING_MAIN.PXE.FR0012517027</stp>
        <stp>CurrentClosingPriceMid</stp>
        <tr r="L83" s="23"/>
      </tp>
      <tp>
        <v>103.08199999999999</v>
        <stp/>
        <stp>0</stp>
        <stp>EUR.PRICING_MAIN.PXE.IT0005069395</stp>
        <stp>CurrentClosingPriceMid</stp>
        <tr r="L41" s="23"/>
      </tp>
    </main>
    <main first="bloomberg.rtd">
      <tp>
        <v>-0.151</v>
        <stp/>
        <stp>##V3_BDPV12</stp>
        <stp>IT0004164775@CBBT Corp</stp>
        <stp>YAS_BOND_YLD</stp>
        <stp>[Andrea New RollM.xlsm]DB!R9C19</stp>
        <stp>SETTLE_DT=20160909</stp>
        <stp>YAS_BOND_PX=101.637</stp>
        <tr r="S9" s="23"/>
      </tp>
    </main>
    <main first="marketviewexcelplugin.mkvxp">
      <tp>
        <v>148.386741</v>
        <stp/>
        <stp>0</stp>
        <stp>EUR.PRICING_MAIN.PXE.DE0001134922</stp>
        <stp>CurrentClosingPriceMid</stp>
        <tr r="L162" s="23"/>
      </tp>
    </main>
    <main first="bloomberg.rtd">
      <tp t="s">
        <v>01/08/2016</v>
        <stp/>
        <stp>##V3_BDPV12</stp>
        <stp>IT0005210650 Corp</stp>
        <stp>ISSUE_DT</stp>
        <stp>[Andrea New RollM.xlsm]Ita!R57C25</stp>
        <tr r="Y57" s="7"/>
      </tp>
      <tp t="s">
        <v>29/09/2010</v>
        <stp/>
        <stp>##V3_BDPV12</stp>
        <stp>IT0004644735 Corp</stp>
        <stp>ISSUE_DT</stp>
        <stp>[Andrea New RollM.xlsm]Ita!R54C25</stp>
        <tr r="Y54" s="7"/>
      </tp>
    </main>
    <main first="marketviewexcelplugin.mkvxp">
      <tp>
        <v>100.80500000000001</v>
        <stp/>
        <stp>0</stp>
        <stp>EUR.PRICING_MAIN.PXE.DE0001104628</stp>
        <stp>CurrentClosingPriceMid</stp>
        <tr r="L132" s="23"/>
      </tp>
      <tp>
        <v>100.961</v>
        <stp/>
        <stp>0</stp>
        <stp>EUR.PRICING_MAIN.PXE.DE0001104636</stp>
        <stp>CurrentClosingPriceMid</stp>
        <tr r="L135" s="23"/>
      </tp>
      <tp>
        <v>100.482</v>
        <stp/>
        <stp>0</stp>
        <stp>EUR.PRICING_MAIN.PXE.DE0001104602</stp>
        <stp>CurrentClosingPriceMid</stp>
        <tr r="L128" s="23"/>
      </tp>
      <tp>
        <v>100.64</v>
        <stp/>
        <stp>0</stp>
        <stp>EUR.PRICING_MAIN.PXE.DE0001104610</stp>
        <stp>CurrentClosingPriceMid</stp>
        <tr r="L130" s="23"/>
      </tp>
      <tp>
        <v>101.129</v>
        <stp/>
        <stp>0</stp>
        <stp>EUR.PRICING_MAIN.PXE.DE0001104644</stp>
        <stp>CurrentClosingPriceMid</stp>
        <tr r="L137" s="23"/>
      </tp>
      <tp>
        <v>101.299263</v>
        <stp/>
        <stp>0</stp>
        <stp>EUR.PRICING_MAIN.PXE.DE0001104651</stp>
        <stp>CurrentClosingPriceMid</stp>
        <tr r="L139" s="23"/>
      </tp>
    </main>
    <main first="bloomberg.rtd">
      <tp>
        <v>100.333</v>
        <stp/>
        <stp>##V3_BDHV12</stp>
        <stp>IT0004987191@CBBT Corp</stp>
        <stp>OPEN</stp>
        <stp>11/10/2016 4:15:00 PM</stp>
        <stp>11/10/2016 5:15:00 PM</stp>
        <stp>[Andrea New RollM.xlsm]DB!R8C14</stp>
        <stp>BarSz=60</stp>
        <stp>BarTp=T</stp>
        <stp>RecurDaily=True</stp>
        <stp>TZ=London</stp>
        <stp>DTS=H</stp>
        <tr r="N8" s="23"/>
      </tp>
      <tp>
        <v>100.535</v>
        <stp/>
        <stp>##V3_BDHV12</stp>
        <stp>IT0004960826@CBBT Corp</stp>
        <stp>OPEN</stp>
        <stp>09/09/2016 4:15:00 PM</stp>
        <stp>09/09/2016 5:15:00 PM</stp>
        <stp>[Andrea New RollM.xlsm]DB!R7C16</stp>
        <stp>BarSz=60</stp>
        <stp>BarTp=T</stp>
        <stp>RecurDaily=True</stp>
        <stp>TZ=London</stp>
        <stp>DTS=H</stp>
        <tr r="P7" s="23"/>
      </tp>
    </main>
    <main first="marketviewexcelplugin.mkvxp">
      <tp>
        <v>-0.43736199575371543</v>
        <stp/>
        <stp>0</stp>
        <stp>EUR.CM_DEPTH.VMO_REPO.IT0004957574_SN_Fixed</stp>
        <stp>TrdValueAvg</stp>
        <tr r="V17" s="7"/>
      </tp>
    </main>
    <main first="bloomberg.rtd">
      <tp>
        <v>15564494140.625</v>
        <stp/>
        <stp>##V3_BDPV12</stp>
        <stp>IT0004987191 Corp</stp>
        <stp>AMT_OUTSTANDING</stp>
        <stp>[Andrea New RollM.xlsm]Ita!R4C26</stp>
        <tr r="Z4" s="7"/>
      </tp>
    </main>
    <main first="bloomberg.rtd">
      <tp>
        <v>0.70599999999999996</v>
        <stp/>
        <stp>##V3_BDPV12</stp>
        <stp>EUSWE20 CMPN Curncy</stp>
        <stp>bid</stp>
        <stp>[Andrea New RollM.xlsm]Crv!R37C4</stp>
        <tr r="D37" s="1"/>
      </tp>
      <tp>
        <v>0.79900000000000004</v>
        <stp/>
        <stp>##V3_BDPV12</stp>
        <stp>EUSWE40 CMPN Curncy</stp>
        <stp>bid</stp>
        <stp>[Andrea New RollM.xlsm]Crv!R41C4</stp>
        <tr r="D41" s="1"/>
      </tp>
      <tp>
        <v>0.27350000000000002</v>
        <stp/>
        <stp>##V3_BDPV12</stp>
        <stp>EUSWE11 CMPN Curncy</stp>
        <stp>bid</stp>
        <stp>[Andrea New RollM.xlsm]Crv!R34C4</stp>
        <tr r="D34" s="1"/>
      </tp>
      <tp>
        <v>3.1480000000000001</v>
        <stp/>
        <stp>##V3_BDPV12</stp>
        <stp>PTOTETOE0012@CBBT Corp</stp>
        <stp>YAS_BOND_YLD</stp>
        <stp>[Andrea New RollM.xlsm]DB!R232C19</stp>
        <stp>SETTLE_DT=20160909</stp>
        <stp>YAS_BOND_PX=97.708</stp>
        <tr r="S232" s="23"/>
      </tp>
      <tp>
        <v>113.17</v>
        <stp/>
        <stp>##V3_BDHV12</stp>
        <stp>IE00B2QTFG59@CBBT Corp</stp>
        <stp>OPEN</stp>
        <stp>04/10/2016 4:15:00 PM</stp>
        <stp>04/10/2016 5:15:00 PM</stp>
        <stp>[Andrea New RollM.xlsm]DB!R239C15</stp>
        <stp>BarSz=60</stp>
        <stp>BarTp=T</stp>
        <stp>RecurDaily=True</stp>
        <stp>TZ=London</stp>
        <stp>DTS=H</stp>
        <tr r="O239" s="23"/>
      </tp>
    </main>
    <main first="marketviewexcelplugin.mkvxp">
      <tp>
        <v>128.58600000000001</v>
        <stp/>
        <stp>0</stp>
        <stp>EUR.PRICING_MAIN.PXE.IT0004848831</stp>
        <stp>CurrentClosingPriceMid</stp>
        <tr r="L69" s="23"/>
      </tp>
      <tp>
        <v>131.17069499999999</v>
        <stp/>
        <stp>0</stp>
        <stp>EUR.PRICING_MAIN.PXE.FR0010916924</stp>
        <stp>CurrentClosingPriceMid</stp>
        <tr r="L88" s="23"/>
      </tp>
      <tp>
        <v>131.38499999999999</v>
        <stp/>
        <stp>0</stp>
        <stp>EUR.PRICING_MAIN.PXE.FR0010466938</stp>
        <stp>CurrentClosingPriceMid</stp>
        <tr r="L75" s="23"/>
      </tp>
      <tp>
        <v>118.535</v>
        <stp/>
        <stp>0</stp>
        <stp>EUR.PRICING_MAIN.PXE.FR0011196856</stp>
        <stp>CurrentClosingPriceMid</stp>
        <tr r="L65" s="23"/>
      </tp>
    </main>
    <main first="marketviewexcelplugin.mkvxp">
      <tp>
        <v>101.137</v>
        <stp/>
        <stp>0</stp>
        <stp>EUR.PRICING_MAIN.PXE.IT0005058463</stp>
        <stp>CurrentClosingPriceMid</stp>
        <tr r="L17" s="23"/>
      </tp>
      <tp>
        <v>177.84899999999999</v>
        <stp/>
        <stp>0</stp>
        <stp>EUR.PRICING_MAIN.PXE.FR0000187635</stp>
        <stp>CurrentClosingPriceMid</stp>
        <tr r="L103" s="23"/>
      </tp>
    </main>
    <main first="bloomberg.rtd">
      <tp>
        <v>-0.29499999999999998</v>
        <stp/>
        <stp>##V3_BDPV12</stp>
        <stp>IT0004960826@CBBT Corp</stp>
        <stp>YAS_BOND_YLD</stp>
        <stp>[Andrea New RollM.xlsm]DB!R7C18</stp>
        <stp>SETTLE_DT=20161004</stp>
        <stp>YAS_BOND_PX=100.348</stp>
        <tr r="R7" s="23"/>
      </tp>
    </main>
    <main first="marketviewexcelplugin.mkvxp">
      <tp>
        <v>108.631</v>
        <stp/>
        <stp>0</stp>
        <stp>EUR.PRICING_MAIN.PXE.IT0005028003</stp>
        <stp>CurrentClosingPriceMid</stp>
        <tr r="L62" s="23"/>
      </tp>
    </main>
    <main first="marketviewexcelplugin.mkvxp">
      <tp>
        <v>123.785</v>
        <stp/>
        <stp>0</stp>
        <stp>EUR.PRICING_MAIN.PXE.IT0004898034</stp>
        <stp>CurrentClosingPriceMid</stp>
        <tr r="L71" s="23"/>
      </tp>
      <tp>
        <v>141.998087</v>
        <stp/>
        <stp>0</stp>
        <stp>EUR.PRICING_MAIN.PXE.IT0001278511</stp>
        <stp>CurrentClosingPriceMid</stp>
        <tr r="L97" s="23"/>
      </tp>
      <tp>
        <v>112.955</v>
        <stp/>
        <stp>0</stp>
        <stp>EUR.PRICING_MAIN.PXE.FR0011486067</stp>
        <stp>CurrentClosingPriceMid</stp>
        <tr r="L72" s="23"/>
      </tp>
      <tp>
        <v>113.16500000000001</v>
        <stp/>
        <stp>0</stp>
        <stp>EUR.PRICING_MAIN.PXE.FR0010776161</stp>
        <stp>CurrentClosingPriceMid</stp>
        <tr r="L39" s="23"/>
      </tp>
    </main>
    <main first="bloomberg.rtd">
      <tp>
        <v>0.376</v>
        <stp/>
        <stp>##V3_BDPV12</stp>
        <stp>IE00B4TV0D44@CBBT Corp</stp>
        <stp>YAS_BOND_YLD</stp>
        <stp>[Andrea New RollM.xlsm]DB!R246C17</stp>
        <stp>SETTLE_DT=20161011</stp>
        <stp>YAS_BOND_PX=141.557</stp>
        <tr r="Q246" s="23"/>
      </tp>
      <tp t="s">
        <v>01/02/2006</v>
        <stp/>
        <stp>##V3_BDPV12</stp>
        <stp>IT0004009673 Corp</stp>
        <stp>ISSUE_DT</stp>
        <stp>[Andrea New RollM.xlsm]Ita!R34C25</stp>
        <tr r="Y34" s="7"/>
      </tp>
    </main>
    <main first="marketviewexcelplugin.mkvxp">
      <tp>
        <v>174.72</v>
        <stp/>
        <stp>0</stp>
        <stp>EUR.PRICING_MAIN.PXE.DE0001135176</stp>
        <stp>CurrentClosingPriceMid</stp>
        <tr r="L174" s="23"/>
      </tp>
      <tp>
        <v>181.26300000000001</v>
        <stp/>
        <stp>0</stp>
        <stp>EUR.PRICING_MAIN.PXE.DE0001135143</stp>
        <stp>CurrentClosingPriceMid</stp>
        <tr r="L173" s="23"/>
      </tp>
      <tp>
        <v>155.09200000000001</v>
        <stp/>
        <stp>0</stp>
        <stp>EUR.PRICING_MAIN.PXE.DE0001135085</stp>
        <stp>CurrentClosingPriceMid</stp>
        <tr r="L172" s="23"/>
      </tp>
      <tp>
        <v>163.065</v>
        <stp/>
        <stp>0</stp>
        <stp>EUR.PRICING_MAIN.PXE.DE0001135069</stp>
        <stp>CurrentClosingPriceMid</stp>
        <tr r="L171" s="23"/>
      </tp>
      <tp>
        <v>170.03100000000001</v>
        <stp/>
        <stp>0</stp>
        <stp>EUR.PRICING_MAIN.PXE.DE0001135044</stp>
        <stp>CurrentClosingPriceMid</stp>
        <tr r="L170" s="23"/>
      </tp>
    </main>
    <main first="bloomberg.rtd">
      <tp t="s">
        <v>04/05/2009</v>
        <stp/>
        <stp>##V3_BDPV12</stp>
        <stp>IT0004489610 Corp</stp>
        <stp>ISSUE_DT</stp>
        <stp>[Andrea New RollM.xlsm]Ita!R23C25</stp>
        <tr r="Y23" s="7"/>
      </tp>
    </main>
    <main first="marketviewexcelplugin.mkvxp">
      <tp>
        <v>111.49255100000001</v>
        <stp/>
        <stp>0</stp>
        <stp>EUR.PRICING_MAIN.PXE.DE0001135382</stp>
        <stp>CurrentClosingPriceMid</stp>
        <tr r="L144" s="23"/>
      </tp>
      <tp>
        <v>112.809231</v>
        <stp/>
        <stp>0</stp>
        <stp>EUR.PRICING_MAIN.PXE.DE0001135390</stp>
        <stp>CurrentClosingPriceMid</stp>
        <tr r="L146" s="23"/>
      </tp>
      <tp>
        <v>180.15</v>
        <stp/>
        <stp>0</stp>
        <stp>EUR.PRICING_MAIN.PXE.DE0001135325</stp>
        <stp>CurrentClosingPriceMid</stp>
        <tr r="L177" s="23"/>
      </tp>
      <tp>
        <v>103.6</v>
        <stp/>
        <stp>0</stp>
        <stp>EUR.PRICING_MAIN.PXE.DE0001135333</stp>
        <stp>CurrentClosingPriceMid</stp>
        <tr r="L129" s="23"/>
      </tp>
      <tp>
        <v>193.81299999999999</v>
        <stp/>
        <stp>0</stp>
        <stp>EUR.PRICING_MAIN.PXE.DE0001135366</stp>
        <stp>CurrentClosingPriceMid</stp>
        <tr r="L178" s="23"/>
      </tp>
      <tp>
        <v>109.972729</v>
        <stp/>
        <stp>0</stp>
        <stp>EUR.PRICING_MAIN.PXE.DE0001135374</stp>
        <stp>CurrentClosingPriceMid</stp>
        <tr r="L141" s="23"/>
      </tp>
      <tp>
        <v>105.83799999999999</v>
        <stp/>
        <stp>0</stp>
        <stp>EUR.PRICING_MAIN.PXE.DE0001135341</stp>
        <stp>CurrentClosingPriceMid</stp>
        <tr r="L133" s="23"/>
      </tp>
      <tp>
        <v>108.584</v>
        <stp/>
        <stp>0</stp>
        <stp>EUR.PRICING_MAIN.PXE.DE0001135358</stp>
        <stp>CurrentClosingPriceMid</stp>
        <tr r="L138" s="23"/>
      </tp>
      <tp>
        <v>176.46199999999999</v>
        <stp/>
        <stp>0</stp>
        <stp>EUR.PRICING_MAIN.PXE.DE0001135226</stp>
        <stp>CurrentClosingPriceMid</stp>
        <tr r="L175" s="23"/>
      </tp>
      <tp>
        <v>169.08600000000001</v>
        <stp/>
        <stp>0</stp>
        <stp>EUR.PRICING_MAIN.PXE.DE0001135275</stp>
        <stp>CurrentClosingPriceMid</stp>
        <tr r="L176" s="23"/>
      </tp>
    </main>
    <main first="bloomberg.rtd">
      <tp t="s">
        <v>17/03/2000</v>
        <stp/>
        <stp>##V3_BDPV12</stp>
        <stp>IT0001444378 Corp</stp>
        <stp>ISSUE_DT</stp>
        <stp>[Andrea New RollM.xlsm]Ita!R62C25</stp>
        <tr r="Y62" s="7"/>
      </tp>
    </main>
    <main first="marketviewexcelplugin.mkvxp">
      <tp>
        <v>147.542058</v>
        <stp/>
        <stp>0</stp>
        <stp>EUR.PRICING_MAIN.PXE.DE0001135481</stp>
        <stp>CurrentClosingPriceMid</stp>
        <tr r="L180" s="23"/>
      </tp>
      <tp>
        <v>111.577901</v>
        <stp/>
        <stp>0</stp>
        <stp>EUR.PRICING_MAIN.PXE.DE0001135499</stp>
        <stp>CurrentClosingPriceMid</stp>
        <tr r="L158" s="23"/>
      </tp>
      <tp>
        <v>113.242366</v>
        <stp/>
        <stp>0</stp>
        <stp>EUR.PRICING_MAIN.PXE.DE0001135424</stp>
        <stp>CurrentClosingPriceMid</stp>
        <tr r="L151" s="23"/>
      </tp>
      <tp>
        <v>163.17057500000001</v>
        <stp/>
        <stp>0</stp>
        <stp>EUR.PRICING_MAIN.PXE.DE0001135432</stp>
        <stp>CurrentClosingPriceMid</stp>
        <tr r="L179" s="23"/>
      </tp>
      <tp>
        <v>113.677003</v>
        <stp/>
        <stp>0</stp>
        <stp>EUR.PRICING_MAIN.PXE.DE0001135408</stp>
        <stp>CurrentClosingPriceMid</stp>
        <tr r="L148" s="23"/>
      </tp>
      <tp>
        <v>111.391766</v>
        <stp/>
        <stp>0</stp>
        <stp>EUR.PRICING_MAIN.PXE.DE0001135416</stp>
        <stp>CurrentClosingPriceMid</stp>
        <tr r="L149" s="23"/>
      </tp>
      <tp>
        <v>113.1294</v>
        <stp/>
        <stp>0</stp>
        <stp>EUR.PRICING_MAIN.PXE.DE0001135465</stp>
        <stp>CurrentClosingPriceMid</stp>
        <tr r="L156" s="23"/>
      </tp>
      <tp>
        <v>112.784296</v>
        <stp/>
        <stp>0</stp>
        <stp>EUR.PRICING_MAIN.PXE.DE0001135473</stp>
        <stp>CurrentClosingPriceMid</stp>
        <tr r="L157" s="23"/>
      </tp>
      <tp>
        <v>118.252127</v>
        <stp/>
        <stp>0</stp>
        <stp>EUR.PRICING_MAIN.PXE.DE0001135440</stp>
        <stp>CurrentClosingPriceMid</stp>
        <tr r="L153" s="23"/>
      </tp>
      <tp>
        <v>113.764636</v>
        <stp/>
        <stp>0</stp>
        <stp>EUR.PRICING_MAIN.PXE.DE0001135457</stp>
        <stp>CurrentClosingPriceMid</stp>
        <tr r="L154" s="23"/>
      </tp>
    </main>
    <main first="bloomberg.rtd">
      <tp t="s">
        <v>15/07/2009</v>
        <stp/>
        <stp>##V3_BDPV12</stp>
        <stp>IT0004513641 Corp</stp>
        <stp>ISSUE_DT</stp>
        <stp>[Andrea New RollM.xlsm]Ita!R51C25</stp>
        <tr r="Y51" s="7"/>
      </tp>
      <tp t="s">
        <v>04/05/2015</v>
        <stp/>
        <stp>##V3_BDPV12</stp>
        <stp>IT0005107708 Corp</stp>
        <stp>ISSUE_DT</stp>
        <stp>[Andrea New RollM.xlsm]Ita!R28C25</stp>
        <tr r="Y28" s="7"/>
      </tp>
      <tp t="s">
        <v>01/09/2011</v>
        <stp/>
        <stp>##V3_BDPV12</stp>
        <stp>IT0004759673 Corp</stp>
        <stp>ISSUE_DT</stp>
        <stp>[Andrea New RollM.xlsm]Ita!R38C25</stp>
        <tr r="Y38" s="7"/>
      </tp>
      <tp t="s">
        <v>24/09/2003</v>
        <stp/>
        <stp>##V3_BDPV12</stp>
        <stp>IT0003535157 Corp</stp>
        <stp>ISSUE_DT</stp>
        <stp>[Andrea New RollM.xlsm]Ita!R65C25</stp>
        <tr r="Y65" s="7"/>
      </tp>
      <tp t="s">
        <v>#N/A N/A</v>
        <stp/>
        <stp>##V3_BDHV12</stp>
        <stp>IT0004019581@CBBT Corp</stp>
        <stp>OPEN</stp>
        <stp>04/10/2016 4:15:00 PM</stp>
        <stp>04/10/2016 5:15:00 PM</stp>
        <stp>[Andrea New RollM.xlsm]DB!R5C15</stp>
        <stp>BarSz=60</stp>
        <stp>BarTp=T</stp>
        <stp>RecurDaily=True</stp>
        <stp>TZ=London</stp>
        <stp>DTS=H</stp>
        <tr r="O5" s="23"/>
      </tp>
      <tp t="s">
        <v>#N/A N/A</v>
        <stp/>
        <stp>##V3_BDHV12</stp>
        <stp>IT0004761950@CBBT Corp</stp>
        <stp>OPEN</stp>
        <stp>09/09/2016 4:15:00 PM</stp>
        <stp>09/09/2016 5:15:00 PM</stp>
        <stp>[Andrea New RollM.xlsm]DB!R6C16</stp>
        <stp>BarSz=60</stp>
        <stp>BarTp=T</stp>
        <stp>RecurDaily=True</stp>
        <stp>TZ=London</stp>
        <stp>DTS=H</stp>
        <tr r="P6" s="23"/>
      </tp>
      <tp>
        <v>1.056</v>
        <stp/>
        <stp>##V3_BDPV12</stp>
        <stp>IT0005009839 Corp</stp>
        <stp>CPN</stp>
        <stp>[Andrea New RollM.xlsm]CCT!R10C6</stp>
        <tr r="F10" s="27"/>
      </tp>
      <tp>
        <v>4.25</v>
        <stp/>
        <stp>##V3_BDPV12</stp>
        <stp>IT0004489610 Corp</stp>
        <stp>CPN</stp>
        <stp>[Andrea New RollM.xlsm]CCT!R31C6</stp>
        <tr r="F31" s="27"/>
      </tp>
    </main>
    <main first="marketviewexcelplugin.mkvxp">
      <tp>
        <v>125.36499999999999</v>
        <stp/>
        <stp>0</stp>
        <stp>EUR.PRICING_MAIN.PXE.IE00B4S3JD47</stp>
        <stp>CurrentClosingPriceMid</stp>
        <tr r="L244" s="23"/>
      </tp>
    </main>
    <main first="bloomberg.rtd">
      <tp>
        <v>100.935</v>
        <stp/>
        <stp>##V3_BDPV12</stp>
        <stp>IT0005185456 Corp</stp>
        <stp>ASK</stp>
        <stp>[Andrea New RollM.xlsm]CCT!R14C9</stp>
        <tr r="I14" s="27"/>
      </tp>
      <tp>
        <v>114.77</v>
        <stp/>
        <stp>##V3_BDPV12</stp>
        <stp>IT0004594930 Corp</stp>
        <stp>ASK</stp>
        <stp>[Andrea New RollM.xlsm]CCT!R33C9</stp>
        <tr r="I33" s="27"/>
      </tp>
      <tp>
        <v>0.59399999999999997</v>
        <stp/>
        <stp>##V3_BDPV12</stp>
        <stp>DE0001135432@CBBT Corp</stp>
        <stp>YAS_BOND_YLD</stp>
        <stp>[Andrea New RollM.xlsm]DB!R179C17</stp>
        <stp>SETTLE_DT=20161011</stp>
        <stp>YAS_BOND_PX=163.2</stp>
        <tr r="Q179" s="23"/>
      </tp>
    </main>
    <main first="marketviewexcelplugin.mkvxp">
      <tp>
        <v>-0.4062762237762238</v>
        <stp/>
        <stp>0</stp>
        <stp>EUR.CM_DEPTH.VMO_REPO.IT0004867070_SN_Fixed</stp>
        <stp>TrdValueAvg</stp>
        <tr r="V10" s="7"/>
      </tp>
    </main>
    <main first="bloomberg.rtd">
      <tp>
        <v>0.17599999999999999</v>
        <stp/>
        <stp>##V3_BDPV12</stp>
        <stp>EUSWE10 CMPN Curncy</stp>
        <stp>bid</stp>
        <stp>[Andrea New RollM.xlsm]Crv!R33C4</stp>
        <tr r="D33" s="1"/>
      </tp>
    </main>
    <main first="marketviewexcelplugin.mkvxp">
      <tp>
        <v>102.24117200000001</v>
        <stp/>
        <stp>0</stp>
        <stp>EUR.PRICING_MAIN.PXE.FR0013131877</stp>
        <stp>CurrentClosingPriceMid</stp>
        <tr r="L89" s="23"/>
      </tp>
      <tp>
        <v>182.16</v>
        <stp/>
        <stp>0</stp>
        <stp>EUR.PRICING_MAIN.PXE.FR0010171975</stp>
        <stp>CurrentClosingPriceMid</stp>
        <tr r="L119" s="23"/>
      </tp>
      <tp>
        <v>101.41249999999999</v>
        <stp/>
        <stp>0</stp>
        <stp>EUR.PRICING_MAIN.PXE.FR0013101466</stp>
        <stp>CurrentClosingPriceMid</stp>
        <tr r="L30" s="23"/>
      </tp>
      <tp>
        <v>160.94</v>
        <stp/>
        <stp>0</stp>
        <stp>EUR.PRICING_MAIN.PXE.FR0010371401</stp>
        <stp>CurrentClosingPriceMid</stp>
        <tr r="L110" s="23"/>
      </tp>
      <tp>
        <v>151.38499999999999</v>
        <stp/>
        <stp>0</stp>
        <stp>EUR.PRICING_MAIN.PXE.FR0011461037</stp>
        <stp>CurrentClosingPriceMid</stp>
        <tr r="L115" s="23"/>
      </tp>
    </main>
    <main first="bloomberg.rtd">
      <tp t="s">
        <v>19/10/2005</v>
        <stp/>
        <stp>##V3_BDPV12</stp>
        <stp>IT0003934657 Corp</stp>
        <stp>ISSUE_DT</stp>
        <stp>[Andrea New RollM.xlsm]Ita!R67C25</stp>
        <tr r="Y67" s="7"/>
      </tp>
      <tp t="s">
        <v>01/09/2015</v>
        <stp/>
        <stp>##V3_BDPV12</stp>
        <stp>IT0005127086 Corp</stp>
        <stp>ISSUE_DT</stp>
        <stp>[Andrea New RollM.xlsm]Ita!R53C25</stp>
        <tr r="Y53" s="7"/>
      </tp>
      <tp t="s">
        <v>24/03/2015</v>
        <stp/>
        <stp>##V3_BDPV12</stp>
        <stp>IT0005094088 Corp</stp>
        <stp>ISSUE_DT</stp>
        <stp>[Andrea New RollM.xlsm]Ita!R63C25</stp>
        <tr r="Y63" s="7"/>
      </tp>
      <tp t="s">
        <v>15/10/2015</v>
        <stp/>
        <stp>##V3_BDPV12</stp>
        <stp>IT0005139099 Corp</stp>
        <stp>ISSUE_DT</stp>
        <stp>[Andrea New RollM.xlsm]Ita!R16C25</stp>
        <tr r="Y16" s="7"/>
      </tp>
      <tp t="s">
        <v>01/09/2010</v>
        <stp/>
        <stp>##V3_BDPV12</stp>
        <stp>IT0004634132 Corp</stp>
        <stp>ISSUE_DT</stp>
        <stp>[Andrea New RollM.xlsm]Ita!R31C25</stp>
        <tr r="Y31" s="7"/>
      </tp>
      <tp t="s">
        <v>15/04/2015</v>
        <stp/>
        <stp>##V3_BDPV12</stp>
        <stp>IT0005106049 Corp</stp>
        <stp>ISSUE_DT</stp>
        <stp>[Andrea New RollM.xlsm]Ita!R13C25</stp>
        <tr r="Y13" s="7"/>
      </tp>
      <tp t="s">
        <v>22/01/2015</v>
        <stp/>
        <stp>##V3_BDPV12</stp>
        <stp>IT0005083057 Corp</stp>
        <stp>ISSUE_DT</stp>
        <stp>[Andrea New RollM.xlsm]Ita!R71C25</stp>
        <tr r="Y71" s="7"/>
      </tp>
    </main>
    <main first="marketviewexcelplugin.mkvxp">
      <tp>
        <v>109.986374</v>
        <stp/>
        <stp>0</stp>
        <stp>EUR.PRICING_MAIN.PXE.DE0001102382</stp>
        <stp>CurrentClosingPriceMid</stp>
        <tr r="L167" s="23"/>
      </tp>
      <tp>
        <v>105.039</v>
        <stp/>
        <stp>0</stp>
        <stp>EUR.PRICING_MAIN.PXE.DE0001102390</stp>
        <stp>CurrentClosingPriceMid</stp>
        <tr r="L168" s="23"/>
      </tp>
      <tp>
        <v>116.44015</v>
        <stp/>
        <stp>0</stp>
        <stp>EUR.PRICING_MAIN.PXE.DE0001102325</stp>
        <stp>CurrentClosingPriceMid</stp>
        <tr r="L161" s="23"/>
      </tp>
      <tp>
        <v>115.36724100000001</v>
        <stp/>
        <stp>0</stp>
        <stp>EUR.PRICING_MAIN.PXE.DE0001102333</stp>
        <stp>CurrentClosingPriceMid</stp>
        <tr r="L163" s="23"/>
      </tp>
      <tp>
        <v>112.245752</v>
        <stp/>
        <stp>0</stp>
        <stp>EUR.PRICING_MAIN.PXE.DE0001102309</stp>
        <stp>CurrentClosingPriceMid</stp>
        <tr r="L159" s="23"/>
      </tp>
      <tp>
        <v>112.613215</v>
        <stp/>
        <stp>0</stp>
        <stp>EUR.PRICING_MAIN.PXE.DE0001102317</stp>
        <stp>CurrentClosingPriceMid</stp>
        <tr r="L160" s="23"/>
      </tp>
      <tp>
        <v>109.946709</v>
        <stp/>
        <stp>0</stp>
        <stp>EUR.PRICING_MAIN.PXE.DE0001102366</stp>
        <stp>CurrentClosingPriceMid</stp>
        <tr r="L165" s="23"/>
      </tp>
      <tp>
        <v>105.863579</v>
        <stp/>
        <stp>0</stp>
        <stp>EUR.PRICING_MAIN.PXE.DE0001102374</stp>
        <stp>CurrentClosingPriceMid</stp>
        <tr r="L166" s="23"/>
      </tp>
      <tp>
        <v>149.648</v>
        <stp/>
        <stp>0</stp>
        <stp>EUR.PRICING_MAIN.PXE.DE0001102341</stp>
        <stp>CurrentClosingPriceMid</stp>
        <tr r="L181" s="23"/>
      </tp>
      <tp>
        <v>113.722701</v>
        <stp/>
        <stp>0</stp>
        <stp>EUR.PRICING_MAIN.PXE.DE0001102358</stp>
        <stp>CurrentClosingPriceMid</stp>
        <tr r="L164" s="23"/>
      </tp>
    </main>
    <main first="marketviewexcelplugin.mkvxp">
      <tp>
        <v>99.655000000000001</v>
        <stp/>
        <stp>0</stp>
        <stp>EUR.PRICING_MAIN.PXE.DE0001102408</stp>
        <stp>CurrentClosingPriceMid</stp>
        <tr r="L169" s="23"/>
      </tp>
    </main>
    <main first="bloomberg.rtd">
      <tp t="s">
        <v>16/06/2014</v>
        <stp/>
        <stp>##V3_BDPV12</stp>
        <stp>IT0005028003 Corp</stp>
        <stp>ISSUE_DT</stp>
        <stp>[Andrea New RollM.xlsm]Ita!R37C25</stp>
        <tr r="Y37" s="7"/>
      </tp>
      <tp>
        <v>4.75</v>
        <stp/>
        <stp>##V3_BDPV12</stp>
        <stp>IT0004793474 Corp</stp>
        <stp>CPN</stp>
        <stp>[Andrea New RollM.xlsm]CCT!R23C6</stp>
        <tr r="F23" s="27"/>
      </tp>
      <tp>
        <v>4.5</v>
        <stp/>
        <stp>##V3_BDPV12</stp>
        <stp>IT0004361041 Corp</stp>
        <stp>CPN</stp>
        <stp>[Andrea New RollM.xlsm]CCT!R29C6</stp>
        <tr r="F29" s="27"/>
      </tp>
      <tp>
        <v>101.327</v>
        <stp/>
        <stp>##V3_BDHV12</stp>
        <stp>IT0004164775@CBBT Corp</stp>
        <stp>OPEN</stp>
        <stp>11/10/2016 4:15:00 PM</stp>
        <stp>11/10/2016 5:15:00 PM</stp>
        <stp>[Andrea New RollM.xlsm]DB!R9C14</stp>
        <stp>BarSz=60</stp>
        <stp>BarTp=T</stp>
        <stp>RecurDaily=True</stp>
        <stp>TZ=London</stp>
        <stp>DTS=H</stp>
        <tr r="N9" s="23"/>
      </tp>
      <tp>
        <v>-0.35</v>
        <stp/>
        <stp>##V3_BDPV12</stp>
        <stp>EUSWE2Z CMPN Curncy</stp>
        <stp>bid</stp>
        <stp>[Andrea New RollM.xlsm]Crv!R10C4</stp>
        <tr r="D10" s="1"/>
      </tp>
    </main>
    <main first="marketviewexcelplugin.mkvxp">
      <tp>
        <v>-0.4053409090909092</v>
        <stp/>
        <stp>0</stp>
        <stp>EUR.CM_DEPTH.VMO_REPO.IT0005139099_SN_Fixed</stp>
        <stp>TrdValueAvg</stp>
        <tr r="V16" s="7"/>
      </tp>
      <tp>
        <v>-0.41158888888888889</v>
        <stp/>
        <stp>0</stp>
        <stp>EUR.CM_DEPTH.VMO_REPO.IT0005175598_SN_Fixed</stp>
        <stp>TrdValueAvg</stp>
        <tr r="V33" s="7"/>
      </tp>
      <tp>
        <v>-0.40714285714285714</v>
        <stp/>
        <stp>0</stp>
        <stp>EUR.CM_DEPTH.VMO_REPO.IT0005086886_SN_Fixed</stp>
        <stp>TrdValueAvg</stp>
        <tr r="V39" s="7"/>
      </tp>
      <tp>
        <v>-0.43188926940639272</v>
        <stp/>
        <stp>0</stp>
        <stp>EUR.CM_DEPTH.VMO_REPO.IT0004953417_SN_Fixed</stp>
        <stp>TrdValueAvg</stp>
        <tr r="V48" s="7"/>
      </tp>
      <tp>
        <v>-0.4608022922636103</v>
        <stp/>
        <stp>0</stp>
        <stp>EUR.CM_DEPTH.VMO_REPO.IT0005094088_SN_Fixed</stp>
        <stp>TrdValueAvg</stp>
        <tr r="V63" s="7"/>
      </tp>
    </main>
    <main first="bloomberg.rtd">
      <tp>
        <v>-0.41</v>
        <stp/>
        <stp>##V3_BDPV12</stp>
        <stp>EUSWE1F CMPN Curncy</stp>
        <stp>bid</stp>
        <stp>[Andrea New RollM.xlsm]Crv!R23C4</stp>
        <tr r="D23" s="1"/>
      </tp>
    </main>
    <main first="bloomberg.rtd">
      <tp>
        <v>2.984</v>
        <stp/>
        <stp>##V3_BDPV12</stp>
        <stp>PTOTEKOE0011@CBBT Corp</stp>
        <stp>YAS_BOND_YLD</stp>
        <stp>[Andrea New RollM.xlsm]DB!R231C19</stp>
        <stp>SETTLE_DT=20160909</stp>
        <stp>YAS_BOND_PX=99.137</stp>
        <tr r="S231" s="23"/>
      </tp>
      <tp>
        <v>0.80300000000000005</v>
        <stp/>
        <stp>##V3_BDPV12</stp>
        <stp>EUSWE35 CMPN Curncy</stp>
        <stp>bid</stp>
        <stp>[Andrea New RollM.xlsm]Crv!R40C4</stp>
        <tr r="D40" s="1"/>
      </tp>
    </main>
    <main first="marketviewexcelplugin.mkvxp">
      <tp>
        <v>99.244749999999996</v>
        <stp/>
        <stp>0</stp>
        <stp>EUR.PRICING_MAIN.PXE.FR0013200813</stp>
        <stp>CurrentClosingPriceMid</stp>
        <tr r="L92" s="23"/>
      </tp>
      <tp>
        <v>102.01</v>
        <stp/>
        <stp>0</stp>
        <stp>EUR.PRICING_MAIN.PXE.ES00000128H5</stp>
        <stp>CurrentClosingPriceMid</stp>
        <tr r="L211" s="23"/>
      </tp>
      <tp>
        <v>116.395</v>
        <stp/>
        <stp>0</stp>
        <stp>EUR.PRICING_MAIN.PXE.ES00000128C6</stp>
        <stp>CurrentClosingPriceMid</stp>
        <tr r="L220" s="23"/>
      </tp>
      <tp>
        <v>103.0825</v>
        <stp/>
        <stp>0</stp>
        <stp>EUR.PRICING_MAIN.PXE.ES00000128B8</stp>
        <stp>CurrentClosingPriceMid</stp>
        <tr r="L57" s="23"/>
      </tp>
      <tp>
        <v>100.922</v>
        <stp/>
        <stp>0</stp>
        <stp>EUR.PRICING_MAIN.PXE.ES00000128A0</stp>
        <stp>CurrentClosingPriceMid</stp>
        <tr r="L191" s="23"/>
      </tp>
      <tp>
        <v>122.715</v>
        <stp/>
        <stp>0</stp>
        <stp>EUR.PRICING_MAIN.PXE.ES00000128E2</stp>
        <stp>CurrentClosingPriceMid</stp>
        <tr r="L221" s="23"/>
      </tp>
      <tp>
        <v>187.905</v>
        <stp/>
        <stp>0</stp>
        <stp>EUR.PRICING_MAIN.PXE.FR0010870956</stp>
        <stp>CurrentClosingPriceMid</stp>
        <tr r="L120" s="23"/>
      </tp>
      <tp>
        <v>141.37</v>
        <stp/>
        <stp>0</stp>
        <stp>EUR.PRICING_MAIN.PXE.ES0000012932</stp>
        <stp>CurrentClosingPriceMid</stp>
        <tr r="L216" s="23"/>
      </tp>
      <tp>
        <v>106.22</v>
        <stp/>
        <stp>0</stp>
        <stp>EUR.PRICING_MAIN.PXE.ES00000126Z1</stp>
        <stp>CurrentClosingPriceMid</stp>
        <tr r="L206" s="23"/>
      </tp>
      <tp>
        <v>100.80200000000001</v>
        <stp/>
        <stp>0</stp>
        <stp>EUR.PRICING_MAIN.PXE.ES00000126V0</stp>
        <stp>CurrentClosingPriceMid</stp>
        <tr r="L186" s="23"/>
      </tp>
      <tp>
        <v>104.785</v>
        <stp/>
        <stp>0</stp>
        <stp>EUR.PRICING_MAIN.PXE.ES00000126C0</stp>
        <stp>CurrentClosingPriceMid</stp>
        <tr r="L195" s="23"/>
      </tp>
      <tp>
        <v>115.435</v>
        <stp/>
        <stp>0</stp>
        <stp>EUR.PRICING_MAIN.PXE.ES00000126B2</stp>
        <stp>CurrentClosingPriceMid</stp>
        <tr r="L205" s="23"/>
      </tp>
      <tp>
        <v>109.97</v>
        <stp/>
        <stp>0</stp>
        <stp>EUR.PRICING_MAIN.PXE.FR0010670737</stp>
        <stp>CurrentClosingPriceMid</stp>
        <tr r="L26" s="23"/>
      </tp>
      <tp>
        <v>108.435</v>
        <stp/>
        <stp>0</stp>
        <stp>EUR.PRICING_MAIN.PXE.ES00000127Z9</stp>
        <stp>CurrentClosingPriceMid</stp>
        <tr r="L209" s="23"/>
      </tp>
      <tp>
        <v>104.38500000000001</v>
        <stp/>
        <stp>0</stp>
        <stp>EUR.PRICING_MAIN.PXE.ES00000127H7</stp>
        <stp>CurrentClosingPriceMid</stp>
        <tr r="L197" s="23"/>
      </tp>
      <tp>
        <v>107.19499999999999</v>
        <stp/>
        <stp>0</stp>
        <stp>EUR.PRICING_MAIN.PXE.ES00000127A2</stp>
        <stp>CurrentClosingPriceMid</stp>
        <tr r="L214" s="23"/>
      </tp>
      <tp>
        <v>110.325</v>
        <stp/>
        <stp>0</stp>
        <stp>EUR.PRICING_MAIN.PXE.ES00000127G9</stp>
        <stp>CurrentClosingPriceMid</stp>
        <tr r="L208" s="23"/>
      </tp>
      <tp>
        <v>100.752</v>
        <stp/>
        <stp>0</stp>
        <stp>EUR.PRICING_MAIN.PXE.ES00000127D6</stp>
        <stp>CurrentClosingPriceMid</stp>
        <tr r="L188" s="23"/>
      </tp>
      <tp>
        <v>104.60899999999999</v>
        <stp/>
        <stp>0</stp>
        <stp>EUR.PRICING_MAIN.PXE.ES0000012783</stp>
        <stp>CurrentClosingPriceMid</stp>
        <tr r="L185" s="23"/>
      </tp>
    </main>
    <main first="bloomberg.rtd">
      <tp>
        <v>-0.35299999999999998</v>
        <stp/>
        <stp>##V3_BDPV12</stp>
        <stp>IT0004987191@CBBT Corp</stp>
        <stp>YAS_BOND_YLD</stp>
        <stp>[Andrea New RollM.xlsm]DB!R8C18</stp>
        <stp>SETTLE_DT=20161004</stp>
        <stp>YAS_BOND_PX=100.365</stp>
        <tr r="R8" s="23"/>
      </tp>
    </main>
    <main first="marketviewexcelplugin.mkvxp">
      <tp>
        <v>122.94499999999999</v>
        <stp/>
        <stp>0</stp>
        <stp>EUR.PRICING_MAIN.PXE.ES00000124W3</stp>
        <stp>CurrentClosingPriceMid</stp>
        <tr r="L204" s="23"/>
      </tp>
      <tp>
        <v>107.325</v>
        <stp/>
        <stp>0</stp>
        <stp>EUR.PRICING_MAIN.PXE.ES00000124V5</stp>
        <stp>CurrentClosingPriceMid</stp>
        <tr r="L192" s="23"/>
      </tp>
      <tp>
        <v>101.312</v>
        <stp/>
        <stp>0</stp>
        <stp>EUR.PRICING_MAIN.PXE.ES00000124I2</stp>
        <stp>CurrentClosingPriceMid</stp>
        <tr r="L184" s="23"/>
      </tp>
      <tp>
        <v>164.74</v>
        <stp/>
        <stp>0</stp>
        <stp>EUR.PRICING_MAIN.PXE.ES00000124H4</stp>
        <stp>CurrentClosingPriceMid</stp>
        <tr r="L219" s="23"/>
      </tp>
      <tp>
        <v>143.375</v>
        <stp/>
        <stp>0</stp>
        <stp>EUR.PRICING_MAIN.PXE.ES00000124C5</stp>
        <stp>CurrentClosingPriceMid</stp>
        <tr r="L212" s="23"/>
      </tp>
      <tp>
        <v>108.197</v>
        <stp/>
        <stp>0</stp>
        <stp>EUR.PRICING_MAIN.PXE.ES00000124B7</stp>
        <stp>CurrentClosingPriceMid</stp>
        <tr r="L190" s="23"/>
      </tp>
      <tp>
        <v>160.44999999999999</v>
        <stp/>
        <stp>0</stp>
        <stp>EUR.PRICING_MAIN.PXE.ES0000012411</stp>
        <stp>CurrentClosingPriceMid</stp>
        <tr r="L215" s="23"/>
      </tp>
      <tp>
        <v>119.5625</v>
        <stp/>
        <stp>0</stp>
        <stp>EUR.PRICING_MAIN.PXE.ES00000122T3</stp>
        <stp>CurrentClosingPriceMid</stp>
        <tr r="L198" s="23"/>
      </tp>
      <tp>
        <v>131.595</v>
        <stp/>
        <stp>0</stp>
        <stp>EUR.PRICING_MAIN.PXE.ES00000122E5</stp>
        <stp>CurrentClosingPriceMid</stp>
        <tr r="L207" s="23"/>
      </tp>
      <tp>
        <v>114.27500000000001</v>
        <stp/>
        <stp>0</stp>
        <stp>EUR.PRICING_MAIN.PXE.ES00000122D7</stp>
        <stp>CurrentClosingPriceMid</stp>
        <tr r="L196" s="23"/>
      </tp>
      <tp>
        <v>126.77</v>
        <stp/>
        <stp>0</stp>
        <stp>EUR.PRICING_MAIN.PXE.ES00000123X3</stp>
        <stp>CurrentClosingPriceMid</stp>
        <tr r="L202" s="23"/>
      </tp>
      <tp>
        <v>106.185</v>
        <stp/>
        <stp>0</stp>
        <stp>EUR.PRICING_MAIN.PXE.ES00000123Q7</stp>
        <stp>CurrentClosingPriceMid</stp>
        <tr r="L187" s="23"/>
      </tp>
      <tp>
        <v>131.35499999999999</v>
        <stp/>
        <stp>0</stp>
        <stp>EUR.PRICING_MAIN.PXE.ES00000123U9</stp>
        <stp>CurrentClosingPriceMid</stp>
        <tr r="L201" s="23"/>
      </tp>
      <tp>
        <v>129.85499999999999</v>
        <stp/>
        <stp>0</stp>
        <stp>EUR.PRICING_MAIN.PXE.ES00000123K0</stp>
        <stp>CurrentClosingPriceMid</stp>
        <tr r="L200" s="23"/>
      </tp>
      <tp>
        <v>100.23399999999999</v>
        <stp/>
        <stp>0</stp>
        <stp>EUR.PRICING_MAIN.PXE.ES00000123J2</stp>
        <stp>CurrentClosingPriceMid</stp>
        <tr r="L182" s="23"/>
      </tp>
      <tp>
        <v>145.065</v>
        <stp/>
        <stp>0</stp>
        <stp>EUR.PRICING_MAIN.PXE.ES00000123C7</stp>
        <stp>CurrentClosingPriceMid</stp>
        <tr r="L210" s="23"/>
      </tp>
      <tp>
        <v>124.6575</v>
        <stp/>
        <stp>0</stp>
        <stp>EUR.PRICING_MAIN.PXE.ES00000123B9</stp>
        <stp>CurrentClosingPriceMid</stp>
        <tr r="L199" s="23"/>
      </tp>
    </main>
    <main first="bloomberg.rtd">
      <tp>
        <v>-0.372</v>
        <stp/>
        <stp>##V3_BDPV12</stp>
        <stp>IT0004987191@CBBT Corp</stp>
        <stp>YAS_BOND_YLD</stp>
        <stp>[Andrea New RollM.xlsm]DB!R8C17</stp>
        <stp>SETTLE_DT=20161011</stp>
        <stp>YAS_BOND_PX=100.333</stp>
        <tr r="Q8" s="23"/>
      </tp>
    </main>
    <main first="marketviewexcelplugin.mkvxp">
      <tp>
        <v>101.245</v>
        <stp/>
        <stp>0</stp>
        <stp>EUR.PRICING_MAIN.PXE.ES00000120J8</stp>
        <stp>CurrentClosingPriceMid</stp>
        <tr r="L183" s="23"/>
      </tp>
      <tp>
        <v>156.315</v>
        <stp/>
        <stp>0</stp>
        <stp>EUR.PRICING_MAIN.PXE.ES00000120N0</stp>
        <stp>CurrentClosingPriceMid</stp>
        <tr r="L217" s="23"/>
      </tp>
      <tp>
        <v>153.41999999999999</v>
        <stp/>
        <stp>0</stp>
        <stp>EUR.PRICING_MAIN.PXE.ES00000121S7</stp>
        <stp>CurrentClosingPriceMid</stp>
        <tr r="L218" s="23"/>
      </tp>
      <tp>
        <v>113.33499999999999</v>
        <stp/>
        <stp>0</stp>
        <stp>EUR.PRICING_MAIN.PXE.ES00000121O6</stp>
        <stp>CurrentClosingPriceMid</stp>
        <tr r="L194" s="23"/>
      </tp>
      <tp>
        <v>113.13</v>
        <stp/>
        <stp>0</stp>
        <stp>EUR.PRICING_MAIN.PXE.ES00000121L2</stp>
        <stp>CurrentClosingPriceMid</stp>
        <tr r="L193" s="23"/>
      </tp>
      <tp>
        <v>107.774</v>
        <stp/>
        <stp>0</stp>
        <stp>EUR.PRICING_MAIN.PXE.ES00000121A5</stp>
        <stp>CurrentClosingPriceMid</stp>
        <tr r="L189" s="23"/>
      </tp>
      <tp>
        <v>130.04</v>
        <stp/>
        <stp>0</stp>
        <stp>EUR.PRICING_MAIN.PXE.ES00000121G2</stp>
        <stp>CurrentClosingPriceMid</stp>
        <tr r="L203" s="23"/>
      </tp>
      <tp>
        <v>168.434224</v>
        <stp/>
        <stp>0</stp>
        <stp>EUR.PRICING_MAIN.PXE.FR0010070060</stp>
        <stp>CurrentClosingPriceMid</stp>
        <tr r="L106" s="23"/>
      </tp>
    </main>
    <main first="bloomberg.rtd">
      <tp t="s">
        <v>01/11/2012</v>
        <stp/>
        <stp>##V3_BDPV12</stp>
        <stp>IT0004867070 Corp</stp>
        <stp>ISSUE_DT</stp>
        <stp>[Andrea New RollM.xlsm]Ita!R10C25</stp>
        <tr r="Y10" s="7"/>
      </tp>
      <tp t="s">
        <v>22/01/2013</v>
        <stp/>
        <stp>##V3_BDPV12</stp>
        <stp>IT0004889033 Corp</stp>
        <stp>ISSUE_DT</stp>
        <stp>[Andrea New RollM.xlsm]Ita!R59C25</stp>
        <tr r="Y59" s="7"/>
      </tp>
      <tp t="s">
        <v>01/03/2013</v>
        <stp/>
        <stp>##V3_BDPV12</stp>
        <stp>IT0004898034 Corp</stp>
        <stp>ISSUE_DT</stp>
        <stp>[Andrea New RollM.xlsm]Ita!R44C25</stp>
        <tr r="Y44" s="7"/>
      </tp>
      <tp t="s">
        <v>02/05/2008</v>
        <stp/>
        <stp>##V3_BDPV12</stp>
        <stp>IT0004361041 Corp</stp>
        <stp>ISSUE_DT</stp>
        <stp>[Andrea New RollM.xlsm]Ita!R15C25</stp>
        <tr r="Y15" s="7"/>
      </tp>
      <tp t="s">
        <v>03/02/1997</v>
        <stp/>
        <stp>##V3_BDPV12</stp>
        <stp>IT0001086567 Corp</stp>
        <stp>ISSUE_DT</stp>
        <stp>[Andrea New RollM.xlsm]Ita!R56C25</stp>
        <tr r="Y56" s="7"/>
      </tp>
      <tp t="s">
        <v>02/11/2015</v>
        <stp/>
        <stp>##V3_BDPV12</stp>
        <stp>IT0005142143 Corp</stp>
        <stp>ISSUE_DT</stp>
        <stp>[Andrea New RollM.xlsm]Ita!R30C25</stp>
        <tr r="Y30" s="7"/>
      </tp>
      <tp t="s">
        <v>18/11/1998</v>
        <stp/>
        <stp>##V3_BDPV12</stp>
        <stp>IT0001278511 Corp</stp>
        <stp>ISSUE_DT</stp>
        <stp>[Andrea New RollM.xlsm]Ita!R60C25</stp>
        <tr r="Y60" s="7"/>
      </tp>
      <tp t="s">
        <v>01/03/2011</v>
        <stp/>
        <stp>##V3_BDPV12</stp>
        <stp>IT0004695075 Corp</stp>
        <stp>ISSUE_DT</stp>
        <stp>[Andrea New RollM.xlsm]Ita!R35C25</stp>
        <tr r="Y35" s="7"/>
      </tp>
      <tp t="s">
        <v>24/03/2004</v>
        <stp/>
        <stp>##V3_BDPV12</stp>
        <stp>IT0003644769 Corp</stp>
        <stp>ISSUE_DT</stp>
        <stp>[Andrea New RollM.xlsm]Ita!R26C25</stp>
        <tr r="Y26" s="7"/>
      </tp>
    </main>
    <main first="marketviewexcelplugin.mkvxp">
      <tp>
        <v>106.13500000000001</v>
        <stp/>
        <stp>0</stp>
        <stp>EUR.PRICING_MAIN.PXE.IE00B8DLLB38</stp>
        <stp>CurrentClosingPriceMid</stp>
        <tr r="L237" s="23"/>
      </tp>
    </main>
    <main first="bloomberg.rtd">
      <tp>
        <v>4.75</v>
        <stp/>
        <stp>##V3_BDPV12</stp>
        <stp>IT0004356843 Corp</stp>
        <stp>CPN</stp>
        <stp>[Andrea New RollM.xlsm]CCT!R39C6</stp>
        <tr r="F39" s="27"/>
      </tp>
      <tp>
        <v>-0.28399999999999997</v>
        <stp/>
        <stp>##V3_BDPV12</stp>
        <stp>IE00B60Z6194@CBBT Corp</stp>
        <stp>YAS_BOND_YLD</stp>
        <stp>[Andrea New RollM.xlsm]DB!R242C19</stp>
        <stp>SETTLE_DT=20160909</stp>
        <stp>YAS_BOND_PX=121.86</stp>
        <tr r="S242" s="23"/>
      </tp>
      <tp>
        <v>121.88200000000001</v>
        <stp/>
        <stp>##V3_BDHV12</stp>
        <stp>IE00B60Z6194@CBBT Corp</stp>
        <stp>OPEN</stp>
        <stp>11/10/2016 4:15:00 PM</stp>
        <stp>11/10/2016 5:15:00 PM</stp>
        <stp>[Andrea New RollM.xlsm]DB!R242C14</stp>
        <stp>BarSz=60</stp>
        <stp>BarTp=T</stp>
        <stp>RecurDaily=True</stp>
        <stp>TZ=London</stp>
        <stp>DTS=H</stp>
        <tr r="N242" s="23"/>
      </tp>
    </main>
    <main first="marketviewexcelplugin.mkvxp">
      <tp>
        <v>-0.42071570576540757</v>
        <stp/>
        <stp>0</stp>
        <stp>EUR.CM_DEPTH.VMO_REPO.IT0005069395_SN_Fixed</stp>
        <stp>TrdValueAvg</stp>
        <tr r="V25" s="7"/>
      </tp>
      <tp>
        <v>-0.42694560669456061</v>
        <stp/>
        <stp>0</stp>
        <stp>EUR.CM_DEPTH.VMO_REPO.IT0004992308_SN_Fixed</stp>
        <stp>TrdValueAvg</stp>
        <tr r="V21" s="7"/>
      </tp>
      <tp>
        <v>-0.41539617486338803</v>
        <stp/>
        <stp>0</stp>
        <stp>EUR.CM_DEPTH.VMO_REPO.IT0004966401_SN_Fixed</stp>
        <stp>TrdValueAvg</stp>
        <tr r="V32" s="7"/>
      </tp>
      <tp>
        <v>-0.44394520547945221</v>
        <stp/>
        <stp>0</stp>
        <stp>EUR.CM_DEPTH.VMO_REPO.IT0005127086_SN_Fixed</stp>
        <stp>TrdValueAvg</stp>
        <tr r="V53" s="7"/>
      </tp>
    </main>
    <main first="bloomberg.rtd">
      <tp>
        <v>113.163</v>
        <stp/>
        <stp>##V3_BDHV12</stp>
        <stp>IE00B2QTFG59@CBBT Corp</stp>
        <stp>OPEN</stp>
        <stp>11/10/2016 4:15:00 PM</stp>
        <stp>11/10/2016 5:15:00 PM</stp>
        <stp>[Andrea New RollM.xlsm]DB!R239C14</stp>
        <stp>BarSz=60</stp>
        <stp>BarTp=T</stp>
        <stp>RecurDaily=True</stp>
        <stp>TZ=London</stp>
        <stp>DTS=H</stp>
        <tr r="N239" s="23"/>
      </tp>
    </main>
    <main first="marketviewexcelplugin.mkvxp">
      <tp>
        <v>153.88499999999999</v>
        <stp/>
        <stp>0</stp>
        <stp>EUR.PRICING_MAIN.PXE.ES0000011868</stp>
        <stp>CurrentClosingPriceMid</stp>
        <tr r="L213" s="23"/>
      </tp>
      <tp>
        <v>125.75</v>
        <stp/>
        <stp>0</stp>
        <stp>EUR.PRICING_MAIN.PXE.FR0011883966</stp>
        <stp>CurrentClosingPriceMid</stp>
        <tr r="L99" s="23"/>
      </tp>
      <tp>
        <v>112.175</v>
        <stp/>
        <stp>0</stp>
        <stp>EUR.PRICING_MAIN.PXE.FR0012993103</stp>
        <stp>CurrentClosingPriceMid</stp>
        <tr r="L101" s="23"/>
      </tp>
      <tp>
        <v>103.44750000000001</v>
        <stp/>
        <stp>0</stp>
        <stp>EUR.PRICING_MAIN.PXE.FR0011523257</stp>
        <stp>CurrentClosingPriceMid</stp>
        <tr r="L27" s="23"/>
      </tp>
      <tp>
        <v>175.875</v>
        <stp/>
        <stp>0</stp>
        <stp>EUR.PRICING_MAIN.PXE.FR0010773192</stp>
        <stp>CurrentClosingPriceMid</stp>
        <tr r="L113" s="23"/>
      </tp>
      <tp>
        <v>103.285</v>
        <stp/>
        <stp>0</stp>
        <stp>EUR.PRICING_MAIN.PXE.FR0011993179</stp>
        <stp>CurrentClosingPriceMid</stp>
        <tr r="L40" s="23"/>
      </tp>
    </main>
    <main first="bloomberg.rtd">
      <tp t="s">
        <v>03/02/2014</v>
        <stp/>
        <stp>##V3_BDPV12</stp>
        <stp>IT0004992308 Corp</stp>
        <stp>ISSUE_DT</stp>
        <stp>[Andrea New RollM.xlsm]Ita!R21C25</stp>
        <tr r="Y21" s="7"/>
      </tp>
      <tp t="s">
        <v>01/09/2014</v>
        <stp/>
        <stp>##V3_BDPV12</stp>
        <stp>IT0005045270 Corp</stp>
        <stp>ISSUE_DT</stp>
        <stp>[Andrea New RollM.xlsm]Ita!R50C25</stp>
        <tr r="Y50" s="7"/>
      </tp>
      <tp t="s">
        <v>15/04/2016</v>
        <stp/>
        <stp>##V3_BDPV12</stp>
        <stp>IT0005177271 Corp</stp>
        <stp>ISSUE_DT</stp>
        <stp>[Andrea New RollM.xlsm]Ita!R20C25</stp>
        <tr r="Y20" s="7"/>
      </tp>
      <tp t="s">
        <v>15/09/2016</v>
        <stp/>
        <stp>##V3_BDPV12</stp>
        <stp>IT0005215246 Corp</stp>
        <stp>ISSUE_DT</stp>
        <stp>[Andrea New RollM.xlsm]Ita!R46C25</stp>
        <tr r="Y46" s="7"/>
      </tp>
      <tp t="s">
        <v>21/05/2014</v>
        <stp/>
        <stp>##V3_BDPV12</stp>
        <stp>IT0005024234 Corp</stp>
        <stp>ISSUE_DT</stp>
        <stp>[Andrea New RollM.xlsm]Ita!R61C25</stp>
        <tr r="Y61" s="7"/>
      </tp>
      <tp t="s">
        <v>01/11/1997</v>
        <stp/>
        <stp>##V3_BDPV12</stp>
        <stp>IT0001174611 Corp</stp>
        <stp>ISSUE_DT</stp>
        <stp>[Andrea New RollM.xlsm]Ita!R58C25</stp>
        <tr r="Y58" s="7"/>
      </tp>
      <tp t="s">
        <v>#N/A N/A</v>
        <stp/>
        <stp>##V3_BDHV12</stp>
        <stp>IT0004019581@CBBT Corp</stp>
        <stp>OPEN</stp>
        <stp>11/10/2016 4:15:00 PM</stp>
        <stp>11/10/2016 5:15:00 PM</stp>
        <stp>[Andrea New RollM.xlsm]DB!R5C14</stp>
        <stp>BarSz=60</stp>
        <stp>BarTp=T</stp>
        <stp>RecurDaily=True</stp>
        <stp>TZ=London</stp>
        <stp>DTS=H</stp>
        <tr r="N5" s="23"/>
      </tp>
      <tp>
        <v>126.175</v>
        <stp/>
        <stp>##V3_BDPV12</stp>
        <stp>IT0004356843 Corp</stp>
        <stp>ASK</stp>
        <stp>[Andrea New RollM.xlsm]CCT!R39C9</stp>
        <tr r="I39" s="27"/>
      </tp>
    </main>
    <main first="marketviewexcelplugin.mkvxp">
      <tp>
        <v>-0.41812396694214876</v>
        <stp/>
        <stp>0</stp>
        <stp>EUR.CM_DEPTH.VMO_REPO.IT0004820426_SN_Fixed</stp>
        <stp>TrdValueAvg</stp>
        <tr r="V8" s="7"/>
      </tp>
    </main>
    <main first="bloomberg.rtd">
      <tp>
        <v>13107937000</v>
        <stp/>
        <stp>##V3_BDPV12</stp>
        <stp>IT0004793474 Corp</stp>
        <stp>AMT_OUTSTANDING</stp>
        <stp>[Andrea New RollM.xlsm]Ita!R6C26</stp>
        <tr r="Z6" s="7"/>
      </tp>
    </main>
    <main first="marketviewexcelplugin.mkvxp">
      <tp>
        <v>119.015</v>
        <stp/>
        <stp>0</stp>
        <stp>EUR.PRICING_MAIN.PXE.FR0010192997</stp>
        <stp>CurrentClosingPriceMid</stp>
        <tr r="L53" s="23"/>
      </tp>
      <tp>
        <v>114.06699999999999</v>
        <stp/>
        <stp>0</stp>
        <stp>EUR.PRICING_MAIN.PXE.FR0011962398</stp>
        <stp>CurrentClosingPriceMid</stp>
        <tr r="L80" s="23"/>
      </tp>
    </main>
    <main first="bloomberg.rtd">
      <tp>
        <v>-3.4000000000000002E-2</v>
        <stp/>
        <stp>##V3_BDPV12</stp>
        <stp>IE00B4S3JD47@CBBT Corp</stp>
        <stp>YAS_BOND_YLD</stp>
        <stp>[Andrea New RollM.xlsm]DB!R244C17</stp>
        <stp>SETTLE_DT=20161011</stp>
        <stp>YAS_BOND_PX=125.363</stp>
        <tr r="Q244" s="23"/>
      </tp>
      <tp t="s">
        <v>11/10/2016</v>
        <stp/>
        <stp>##V3_BDPV12</stp>
        <stp>IT0005217390 Corp</stp>
        <stp>ISSUE_DT</stp>
        <stp>[Andrea New RollM.xlsm]Ita!R73C25</stp>
        <tr r="Y73" s="7"/>
      </tp>
      <tp>
        <v>-0.35099999999999998</v>
        <stp/>
        <stp>##V3_BDPV12</stp>
        <stp>IE00B2QTFG59@CBBT Corp</stp>
        <stp>YAS_BOND_YLD</stp>
        <stp>[Andrea New RollM.xlsm]DB!R239C19</stp>
        <stp>SETTLE_DT=20160909</stp>
        <stp>YAS_BOND_PX=113.262</stp>
        <tr r="S239" s="23"/>
      </tp>
      <tp t="s">
        <v>01/12/2014</v>
        <stp/>
        <stp>##V3_BDPV12</stp>
        <stp>IT0005069395 Corp</stp>
        <stp>ISSUE_DT</stp>
        <stp>[Andrea New RollM.xlsm]Ita!R25C25</stp>
        <tr r="Y25" s="7"/>
      </tp>
      <tp t="s">
        <v>18/11/1993</v>
        <stp/>
        <stp>##V3_BDPV12</stp>
        <stp>IT0000366655 Corp</stp>
        <stp>ISSUE_DT</stp>
        <stp>[Andrea New RollM.xlsm]Ita!R47C25</stp>
        <tr r="Y47" s="7"/>
      </tp>
      <tp t="s">
        <v>15/03/2016</v>
        <stp/>
        <stp>##V3_BDPV12</stp>
        <stp>IT0005172322 Corp</stp>
        <stp>ISSUE_DT</stp>
        <stp>[Andrea New RollM.xlsm]Ita!R43C25</stp>
        <tr r="Y43" s="7"/>
      </tp>
      <tp t="s">
        <v>02/03/2015</v>
        <stp/>
        <stp>##V3_BDPV12</stp>
        <stp>IT0005090318 Corp</stp>
        <stp>ISSUE_DT</stp>
        <stp>[Andrea New RollM.xlsm]Ita!R52C25</stp>
        <tr r="Y52" s="7"/>
      </tp>
    </main>
    <main first="marketviewexcelplugin.mkvxp">
      <tp>
        <v>103.468461</v>
        <stp/>
        <stp>0</stp>
        <stp>EUR.PRICING_MAIN.PXE.DE0001141729</stp>
        <stp>CurrentClosingPriceMid</stp>
        <tr r="L150" s="23"/>
      </tp>
      <tp>
        <v>102.477108</v>
        <stp/>
        <stp>0</stp>
        <stp>EUR.PRICING_MAIN.PXE.DE0001141737</stp>
        <stp>CurrentClosingPriceMid</stp>
        <tr r="L152" s="23"/>
      </tp>
      <tp>
        <v>102.77099800000001</v>
        <stp/>
        <stp>0</stp>
        <stp>EUR.PRICING_MAIN.PXE.DE0001141703</stp>
        <stp>CurrentClosingPriceMid</stp>
        <tr r="L145" s="23"/>
      </tp>
      <tp>
        <v>102.25542799999999</v>
        <stp/>
        <stp>0</stp>
        <stp>EUR.PRICING_MAIN.PXE.DE0001141711</stp>
        <stp>CurrentClosingPriceMid</stp>
        <tr r="L147" s="23"/>
      </tp>
      <tp>
        <v>102.46389499999999</v>
        <stp/>
        <stp>0</stp>
        <stp>EUR.PRICING_MAIN.PXE.DE0001141745</stp>
        <stp>CurrentClosingPriceMid</stp>
        <tr r="L155" s="23"/>
      </tp>
      <tp>
        <v>104.00966</v>
        <stp/>
        <stp>0</stp>
        <stp>EUR.PRICING_MAIN.PXE.DE0001141687</stp>
        <stp>CurrentClosingPriceMid</stp>
        <tr r="L142" s="23"/>
      </tp>
      <tp>
        <v>102.978644</v>
        <stp/>
        <stp>0</stp>
        <stp>EUR.PRICING_MAIN.PXE.DE0001141695</stp>
        <stp>CurrentClosingPriceMid</stp>
        <tr r="L143" s="23"/>
      </tp>
      <tp>
        <v>100.55200000000001</v>
        <stp/>
        <stp>0</stp>
        <stp>EUR.PRICING_MAIN.PXE.DE0001141620</stp>
        <stp>CurrentClosingPriceMid</stp>
        <tr r="L125" s="23"/>
      </tp>
      <tp>
        <v>100.63500000000001</v>
        <stp/>
        <stp>0</stp>
        <stp>EUR.PRICING_MAIN.PXE.DE0001141638</stp>
        <stp>CurrentClosingPriceMid</stp>
        <tr r="L127" s="23"/>
      </tp>
      <tp>
        <v>100.011</v>
        <stp/>
        <stp>0</stp>
        <stp>EUR.PRICING_MAIN.PXE.DE0001141612</stp>
        <stp>CurrentClosingPriceMid</stp>
        <tr r="L123" s="23"/>
      </tp>
      <tp>
        <v>101.389</v>
        <stp/>
        <stp>0</stp>
        <stp>EUR.PRICING_MAIN.PXE.DE0001141661</stp>
        <stp>CurrentClosingPriceMid</stp>
        <tr r="L136" s="23"/>
      </tp>
      <tp>
        <v>103.390277</v>
        <stp/>
        <stp>0</stp>
        <stp>EUR.PRICING_MAIN.PXE.DE0001141679</stp>
        <stp>CurrentClosingPriceMid</stp>
        <tr r="L140" s="23"/>
      </tp>
      <tp>
        <v>101.2</v>
        <stp/>
        <stp>0</stp>
        <stp>EUR.PRICING_MAIN.PXE.DE0001141646</stp>
        <stp>CurrentClosingPriceMid</stp>
        <tr r="L131" s="23"/>
      </tp>
      <tp>
        <v>101.626</v>
        <stp/>
        <stp>0</stp>
        <stp>EUR.PRICING_MAIN.PXE.DE0001141653</stp>
        <stp>CurrentClosingPriceMid</stp>
        <tr r="L134" s="23"/>
      </tp>
    </main>
    <main first="bloomberg.rtd">
      <tp>
        <v>100.36499999999999</v>
        <stp/>
        <stp>##V3_BDHV12</stp>
        <stp>IT0004987191@CBBT Corp</stp>
        <stp>OPEN</stp>
        <stp>04/10/2016 4:15:00 PM</stp>
        <stp>04/10/2016 5:15:00 PM</stp>
        <stp>[Andrea New RollM.xlsm]DB!R8C15</stp>
        <stp>BarSz=60</stp>
        <stp>BarTp=T</stp>
        <stp>RecurDaily=True</stp>
        <stp>TZ=London</stp>
        <stp>DTS=H</stp>
        <tr r="O8" s="23"/>
      </tp>
      <tp>
        <v>102.8</v>
        <stp/>
        <stp>##V3_BDPV12</stp>
        <stp>IT0004793474 Corp</stp>
        <stp>ASK</stp>
        <stp>[Andrea New RollM.xlsm]CCT!R23C9</stp>
        <tr r="I23" s="27"/>
      </tp>
      <tp>
        <v>108.2</v>
        <stp/>
        <stp>##V3_BDPV12</stp>
        <stp>IT0004361041 Corp</stp>
        <stp>ASK</stp>
        <stp>[Andrea New RollM.xlsm]CCT!R29C9</stp>
        <tr r="I29" s="27"/>
      </tp>
    </main>
    <main first="bloomberg.rtd">
      <tp>
        <v>1.3280000000000001</v>
        <stp/>
        <stp>##V3_BDPV12</stp>
        <stp>FR0010870956@CBBT Corp</stp>
        <stp>YAS_BOND_YLD</stp>
        <stp>[Andrea New RollM.xlsm]DB!R120C17</stp>
        <stp>SETTLE_DT=20161011</stp>
        <stp>YAS_BOND_PX=187.9</stp>
        <tr r="Q120" s="23"/>
      </tp>
    </main>
    <main first="marketviewexcelplugin.mkvxp">
      <tp>
        <v>-0.44666666666666666</v>
        <stp/>
        <stp>0</stp>
        <stp>EUR.CM_DEPTH.VMO_REPO.IT0004889033_SN_Fixed</stp>
        <stp>TrdValueAvg</stp>
        <tr r="V59" s="7"/>
      </tp>
    </main>
    <main first="bloomberg.rtd">
      <tp t="s">
        <v>11/10/2016</v>
        <stp/>
        <stp>##V3_BDPV12</stp>
        <stp>IT0004953417 Govt</stp>
        <stp>PREVIOUS_TRADING_DATE</stp>
        <stp>[Andrea New RollM.xlsm]DB!R2C22</stp>
        <tr r="V2" s="23"/>
      </tp>
    </main>
    <main first="marketviewexcelplugin.mkvxp">
      <tp>
        <v>-0.40886711111111118</v>
        <stp/>
        <stp>0</stp>
        <stp>EUR.CM_DEPTH.VMO_REPO.IT0004898034_SN_Fixed</stp>
        <stp>TrdValueAvg</stp>
        <tr r="V44" s="7"/>
      </tp>
      <tp>
        <v>-0.40289473684210531</v>
        <stp/>
        <stp>0</stp>
        <stp>EUR.CM_DEPTH.VMO_REPO.IT0005217390_SN_Fixed</stp>
        <stp>TrdValueAvg</stp>
        <tr r="V73" s="7"/>
      </tp>
      <tp>
        <v>-0.46434267241379318</v>
        <stp/>
        <stp>0</stp>
        <stp>EUR.CM_DEPTH.VMO_REPO.IT0005216491_SN_Fixed</stp>
        <stp>TrdValueAvg</stp>
        <tr r="V36" s="7"/>
      </tp>
      <tp>
        <v>-0.40669158878504674</v>
        <stp/>
        <stp>0</stp>
        <stp>EUR.CM_DEPTH.VMO_REPO.IT0004960826_SN_Fixed</stp>
        <stp>TrdValueAvg</stp>
        <tr r="V3" s="7"/>
      </tp>
      <tp>
        <v>-0.40379999999999994</v>
        <stp/>
        <stp>0</stp>
        <stp>EUR.CM_DEPTH.VMO_REPO.IT0004848831_SN_Fixed</stp>
        <stp>TrdValueAvg</stp>
        <tr r="V42" s="7"/>
      </tp>
      <tp>
        <v>-0.41618518518518521</v>
        <stp/>
        <stp>0</stp>
        <stp>EUR.CM_DEPTH.VMO_REPO.IT0004273493_SN_Fixed</stp>
        <stp>TrdValueAvg</stp>
        <tr r="V12" s="7"/>
      </tp>
    </main>
    <main first="marketviewexcelplugin.mkvxp">
      <tp>
        <v>110.753821</v>
        <stp/>
        <stp>0</stp>
        <stp>EUR.PRICING_MAIN.PXE.IT0004423957</stp>
        <stp>CurrentClosingPriceMid</stp>
        <tr r="L31" s="23"/>
      </tp>
      <tp>
        <v>147.40700000000001</v>
        <stp/>
        <stp>0</stp>
        <stp>EUR.PRICING_MAIN.PXE.IT0004923998</stp>
        <stp>CurrentClosingPriceMid</stp>
        <tr r="L114" s="23"/>
      </tp>
      <tp>
        <v>109.79</v>
        <stp/>
        <stp>0</stp>
        <stp>EUR.PRICING_MAIN.PXE.IT0003493258</stp>
        <stp>CurrentClosingPriceMid</stp>
        <tr r="L29" s="23"/>
      </tp>
      <tp>
        <v>100.86450000000001</v>
        <stp/>
        <stp>0</stp>
        <stp>EUR.PRICING_MAIN.PXE.IT0005023459</stp>
        <stp>CurrentClosingPriceMid</stp>
        <tr r="L12" s="23"/>
      </tp>
      <tp>
        <v>106.047399</v>
        <stp/>
        <stp>0</stp>
        <stp>EUR.PRICING_MAIN.PXE.IT0004273493</stp>
        <stp>CurrentClosingPriceMid</stp>
        <tr r="L18" s="23"/>
      </tp>
      <tp>
        <v>125.05800000000001</v>
        <stp/>
        <stp>0</stp>
        <stp>EUR.PRICING_MAIN.PXE.IT0004953417</stp>
        <stp>CurrentClosingPriceMid</stp>
        <tr r="L77" s="23"/>
      </tp>
      <tp>
        <v>102.812</v>
        <stp/>
        <stp>0</stp>
        <stp>EUR.PRICING_MAIN.PXE.IT0004793474</stp>
        <stp>CurrentClosingPriceMid</stp>
        <tr r="L11" s="23"/>
      </tp>
      <tp>
        <v>130.649</v>
        <stp/>
        <stp>0</stp>
        <stp>EUR.PRICING_MAIN.PXE.IT0004513641</stp>
        <stp>CurrentClosingPriceMid</stp>
        <tr r="L82" s="23"/>
      </tp>
      <tp>
        <v>117.13432400000001</v>
        <stp/>
        <stp>0</stp>
        <stp>EUR.PRICING_MAIN.PXE.IT0005083057</stp>
        <stp>CurrentClosingPriceMid</stp>
        <tr r="L116" s="23"/>
      </tp>
    </main>
    <main first="bloomberg.rtd">
      <tp>
        <v>5.5</v>
        <stp/>
        <stp>##V3_BDPV12</stp>
        <stp>IT0004848831 Corp</stp>
        <stp>CPN</stp>
        <stp>[Andrea New RollM.xlsm]CCT!R37C6</stp>
        <tr r="F37" s="27"/>
      </tp>
      <tp>
        <v>103.07</v>
        <stp/>
        <stp>##V3_BDPV12</stp>
        <stp>IT0005069395 Corp</stp>
        <stp>ASK</stp>
        <stp>[Andrea New RollM.xlsm]CCT!R32C9</stp>
        <tr r="I32" s="27"/>
      </tp>
      <tp>
        <v>107.575</v>
        <stp/>
        <stp>##V3_BDPV12</stp>
        <stp>IT0004957574 Corp</stp>
        <stp>ASK</stp>
        <stp>[Andrea New RollM.xlsm]CCT!R30C9</stp>
        <tr r="I30" s="27"/>
      </tp>
      <tp>
        <v>100.54</v>
        <stp/>
        <stp>##V3_BDPV12</stp>
        <stp>IT0005106049 Corp</stp>
        <stp>ASK</stp>
        <stp>[Andrea New RollM.xlsm]CCT!R28C9</stp>
        <tr r="I28" s="27"/>
      </tp>
      <tp>
        <v>100.94</v>
        <stp/>
        <stp>##V3_BDPV12</stp>
        <stp>IT0005104473 Corp</stp>
        <stp>ASK</stp>
        <stp>[Andrea New RollM.xlsm]CCT!R12C9</stp>
        <tr r="I12" s="27"/>
      </tp>
      <tp>
        <v>101.325</v>
        <stp/>
        <stp>##V3_BDPV12</stp>
        <stp>IT0004164775 Corp</stp>
        <stp>ASK</stp>
        <stp>[Andrea New RollM.xlsm]CCT!R22C9</stp>
        <tr r="I22" s="27"/>
      </tp>
    </main>
    <main first="marketviewexcelplugin.mkvxp">
      <tp>
        <v>-0.42872448979591837</v>
        <stp/>
        <stp>0</stp>
        <stp>EUR.CM_DEPTH.VMO_REPO.IT0004286966_SN_Fixed</stp>
        <stp>TrdValueAvg</stp>
        <tr r="V68" s="7"/>
      </tp>
    </main>
    <main first="bloomberg.rtd">
      <tp>
        <v>24397060000</v>
        <stp/>
        <stp>##V3_BDPV12</stp>
        <stp>IT0004164775 Corp</stp>
        <stp>AMT_OUTSTANDING</stp>
        <stp>[Andrea New RollM.xlsm]Ita!R5C26</stp>
        <tr r="Z5" s="7"/>
      </tp>
    </main>
    <main first="marketviewexcelplugin.mkvxp">
      <tp>
        <v>-0.40979591836734697</v>
        <stp/>
        <stp>0</stp>
        <stp>EUR.CM_DEPTH.VMO_REPO.IT0005001547_SN_Fixed</stp>
        <stp>TrdValueAvg</stp>
        <tr r="V49" s="7"/>
      </tp>
    </main>
    <main first="bloomberg.rtd">
      <tp>
        <v>22249234000</v>
        <stp/>
        <stp>##V3_BDPV12</stp>
        <stp>IT0003242747 Corp</stp>
        <stp>AMT_OUTSTANDING</stp>
        <stp>[Andrea New RollM.xlsm]Ita!R9C26</stp>
        <tr r="Z9" s="7"/>
      </tp>
    </main>
    <main first="bloomberg.rtd">
      <tp>
        <v>4.266</v>
        <stp/>
        <stp>##V3_BDPV12</stp>
        <stp>PTOTEBOE0020@CBBT Corp</stp>
        <stp>YAS_BOND_YLD</stp>
        <stp>[Andrea New RollM.xlsm]DB!R236C17</stp>
        <stp>SETTLE_DT=20161011</stp>
        <stp>YAS_BOND_PX=97.277</stp>
        <tr r="Q236" s="23"/>
      </tp>
      <tp>
        <v>4.266</v>
        <stp/>
        <stp>##V3_BDPV12</stp>
        <stp>PTOTEBOE0020@CBBT Corp</stp>
        <stp>YAS_BOND_YLD</stp>
        <stp>[Andrea New RollM.xlsm]DB!R233C17</stp>
        <stp>SETTLE_DT=20161011</stp>
        <stp>YAS_BOND_PX=97.277</stp>
        <tr r="Q233" s="23"/>
      </tp>
    </main>
    <main first="marketviewexcelplugin.mkvxp">
      <tp>
        <v>103.422</v>
        <stp/>
        <stp>0</stp>
        <stp>EUR.PRICING_MAIN.PXE.IT0004922909</stp>
        <stp>CurrentClosingPriceMid</stp>
        <tr r="V9" s="27"/>
      </tp>
      <tp>
        <v>104.90600000000001</v>
        <stp/>
        <stp>0</stp>
        <stp>EUR.PRICING_MAIN.PXE.IT0005162828</stp>
        <stp>CurrentClosingPriceMid</stp>
        <tr r="L117" s="23"/>
      </tp>
      <tp>
        <v>149.07173700000001</v>
        <stp/>
        <stp>0</stp>
        <stp>EUR.PRICING_MAIN.PXE.IT0004532559</stp>
        <stp>CurrentClosingPriceMid</stp>
        <tr r="L112" s="23"/>
      </tp>
      <tp>
        <v>100.797</v>
        <stp/>
        <stp>0</stp>
        <stp>EUR.PRICING_MAIN.PXE.IT0004652175</stp>
        <stp>CurrentClosingPriceMid</stp>
        <tr r="V7" s="27"/>
      </tp>
      <tp>
        <v>104.43300000000001</v>
        <stp/>
        <stp>0</stp>
        <stp>EUR.PRICING_MAIN.PXE.IT0003242747</stp>
        <stp>CurrentClosingPriceMid</stp>
        <tr r="L14" s="23"/>
      </tp>
      <tp>
        <v>101.864</v>
        <stp/>
        <stp>0</stp>
        <stp>EUR.PRICING_MAIN.PXE.IT0005142143</stp>
        <stp>CurrentClosingPriceMid</stp>
        <tr r="L49" s="23"/>
        <tr r="L50" s="23"/>
      </tp>
      <tp>
        <v>106.283</v>
        <stp/>
        <stp>0</stp>
        <stp>EUR.PRICING_MAIN.PXE.IT0004992308</stp>
        <stp>CurrentClosingPriceMid</stp>
        <tr r="L34" s="23"/>
      </tp>
      <tp>
        <v>101.205</v>
        <stp/>
        <stp>0</stp>
        <stp>EUR.PRICING_MAIN.PXE.IT0005172322</stp>
        <stp>CurrentClosingPriceMid</stp>
        <tr r="L70" s="23"/>
      </tp>
    </main>
    <main first="bloomberg.rtd">
      <tp>
        <v>5</v>
        <stp/>
        <stp>##V3_BDPV12</stp>
        <stp>IT0004759673 Corp</stp>
        <stp>CPN</stp>
        <stp>[Andrea New RollM.xlsm]CCT!R35C6</stp>
        <tr r="F35" s="27"/>
      </tp>
      <tp>
        <v>103.89</v>
        <stp/>
        <stp>##V3_BDPV12</stp>
        <stp>IT0004867070 Corp</stp>
        <stp>ASK</stp>
        <stp>[Andrea New RollM.xlsm]CCT!R26C9</stp>
        <tr r="I26" s="27"/>
      </tp>
      <tp>
        <v>4.5</v>
        <stp/>
        <stp>##V3_BDPV12</stp>
        <stp>IT0004273493 Corp</stp>
        <stp>CPN</stp>
        <stp>[Andrea New RollM.xlsm]CCT!R27C6</stp>
        <tr r="F27" s="27"/>
      </tp>
      <tp>
        <v>103.215</v>
        <stp/>
        <stp>##V3_BDPV12</stp>
        <stp>IT0004820426 Corp</stp>
        <stp>ASK</stp>
        <stp>[Andrea New RollM.xlsm]CCT!R24C9</stp>
        <tr r="I24" s="27"/>
      </tp>
      <tp>
        <v>141.55699999999999</v>
        <stp/>
        <stp>##V3_BDHV12</stp>
        <stp>IE00B4TV0D44@CBBT Corp</stp>
        <stp>OPEN</stp>
        <stp>11/10/2016 4:15:00 PM</stp>
        <stp>11/10/2016 5:15:00 PM</stp>
        <stp>[Andrea New RollM.xlsm]DB!R246C14</stp>
        <stp>BarSz=60</stp>
        <stp>BarTp=T</stp>
        <stp>RecurDaily=True</stp>
        <stp>TZ=London</stp>
        <stp>DTS=H</stp>
        <tr r="N246" s="23"/>
      </tp>
    </main>
    <main first="marketviewexcelplugin.mkvxp">
      <tp>
        <v>-0.41302371541501981</v>
        <stp/>
        <stp>0</stp>
        <stp>EUR.CM_DEPTH.VMO_REPO.IT0005023459_SN_Fixed</stp>
        <stp>TrdValueAvg</stp>
        <tr r="V7" s="7"/>
      </tp>
      <tp>
        <v>-0.44418871252204584</v>
        <stp/>
        <stp>0</stp>
        <stp>EUR.CM_DEPTH.VMO_REPO.IT0005106049_SN_Fixed</stp>
        <stp>TrdValueAvg</stp>
        <tr r="V13" s="7"/>
      </tp>
    </main>
    <main first="marketviewexcelplugin.mkvxp">
      <tp>
        <v>-0.43646616541353378</v>
        <stp/>
        <stp>0</stp>
        <stp>EUR.CM_DEPTH.VMO_REPO.IT0004489610_SN_Fixed</stp>
        <stp>TrdValueAvg</stp>
        <tr r="V23" s="7"/>
      </tp>
      <tp>
        <v>-0.42605786618444846</v>
        <stp/>
        <stp>0</stp>
        <stp>EUR.CM_DEPTH.VMO_REPO.IT0005083057_SN_Fixed</stp>
        <stp>TrdValueAvg</stp>
        <tr r="V71" s="7"/>
      </tp>
      <tp>
        <v>-0.43798722044728433</v>
        <stp/>
        <stp>0</stp>
        <stp>EUR.CM_DEPTH.VMO_REPO.IT0005135840_SN_Fixed</stp>
        <stp>TrdValueAvg</stp>
        <tr r="V41" s="7"/>
      </tp>
      <tp>
        <v>-0.46132269813391874</v>
        <stp/>
        <stp>0</stp>
        <stp>EUR.CM_DEPTH.VMO_REPO.IT0004634132_SN_Fixed</stp>
        <stp>TrdValueAvg</stp>
        <tr r="V31" s="7"/>
      </tp>
      <tp>
        <v>-0.77203915171288739</v>
        <stp/>
        <stp>0</stp>
        <stp>EUR.CM_DEPTH.VMO_REPO.IT0004644735_SN_Fixed</stp>
        <stp>TrdValueAvg</stp>
        <tr r="V54" s="7"/>
      </tp>
      <tp>
        <v>-0.51504513746409519</v>
        <stp/>
        <stp>0</stp>
        <stp>EUR.CM_DEPTH.VMO_REPO.IT0005142143_SN_Fixed</stp>
        <stp>TrdValueAvg</stp>
        <tr r="V30" s="7"/>
      </tp>
    </main>
    <main first="bloomberg.rtd">
      <tp>
        <v>-0.35099999999999998</v>
        <stp/>
        <stp>##V3_BDPV12</stp>
        <stp>IE00B6089D15@CBBT Corp</stp>
        <stp>YAS_BOND_YLD</stp>
        <stp>[Andrea New RollM.xlsm]DB!R240C19</stp>
        <stp>SETTLE_DT=20160909</stp>
        <stp>YAS_BOND_PX=119.56</stp>
        <tr r="S240" s="23"/>
      </tp>
    </main>
    <main first="marketviewexcelplugin.mkvxp">
      <tp>
        <v>120.52500000000001</v>
        <stp/>
        <stp>0</stp>
        <stp>EUR.PRICING_MAIN.PXE.IE00BJ38CR43</stp>
        <stp>CurrentClosingPriceMid</stp>
        <tr r="L248" s="23"/>
      </tp>
      <tp>
        <v>105.57</v>
        <stp/>
        <stp>0</stp>
        <stp>EUR.PRICING_MAIN.PXE.IE00BJ38CQ36</stp>
        <stp>CurrentClosingPriceMid</stp>
        <tr r="L243" s="23"/>
      </tp>
      <tp t="e">
        <v>#REF!</v>
        <stp/>
        <stp>0</stp>
        <stp>EUR.PRICING_MAIN.PXE.IT0004761950</stp>
        <stp>CurrentClosingPriceMid</stp>
        <tr r="L6" s="23"/>
      </tp>
      <tp>
        <v>128.249</v>
        <stp/>
        <stp>0</stp>
        <stp>EUR.PRICING_MAIN.PXE.IT0004801541</stp>
        <stp>CurrentClosingPriceMid</stp>
        <tr r="L66" s="23"/>
      </tp>
      <tp>
        <v>120.101</v>
        <stp/>
        <stp>0</stp>
        <stp>EUR.PRICING_MAIN.PXE.IT0005001547</stp>
        <stp>CurrentClosingPriceMid</stp>
        <tr r="L79" s="23"/>
      </tp>
    </main>
    <main first="marketviewexcelplugin.mkvxp">
      <tp>
        <v>108.215</v>
        <stp/>
        <stp>0</stp>
        <stp>EUR.PRICING_MAIN.PXE.IT0004361041</stp>
        <stp>CurrentClosingPriceMid</stp>
        <tr r="L24" s="23"/>
      </tp>
    </main>
    <main first="bloomberg.rtd">
      <tp t="s">
        <v>18/03/2002</v>
        <stp/>
        <stp>##V3_BDPV12</stp>
        <stp>IT0003256820 Corp</stp>
        <stp>ISSUE_DT</stp>
        <stp>[Andrea New RollM.xlsm]Ita!R64C25</stp>
        <tr r="Y64" s="7"/>
      </tp>
      <tp>
        <v>123.63500000000001</v>
        <stp/>
        <stp>##V3_BDPV12</stp>
        <stp>IT0004759673 Corp</stp>
        <stp>ASK</stp>
        <stp>[Andrea New RollM.xlsm]CCT!R35C9</stp>
        <tr r="I35" s="27"/>
      </tp>
      <tp t="s">
        <v>#N/A N/A</v>
        <stp/>
        <stp>##V3_BDHV12</stp>
        <stp>IT0004761950@CBBT Corp</stp>
        <stp>OPEN</stp>
        <stp>11/10/2016 4:15:00 PM</stp>
        <stp>11/10/2016 5:15:00 PM</stp>
        <stp>[Andrea New RollM.xlsm]DB!R6C14</stp>
        <stp>BarSz=60</stp>
        <stp>BarTp=T</stp>
        <stp>RecurDaily=True</stp>
        <stp>TZ=London</stp>
        <stp>DTS=H</stp>
        <tr r="N6" s="23"/>
      </tp>
      <tp>
        <v>4.75</v>
        <stp/>
        <stp>##V3_BDPV12</stp>
        <stp>IT0004820426 Corp</stp>
        <stp>CPN</stp>
        <stp>[Andrea New RollM.xlsm]CCT!R24C6</stp>
        <tr r="F24" s="27"/>
      </tp>
      <tp>
        <v>106.04</v>
        <stp/>
        <stp>##V3_BDPV12</stp>
        <stp>IT0004273493 Corp</stp>
        <stp>ASK</stp>
        <stp>[Andrea New RollM.xlsm]CCT!R27C9</stp>
        <tr r="I27" s="27"/>
      </tp>
      <tp>
        <v>3.5</v>
        <stp/>
        <stp>##V3_BDPV12</stp>
        <stp>IT0004867070 Corp</stp>
        <stp>CPN</stp>
        <stp>[Andrea New RollM.xlsm]CCT!R26C6</stp>
        <tr r="F26" s="27"/>
      </tp>
    </main>
    <main first="marketviewexcelplugin.mkvxp">
      <tp>
        <v>-0.47946</v>
        <stp/>
        <stp>0</stp>
        <stp>EUR.PRICING_MAIN.PXE.IE00B28HXX02</stp>
        <stp>CurrentClosingYieldMid</stp>
        <tr r="J238" s="23"/>
      </tp>
    </main>
    <main first="bloomberg.rtd">
      <tp>
        <v>2.5999999999999999E-2</v>
        <stp/>
        <stp>##V3_BDPV12</stp>
        <stp>ES00000123J2@CBBT Corp</stp>
        <stp>YAS_BOND_YLD</stp>
        <stp>[Andrea New RollM.xlsm]DB!R182C19</stp>
        <stp>SETTLE_DT=20160909</stp>
        <stp>YAS_BOND_PX=100.6</stp>
        <tr r="S182" s="23"/>
      </tp>
      <tp>
        <v>4.1000000000000002E-2</v>
        <stp/>
        <stp>##V3_BDPV12</stp>
        <stp>DE0001135085@CBBT Corp</stp>
        <stp>YAS_BOND_YLD</stp>
        <stp>[Andrea New RollM.xlsm]DB!R172C19</stp>
        <stp>SETTLE_DT=20160909</stp>
        <stp>YAS_BOND_PX=155.5</stp>
        <tr r="S172" s="23"/>
      </tp>
    </main>
    <main first="marketviewexcelplugin.mkvxp">
      <tp>
        <v>-0.46124721603563479</v>
        <stp/>
        <stp>0</stp>
        <stp>EUR.CM_DEPTH.VMO_REPO.IT0004594930_SN_Fixed</stp>
        <stp>TrdValueAvg</stp>
        <tr r="V29" s="7"/>
      </tp>
    </main>
    <main first="marketviewexcelplugin.mkvxp">
      <tp>
        <v>-0.6620451237263465</v>
        <stp/>
        <stp>0</stp>
        <stp>EUR.CM_DEPTH.VMO_REPO.IT0001086567_SN_Fixed</stp>
        <stp>TrdValueAvg</stp>
        <tr r="V56" s="7"/>
      </tp>
      <tp>
        <v>-0.43385068762278978</v>
        <stp/>
        <stp>0</stp>
        <stp>EUR.CM_DEPTH.VMO_REPO.IT0000366655_SN_Fixed</stp>
        <stp>TrdValueAvg</stp>
        <tr r="V47" s="7"/>
      </tp>
      <tp>
        <v>-0.41271186440677965</v>
        <stp/>
        <stp>0</stp>
        <stp>EUR.CM_DEPTH.VMO_REPO.IT0004164775_SN_Fixed</stp>
        <stp>TrdValueAvg</stp>
        <tr r="V5" s="7"/>
      </tp>
      <tp>
        <v>-0.42856145251396649</v>
        <stp/>
        <stp>0</stp>
        <stp>EUR.CM_DEPTH.VMO_REPO.IT0003242747_SN_Fixed</stp>
        <stp>TrdValueAvg</stp>
        <tr r="V9" s="7"/>
      </tp>
    </main>
    <main first="marketviewexcelplugin.mkvxp">
      <tp>
        <v>-0.4175419458064516</v>
        <stp/>
        <stp>0</stp>
        <stp>EUR.CM_DEPTH.VMO_REPO.IT0005215246_SN_Fixed</stp>
        <stp>TrdValueAvg</stp>
        <tr r="V46" s="7"/>
      </tp>
      <tp>
        <v>-0.40561307901907362</v>
        <stp/>
        <stp>0</stp>
        <stp>EUR.CM_DEPTH.VMO_REPO.IT0005177271_SN_Fixed</stp>
        <stp>TrdValueAvg</stp>
        <tr r="V20" s="7"/>
      </tp>
      <tp>
        <v>-0.40020202020202023</v>
        <stp/>
        <stp>0</stp>
        <stp>EUR.CM_DEPTH.VMO_REPO.IT0005058463_SN_Fixed</stp>
        <stp>TrdValueAvg</stp>
        <tr r="V11" s="7"/>
      </tp>
    </main>
    <main first="bloomberg.rtd">
      <tp>
        <v>3.359</v>
        <stp/>
        <stp>##V3_BDPV12</stp>
        <stp>PTOTETOE0012@CBBT Corp</stp>
        <stp>YAS_BOND_YLD</stp>
        <stp>[Andrea New RollM.xlsm]DB!R232C17</stp>
        <stp>SETTLE_DT=20161011</stp>
        <stp>YAS_BOND_PX=96.018</stp>
        <tr r="Q232" s="23"/>
      </tp>
    </main>
    <main first="marketviewexcelplugin.mkvxp">
      <tp>
        <v>102.01300000000001</v>
        <stp/>
        <stp>0</stp>
        <stp>EUR.PRICING_MAIN.PXE.IT0005170839</stp>
        <stp>CurrentClosingPriceMid</stp>
        <tr r="L90" s="23"/>
      </tp>
      <tp>
        <v>100.28749999999999</v>
        <stp/>
        <stp>0</stp>
        <stp>EUR.PRICING_MAIN.PXE.IT0004960826</stp>
        <stp>CurrentClosingPriceMid</stp>
        <tr r="L7" s="23"/>
      </tp>
    </main>
    <main first="bloomberg.rtd">
      <tp>
        <v>-0.252</v>
        <stp/>
        <stp>##V3_BDPV12</stp>
        <stp>IT0004987191@CBBT Corp</stp>
        <stp>YAS_BOND_YLD</stp>
        <stp>[Andrea New RollM.xlsm]DB!R8C19</stp>
        <stp>SETTLE_DT=20160909</stp>
        <stp>YAS_BOND_PX=100.465</stp>
        <tr r="S8" s="23"/>
      </tp>
    </main>
    <main first="marketviewexcelplugin.mkvxp">
      <tp>
        <v>103.21850000000001</v>
        <stp/>
        <stp>0</stp>
        <stp>EUR.PRICING_MAIN.PXE.IT0004820426</stp>
        <stp>CurrentClosingPriceMid</stp>
        <tr r="L13" s="23"/>
      </tp>
      <tp>
        <v>104.071</v>
        <stp/>
        <stp>0</stp>
        <stp>EUR.PRICING_MAIN.PXE.IT0005030504</stp>
        <stp>CurrentClosingPriceMid</stp>
        <tr r="L36" s="23"/>
      </tp>
      <tp>
        <v>98.273694000000006</v>
        <stp/>
        <stp>0</stp>
        <stp>EUR.PRICING_MAIN.PXE.IT0005210650</stp>
        <stp>CurrentClosingPriceMid</stp>
        <tr r="L93" s="23"/>
      </tp>
      <tp>
        <v>102.44</v>
        <stp/>
        <stp>0</stp>
        <stp>EUR.PRICING_MAIN.PXE.IT0005090318</stp>
        <stp>CurrentClosingPriceMid</stp>
        <tr r="L84" s="23"/>
      </tp>
    </main>
    <main first="bloomberg.rtd">
      <tp>
        <v>100.465</v>
        <stp/>
        <stp>##V3_BDHV12</stp>
        <stp>IT0004987191@CBBT Corp</stp>
        <stp>OPEN</stp>
        <stp>09/09/2016 4:15:00 PM</stp>
        <stp>09/09/2016 5:15:00 PM</stp>
        <stp>[Andrea New RollM.xlsm]DB!R8C16</stp>
        <stp>BarSz=60</stp>
        <stp>BarTp=T</stp>
        <stp>RecurDaily=True</stp>
        <stp>TZ=London</stp>
        <stp>DTS=H</stp>
        <tr r="P8" s="23"/>
      </tp>
      <tp>
        <v>100.292</v>
        <stp/>
        <stp>##V3_BDHV12</stp>
        <stp>IT0004960826@CBBT Corp</stp>
        <stp>OPEN</stp>
        <stp>11/10/2016 4:15:00 PM</stp>
        <stp>11/10/2016 5:15:00 PM</stp>
        <stp>[Andrea New RollM.xlsm]DB!R7C14</stp>
        <stp>BarSz=60</stp>
        <stp>BarTp=T</stp>
        <stp>RecurDaily=True</stp>
        <stp>TZ=London</stp>
        <stp>DTS=H</stp>
        <tr r="N7" s="23"/>
      </tp>
      <tp>
        <v>1.05</v>
        <stp/>
        <stp>##V3_BDPV12</stp>
        <stp>IT0005069395 Corp</stp>
        <stp>CPN</stp>
        <stp>[Andrea New RollM.xlsm]CCT!R32C6</stp>
        <tr r="F32" s="27"/>
      </tp>
      <tp>
        <v>128.51</v>
        <stp/>
        <stp>##V3_BDPV12</stp>
        <stp>IT0004848831 Corp</stp>
        <stp>ASK</stp>
        <stp>[Andrea New RollM.xlsm]CCT!R37C9</stp>
        <tr r="I37" s="27"/>
      </tp>
      <tp>
        <v>0.25</v>
        <stp/>
        <stp>##V3_BDPV12</stp>
        <stp>IT0005106049 Corp</stp>
        <stp>CPN</stp>
        <stp>[Andrea New RollM.xlsm]CCT!R28C6</stp>
        <tr r="F28" s="27"/>
      </tp>
      <tp>
        <v>3.5</v>
        <stp/>
        <stp>##V3_BDPV12</stp>
        <stp>IT0004957574 Corp</stp>
        <stp>CPN</stp>
        <stp>[Andrea New RollM.xlsm]CCT!R30C6</stp>
        <tr r="F30" s="27"/>
      </tp>
      <tp>
        <v>4</v>
        <stp/>
        <stp>##V3_BDPV12</stp>
        <stp>IT0004164775 Corp</stp>
        <stp>CPN</stp>
        <stp>[Andrea New RollM.xlsm]CCT!R22C6</stp>
        <tr r="F22" s="27"/>
      </tp>
      <tp>
        <v>0.39200000000000002</v>
        <stp/>
        <stp>##V3_BDPV12</stp>
        <stp>IT0005104473 Corp</stp>
        <stp>CPN</stp>
        <stp>[Andrea New RollM.xlsm]CCT!R12C6</stp>
        <tr r="F12" s="27"/>
      </tp>
    </main>
    <main first="marketviewexcelplugin.mkvxp">
      <tp>
        <v>-0.42940699534883719</v>
        <stp/>
        <stp>0</stp>
        <stp>EUR.CM_DEPTH.VMO_REPO.IT0004009673_SN_Fixed</stp>
        <stp>TrdValueAvg</stp>
        <tr r="V34" s="7"/>
      </tp>
      <tp>
        <v>-0.41257119072708115</v>
        <stp/>
        <stp>0</stp>
        <stp>EUR.CM_DEPTH.VMO_REPO.IT0005210650_SN_Fixed</stp>
        <stp>TrdValueAvg</stp>
        <tr r="V57" s="7"/>
      </tp>
      <tp>
        <v>-0.40724719101123602</v>
        <stp/>
        <stp>0</stp>
        <stp>EUR.CM_DEPTH.VMO_REPO.IT0004361041_SN_Fixed</stp>
        <stp>TrdValueAvg</stp>
        <tr r="V15" s="7"/>
      </tp>
    </main>
    <main first="bloomberg.rtd">
      <tp>
        <v>12402040000</v>
        <stp/>
        <stp>##V3_BDPV12</stp>
        <stp>IT0004960826 Corp</stp>
        <stp>AMT_OUTSTANDING</stp>
        <stp>[Andrea New RollM.xlsm]Ita!R3C26</stp>
        <tr r="Z3" s="7"/>
      </tp>
    </main>
    <main first="marketviewexcelplugin.mkvxp">
      <tp>
        <v>-0.50424435721295391</v>
        <stp/>
        <stp>0</stp>
        <stp>EUR.CM_DEPTH.VMO_REPO.IT0004356843_SN_Fixed</stp>
        <stp>TrdValueAvg</stp>
        <tr r="V45" s="7"/>
      </tp>
      <tp>
        <v>-0.43082397003745321</v>
        <stp/>
        <stp>0</stp>
        <stp>EUR.CM_DEPTH.VMO_REPO.IT0005045270_SN_Fixed</stp>
        <stp>TrdValueAvg</stp>
        <tr r="V50" s="7"/>
      </tp>
    </main>
    <main first="bloomberg.rtd">
      <tp>
        <v>3.17</v>
        <stp/>
        <stp>##V3_BDPV12</stp>
        <stp>PTOTEKOE0011@CBBT Corp</stp>
        <stp>YAS_BOND_YLD</stp>
        <stp>[Andrea New RollM.xlsm]DB!R231C17</stp>
        <stp>SETTLE_DT=20161011</stp>
        <stp>YAS_BOND_PX=97.715</stp>
        <tr r="Q231" s="23"/>
      </tp>
      <tp>
        <v>0.79800000000000004</v>
        <stp/>
        <stp>##V3_BDPV12</stp>
        <stp>EUSWE30 CMPN Curncy</stp>
        <stp>bid</stp>
        <stp>[Andrea New RollM.xlsm]Crv!R39C4</stp>
        <tr r="D39" s="1"/>
      </tp>
      <tp>
        <v>0.77249999999999996</v>
        <stp/>
        <stp>##V3_BDPV12</stp>
        <stp>EUSWE25 CMPN Curncy</stp>
        <stp>bid</stp>
        <stp>[Andrea New RollM.xlsm]Crv!R38C4</stp>
        <tr r="D38" s="1"/>
      </tp>
    </main>
    <main first="bloomberg.rtd">
      <tp>
        <v>2.4470000000000001</v>
        <stp/>
        <stp>##V3_BDPV12</stp>
        <stp>PTOTESOE0013@CBBT Corp</stp>
        <stp>YAS_BOND_YLD</stp>
        <stp>[Andrea New RollM.xlsm]DB!R228C17</stp>
        <stp>SETTLE_DT=20161011</stp>
        <stp>YAS_BOND_PX=98.632</stp>
        <tr r="Q228" s="23"/>
      </tp>
    </main>
    <main first="bloomberg.rtd">
      <tp>
        <v>-0.48699999999999999</v>
        <stp/>
        <stp>##V3_BDPV12</stp>
        <stp>IE00B8DLLB38@CBBT Corp</stp>
        <stp>YAS_BOND_YLD</stp>
        <stp>[Andrea New RollM.xlsm]DB!R237C17</stp>
        <stp>SETTLE_DT=20161011</stp>
        <stp>YAS_BOND_PX=106.132</stp>
        <tr r="Q237" s="23"/>
      </tp>
    </main>
    <main first="marketviewexcelplugin.mkvxp">
      <tp>
        <v>105.828</v>
        <stp/>
        <stp>0</stp>
        <stp>EUR.PRICING_MAIN.PXE.IT0004907843</stp>
        <stp>CurrentClosingPriceMid</stp>
        <tr r="L23" s="23"/>
      </tp>
      <tp>
        <v>102.679</v>
        <stp/>
        <stp>0</stp>
        <stp>EUR.PRICING_MAIN.PXE.IT0005177909</stp>
        <stp>CurrentClosingPriceMid</stp>
        <tr r="L108" s="23"/>
      </tp>
      <tp>
        <v>99.974151000000006</v>
        <stp/>
        <stp>0</stp>
        <stp>EUR.PRICING_MAIN.PXE.IT0005217929</stp>
        <stp>CurrentClosingPriceMid</stp>
        <tr r="L38" s="23"/>
      </tp>
      <tp>
        <v>107.588486</v>
        <stp/>
        <stp>0</stp>
        <stp>EUR.PRICING_MAIN.PXE.IT0004957574</stp>
        <stp>CurrentClosingPriceMid</stp>
        <tr r="L28" s="23"/>
      </tp>
      <tp>
        <v>112.04</v>
        <stp/>
        <stp>0</stp>
        <stp>EUR.PRICING_MAIN.PXE.FR0010949651</stp>
        <stp>CurrentClosingPriceMid</stp>
        <tr r="L48" s="23"/>
      </tp>
      <tp>
        <v>101.35550000000001</v>
        <stp/>
        <stp>0</stp>
        <stp>EUR.PRICING_MAIN.PXE.IT0005137614</stp>
        <stp>CurrentClosingPriceMid</stp>
        <tr r="V13" s="27"/>
      </tp>
      <tp>
        <v>117.76</v>
        <stp/>
        <stp>0</stp>
        <stp>EUR.PRICING_MAIN.PXE.FR0011619436</stp>
        <stp>CurrentClosingPriceMid</stp>
        <tr r="L78" s="23"/>
      </tp>
    </main>
    <main first="bloomberg.rtd">
      <tp>
        <v>-0.186</v>
        <stp/>
        <stp>##V3_BDPV12</stp>
        <stp>IT0004960826@CBBT Corp</stp>
        <stp>YAS_BOND_YLD</stp>
        <stp>[Andrea New RollM.xlsm]DB!R7C19</stp>
        <stp>SETTLE_DT=20160909</stp>
        <stp>YAS_BOND_PX=100.535</stp>
        <tr r="S7" s="23"/>
      </tp>
    </main>
    <main first="marketviewexcelplugin.mkvxp">
      <tp>
        <v>102.077</v>
        <stp/>
        <stp>0</stp>
        <stp>EUR.PRICING_MAIN.PXE.IT0005107708</stp>
        <stp>CurrentClosingPriceMid</stp>
        <tr r="L45" s="23"/>
      </tp>
    </main>
    <main first="marketviewexcelplugin.mkvxp">
      <tp>
        <v>106</v>
        <stp/>
        <stp>0</stp>
        <stp>EUR.PRICING_MAIN.PXE.IT0005127086</stp>
        <stp>CurrentClosingPriceMid</stp>
        <tr r="L86" s="23"/>
      </tp>
      <tp>
        <v>100.333</v>
        <stp/>
        <stp>0</stp>
        <stp>EUR.PRICING_MAIN.PXE.IT0004987191</stp>
        <stp>CurrentClosingPriceMid</stp>
        <tr r="L8" s="23"/>
      </tp>
      <tp>
        <v>103.9025</v>
        <stp/>
        <stp>0</stp>
        <stp>EUR.PRICING_MAIN.PXE.IT0004867070</stp>
        <stp>CurrentClosingPriceMid</stp>
        <tr r="L16" s="23"/>
      </tp>
      <tp>
        <v>118.3</v>
        <stp/>
        <stp>0</stp>
        <stp>EUR.PRICING_MAIN.PXE.FR0011059088</stp>
        <stp>CurrentClosingPriceMid</stp>
        <tr r="L60" s="23"/>
      </tp>
      <tp>
        <v>100.175015</v>
        <stp/>
        <stp>0</stp>
        <stp>EUR.PRICING_MAIN.PXE.IT0005177271</stp>
        <stp>CurrentClosingPriceMid</stp>
        <tr r="L33" s="23"/>
      </tp>
    </main>
    <main first="marketviewexcelplugin.mkvxp">
      <tp>
        <v>97.165327000000005</v>
        <stp/>
        <stp>0</stp>
        <stp>EUR.PRICING_MAIN.PXE.IT0005217390</stp>
        <stp>CurrentClosingPriceMid</stp>
        <tr r="L118" s="23"/>
      </tp>
    </main>
    <main first="bloomberg.rtd">
      <tp t="s">
        <v>16/02/2015</v>
        <stp/>
        <stp>##V3_BDPV12</stp>
        <stp>IT0005086886 Corp</stp>
        <stp>ISSUE_DT</stp>
        <stp>[Andrea New RollM.xlsm]Ita!R39C25</stp>
        <tr r="Y39" s="7"/>
      </tp>
    </main>
    <main first="marketviewexcelplugin.mkvxp">
      <tp>
        <v>117.49</v>
        <stp/>
        <stp>0</stp>
        <stp>EUR.PRICING_MAIN.PXE.IE0034074488</stp>
        <stp>CurrentClosingPriceMid</stp>
        <tr r="L241" s="23"/>
      </tp>
    </main>
    <main first="bloomberg.rtd">
      <tp t="s">
        <v>01/04/2010</v>
        <stp/>
        <stp>##V3_BDPV12</stp>
        <stp>IT0004594930 Corp</stp>
        <stp>ISSUE_DT</stp>
        <stp>[Andrea New RollM.xlsm]Ita!R29C25</stp>
        <tr r="Y29" s="7"/>
      </tp>
      <tp t="s">
        <v>15/09/2015</v>
        <stp/>
        <stp>##V3_BDPV12</stp>
        <stp>IT0005135840 Corp</stp>
        <stp>ISSUE_DT</stp>
        <stp>[Andrea New RollM.xlsm]Ita!R41C25</stp>
        <tr r="Y41" s="7"/>
      </tp>
      <tp t="s">
        <v>23/10/2007</v>
        <stp/>
        <stp>##V3_BDPV12</stp>
        <stp>IT0004286966 Corp</stp>
        <stp>ISSUE_DT</stp>
        <stp>[Andrea New RollM.xlsm]Ita!R68C25</stp>
        <tr r="Y68" s="7"/>
      </tp>
      <tp t="s">
        <v>09/02/2016</v>
        <stp/>
        <stp>##V3_BDPV12</stp>
        <stp>IT0005162828 Corp</stp>
        <stp>ISSUE_DT</stp>
        <stp>[Andrea New RollM.xlsm]Ita!R72C25</stp>
        <tr r="Y72" s="7"/>
      </tp>
      <tp t="s">
        <v>01/03/2016</v>
        <stp/>
        <stp>##V3_BDPV12</stp>
        <stp>IT0005170839 Corp</stp>
        <stp>ISSUE_DT</stp>
        <stp>[Andrea New RollM.xlsm]Ita!R55C25</stp>
        <tr r="Y55" s="7"/>
      </tp>
      <tp t="s">
        <v>03/11/2008</v>
        <stp/>
        <stp>##V3_BDPV12</stp>
        <stp>IT0004423957 Corp</stp>
        <stp>ISSUE_DT</stp>
        <stp>[Andrea New RollM.xlsm]Ita!R19C25</stp>
        <tr r="Y19" s="7"/>
      </tp>
      <tp t="s">
        <v>01/10/2009</v>
        <stp/>
        <stp>##V3_BDPV12</stp>
        <stp>IT0004536949 Corp</stp>
        <stp>ISSUE_DT</stp>
        <stp>[Andrea New RollM.xlsm]Ita!R27C25</stp>
        <tr r="Y27" s="7"/>
      </tp>
      <tp t="s">
        <v>22/05/2013</v>
        <stp/>
        <stp>##V3_BDPV12</stp>
        <stp>IT0004923998 Corp</stp>
        <stp>ISSUE_DT</stp>
        <stp>[Andrea New RollM.xlsm]Ita!R70C25</stp>
        <tr r="Y70" s="7"/>
      </tp>
      <tp>
        <v>123.715</v>
        <stp/>
        <stp>##V3_BDPV12</stp>
        <stp>IT0004898034 Corp</stp>
        <stp>ASK</stp>
        <stp>[Andrea New RollM.xlsm]CCT!R38C9</stp>
        <tr r="I38" s="27"/>
      </tp>
      <tp>
        <v>5.25</v>
        <stp/>
        <stp>##V3_BDPV12</stp>
        <stp>IT0003242747 Corp</stp>
        <stp>CPN</stp>
        <stp>[Andrea New RollM.xlsm]CCT!R25C6</stp>
        <tr r="F25" s="27"/>
      </tp>
      <tp>
        <v>102.25</v>
        <stp/>
        <stp>##V3_BDPV12</stp>
        <stp>IT0005056541 Corp</stp>
        <stp>ASK</stp>
        <stp>[Andrea New RollM.xlsm]CCT!R11C9</stp>
        <tr r="I11" s="27"/>
      </tp>
      <tp>
        <v>115.16500000000001</v>
        <stp/>
        <stp>##V3_BDPV12</stp>
        <stp>IT0004634132 Corp</stp>
        <stp>ASK</stp>
        <stp>[Andrea New RollM.xlsm]CCT!R34C9</stp>
        <tr r="I34" s="27"/>
      </tp>
      <tp>
        <v>1.9039999999999999</v>
        <stp/>
        <stp>##V3_BDPV12</stp>
        <stp>PTOTEYOE0007@CBBT Corp</stp>
        <stp>YAS_BOND_YLD</stp>
        <stp>[Andrea New RollM.xlsm]DB!R227C17</stp>
        <stp>SETTLE_DT=20161011</stp>
        <stp>YAS_BOND_PX=108.325</stp>
        <tr r="Q227" s="23"/>
      </tp>
      <tp>
        <v>121.86</v>
        <stp/>
        <stp>##V3_BDHV12</stp>
        <stp>IE00B60Z6194@CBBT Corp</stp>
        <stp>OPEN</stp>
        <stp>09/09/2016 4:15:00 PM</stp>
        <stp>09/09/2016 5:15:00 PM</stp>
        <stp>[Andrea New RollM.xlsm]DB!R242C16</stp>
        <stp>BarSz=60</stp>
        <stp>BarTp=T</stp>
        <stp>RecurDaily=True</stp>
        <stp>TZ=London</stp>
        <stp>DTS=H</stp>
        <tr r="P242" s="23"/>
      </tp>
      <tp>
        <v>2.4209999999999998</v>
        <stp/>
        <stp>##V3_BDPV12</stp>
        <stp>IT0004923998@CBBT Corp</stp>
        <stp>YAS_BOND_YLD</stp>
        <stp>[Andrea New RollM.xlsm]DB!R114C17</stp>
        <stp>SETTLE_DT=20161011</stp>
        <stp>YAS_BOND_PX=147.4</stp>
        <tr r="Q114" s="23"/>
      </tp>
      <tp>
        <v>142.58199999999999</v>
        <stp/>
        <stp>##V3_BDHV12</stp>
        <stp>IE00B4TV0D44@CBBT Corp</stp>
        <stp>OPEN</stp>
        <stp>04/10/2016 4:15:00 PM</stp>
        <stp>04/10/2016 5:15:00 PM</stp>
        <stp>[Andrea New RollM.xlsm]DB!R246C15</stp>
        <stp>BarSz=60</stp>
        <stp>BarTp=T</stp>
        <stp>RecurDaily=True</stp>
        <stp>TZ=London</stp>
        <stp>DTS=H</stp>
        <tr r="O246" s="23"/>
      </tp>
    </main>
    <main first="marketviewexcelplugin.mkvxp">
      <tp>
        <v>-0.57425813008130089</v>
        <stp/>
        <stp>0</stp>
        <stp>EUR.CM_DEPTH.VMO_REPO.IT0004923998_SN_Fixed</stp>
        <stp>TrdValueAvg</stp>
        <tr r="V70" s="7"/>
      </tp>
      <tp>
        <v>-0.43004201680672266</v>
        <stp/>
        <stp>0</stp>
        <stp>EUR.CM_DEPTH.VMO_REPO.IT0004532559_SN_Fixed</stp>
        <stp>TrdValueAvg</stp>
        <tr r="V69" s="7"/>
      </tp>
      <tp>
        <v>-0.41006607929515421</v>
        <stp/>
        <stp>0</stp>
        <stp>EUR.CM_DEPTH.VMO_REPO.IT0004987191_SN_Fixed</stp>
        <stp>TrdValueAvg</stp>
        <tr r="V4" s="7"/>
      </tp>
    </main>
    <main first="marketviewexcelplugin.mkvxp">
      <tp t="e">
        <v>#REF!</v>
        <stp/>
        <stp>0</stp>
        <stp>EUR.CM_DEPTH.VMO_REPO.IT0005217929_SN_Fixed</stp>
        <stp>TrdValueAvg</stp>
        <tr r="V24" s="7"/>
      </tp>
      <tp>
        <v>-0.42857020547945202</v>
        <stp/>
        <stp>0</stp>
        <stp>EUR.CM_DEPTH.VMO_REPO.IT0003644769_SN_Fixed</stp>
        <stp>TrdValueAvg</stp>
        <tr r="V26" s="7"/>
      </tp>
      <tp>
        <v>-0.45771398747390402</v>
        <stp/>
        <stp>0</stp>
        <stp>EUR.CM_DEPTH.VMO_REPO.IT0004793474_SN_Fixed</stp>
        <stp>TrdValueAvg</stp>
        <tr r="V6" s="7"/>
      </tp>
      <tp>
        <v>-0.40926573426573426</v>
        <stp/>
        <stp>0</stp>
        <stp>EUR.CM_DEPTH.VMO_REPO.IT0005028003_SN_Fixed</stp>
        <stp>TrdValueAvg</stp>
        <tr r="V37" s="7"/>
      </tp>
      <tp>
        <v>-0.44763860369609854</v>
        <stp/>
        <stp>0</stp>
        <stp>EUR.CM_DEPTH.VMO_REPO.IT0005030504_SN_Fixed</stp>
        <stp>TrdValueAvg</stp>
        <tr r="V22" s="7"/>
      </tp>
      <tp>
        <v>-0.55699017199017209</v>
        <stp/>
        <stp>0</stp>
        <stp>EUR.CM_DEPTH.VMO_REPO.IT0001174611_SN_Fixed</stp>
        <stp>TrdValueAvg</stp>
        <tr r="V58" s="7"/>
      </tp>
      <tp>
        <v>-0.40728522336769762</v>
        <stp/>
        <stp>0</stp>
        <stp>EUR.CM_DEPTH.VMO_REPO.IT0004759673_SN_Fixed</stp>
        <stp>TrdValueAvg</stp>
        <tr r="V38" s="7"/>
      </tp>
      <tp>
        <v>-0.488320399113082</v>
        <stp/>
        <stp>0</stp>
        <stp>EUR.CM_DEPTH.VMO_REPO.IT0003256820_SN_Fixed</stp>
        <stp>TrdValueAvg</stp>
        <tr r="V64" s="7"/>
      </tp>
      <tp>
        <v>-0.41698224852071014</v>
        <stp/>
        <stp>0</stp>
        <stp>EUR.CM_DEPTH.VMO_REPO.IT0003535157_SN_Fixed</stp>
        <stp>TrdValueAvg</stp>
        <tr r="V65" s="7"/>
      </tp>
    </main>
    <main first="marketviewexcelplugin.mkvxp">
      <tp>
        <v>154.13986399999999</v>
        <stp/>
        <stp>0</stp>
        <stp>EUR.PRICING_MAIN.PXE.IT0003256820</stp>
        <stp>CurrentClosingPriceMid</stp>
        <tr r="L104" s="23"/>
      </tp>
      <tp>
        <v>104.345</v>
        <stp/>
        <stp>0</stp>
        <stp>EUR.PRICING_MAIN.PXE.IT0005086886</stp>
        <stp>CurrentClosingPriceMid</stp>
        <tr r="L64" s="23"/>
      </tp>
      <tp>
        <v>113.976</v>
        <stp/>
        <stp>0</stp>
        <stp>EUR.PRICING_MAIN.PXE.IT0004536949</stp>
        <stp>CurrentClosingPriceMid</stp>
        <tr r="L43" s="23"/>
      </tp>
      <tp>
        <v>148.65629000000001</v>
        <stp/>
        <stp>0</stp>
        <stp>EUR.PRICING_MAIN.PXE.IT0004286966</stp>
        <stp>CurrentClosingPriceMid</stp>
        <tr r="L111" s="23"/>
      </tp>
      <tp>
        <v>126.254</v>
        <stp/>
        <stp>0</stp>
        <stp>EUR.PRICING_MAIN.PXE.IT0004356843</stp>
        <stp>CurrentClosingPriceMid</stp>
        <tr r="L73" s="23"/>
      </tp>
      <tp>
        <v>99.606999999999999</v>
        <stp/>
        <stp>0</stp>
        <stp>EUR.PRICING_MAIN.PXE.IT0005216491</stp>
        <stp>CurrentClosingPriceMid</stp>
        <tr r="L61" s="23"/>
      </tp>
      <tp>
        <v>115.41500000000001</v>
        <stp/>
        <stp>0</stp>
        <stp>EUR.PRICING_MAIN.PXE.IT0004966401</stp>
        <stp>CurrentClosingPriceMid</stp>
        <tr r="L54" s="23"/>
      </tp>
      <tp>
        <v>102.25</v>
        <stp/>
        <stp>0</stp>
        <stp>EUR.PRICING_MAIN.PXE.IT0005056541</stp>
        <stp>CurrentClosingPriceMid</stp>
        <tr r="V11" s="27"/>
      </tp>
      <tp>
        <v>107.485</v>
        <stp/>
        <stp>0</stp>
        <stp>EUR.PRICING_MAIN.PXE.FR0012938116</stp>
        <stp>CurrentClosingPriceMid</stp>
        <tr r="L85" s="23"/>
      </tp>
      <tp>
        <v>100.539</v>
        <stp/>
        <stp>0</stp>
        <stp>EUR.PRICING_MAIN.PXE.IT0005106049</stp>
        <stp>CurrentClosingPriceMid</stp>
        <tr r="L21" s="23"/>
      </tp>
      <tp>
        <v>154.876</v>
        <stp/>
        <stp>0</stp>
        <stp>EUR.PRICING_MAIN.PXE.IT0001086567</stp>
        <stp>CurrentClosingPriceMid</stp>
        <tr r="L91" s="23"/>
      </tp>
      <tp>
        <v>102.825</v>
        <stp/>
        <stp>0</stp>
        <stp>EUR.PRICING_MAIN.PXE.FR0012968337</stp>
        <stp>CurrentClosingPriceMid</stp>
        <tr r="L51" s="23"/>
      </tp>
      <tp>
        <v>104.175</v>
        <stp/>
        <stp>0</stp>
        <stp>EUR.PRICING_MAIN.PXE.FR0011708080</stp>
        <stp>CurrentClosingPriceMid</stp>
        <tr r="L35" s="23"/>
      </tp>
      <tp>
        <v>101.375</v>
        <stp/>
        <stp>0</stp>
        <stp>EUR.PRICING_MAIN.PXE.IT0004716319</stp>
        <stp>CurrentClosingPriceMid</stp>
        <tr r="V8" s="27"/>
      </tp>
      <tp>
        <v>112.355</v>
        <stp/>
        <stp>0</stp>
        <stp>EUR.PRICING_MAIN.PXE.FR0000189151</stp>
        <stp>CurrentClosingPriceMid</stp>
        <tr r="L32" s="23"/>
      </tp>
      <tp>
        <v>155.56399999999999</v>
        <stp/>
        <stp>0</stp>
        <stp>EUR.PRICING_MAIN.PXE.IT0000366655</stp>
        <stp>CurrentClosingPriceMid</stp>
        <tr r="L76" s="23"/>
      </tp>
    </main>
    <main first="bloomberg.rtd">
      <tp t="s">
        <v>02/04/2013</v>
        <stp/>
        <stp>##V3_BDPV12</stp>
        <stp>IT0004907843 Corp</stp>
        <stp>ISSUE_DT</stp>
        <stp>[Andrea New RollM.xlsm]Ita!R14C25</stp>
        <tr r="Y14" s="7"/>
      </tp>
      <tp t="s">
        <v>03/09/2012</v>
        <stp/>
        <stp>##V3_BDPV12</stp>
        <stp>IT0004848831 Corp</stp>
        <stp>ISSUE_DT</stp>
        <stp>[Andrea New RollM.xlsm]Ita!R42C25</stp>
        <tr r="Y42" s="7"/>
      </tp>
      <tp>
        <v>-0.46</v>
        <stp/>
        <stp>##V3_BDPV12</stp>
        <stp>IE00B2QTFG59@CBBT Corp</stp>
        <stp>YAS_BOND_YLD</stp>
        <stp>[Andrea New RollM.xlsm]DB!R239C17</stp>
        <stp>SETTLE_DT=20161011</stp>
        <stp>YAS_BOND_PX=113.163</stp>
        <tr r="Q239" s="23"/>
      </tp>
      <tp t="s">
        <v>16/04/2008</v>
        <stp/>
        <stp>##V3_BDPV12</stp>
        <stp>IT0004356843 Corp</stp>
        <stp>ISSUE_DT</stp>
        <stp>[Andrea New RollM.xlsm]Ita!R45C25</stp>
        <tr r="Y45" s="7"/>
      </tp>
      <tp t="s">
        <v>26/04/2016</v>
        <stp/>
        <stp>##V3_BDPV12</stp>
        <stp>IT0005177909 Corp</stp>
        <stp>ISSUE_DT</stp>
        <stp>[Andrea New RollM.xlsm]Ita!R66C25</stp>
        <tr r="Y66" s="7"/>
      </tp>
      <tp t="s">
        <v>17/10/2016</v>
        <stp/>
        <stp>##V3_BDPV12</stp>
        <stp>IT0005217929 Corp</stp>
        <stp>ISSUE_DT</stp>
        <stp>[Andrea New RollM.xlsm]Ita!R24C25</stp>
        <tr r="Y24" s="7"/>
      </tp>
      <tp>
        <v>101.637</v>
        <stp/>
        <stp>##V3_BDHV12</stp>
        <stp>IT0004164775@CBBT Corp</stp>
        <stp>OPEN</stp>
        <stp>09/09/2016 4:15:00 PM</stp>
        <stp>09/09/2016 5:15:00 PM</stp>
        <stp>[Andrea New RollM.xlsm]DB!R9C16</stp>
        <stp>BarSz=60</stp>
        <stp>BarTp=T</stp>
        <stp>RecurDaily=True</stp>
        <stp>TZ=London</stp>
        <stp>DTS=H</stp>
        <tr r="P9" s="23"/>
      </tp>
      <tp>
        <v>101.355</v>
        <stp/>
        <stp>##V3_BDPV12</stp>
        <stp>IT0005137614 Corp</stp>
        <stp>ASK</stp>
        <stp>[Andrea New RollM.xlsm]CCT!R13C9</stp>
        <tr r="I13" s="27"/>
      </tp>
      <tp>
        <v>5.5</v>
        <stp/>
        <stp>##V3_BDPV12</stp>
        <stp>IT0004801541 Corp</stp>
        <stp>CPN</stp>
        <stp>[Andrea New RollM.xlsm]CCT!R36C6</stp>
        <tr r="F36" s="27"/>
      </tp>
    </main>
    <main first="marketviewexcelplugin.mkvxp">
      <tp>
        <v>-0.41248026315789477</v>
        <stp/>
        <stp>0</stp>
        <stp>EUR.CM_DEPTH.VMO_REPO.IT0004536949_SN_Fixed</stp>
        <stp>TrdValueAvg</stp>
        <tr r="V27" s="7"/>
      </tp>
    </main>
    <main first="marketviewexcelplugin.mkvxp">
      <tp>
        <v>-0.50809834420471667</v>
        <stp/>
        <stp>0</stp>
        <stp>EUR.CM_DEPTH.VMO_REPO.IT0005107708_SN_Fixed</stp>
        <stp>TrdValueAvg</stp>
        <tr r="V28" s="7"/>
      </tp>
      <tp>
        <v>-0.40525531914893614</v>
        <stp/>
        <stp>0</stp>
        <stp>EUR.CM_DEPTH.VMO_REPO.IT0005177909_SN_Fixed</stp>
        <stp>TrdValueAvg</stp>
        <tr r="V66" s="7"/>
      </tp>
    </main>
    <main first="marketviewexcelplugin.mkvxp">
      <tp>
        <v>-0.4310949963741843</v>
        <stp/>
        <stp>0</stp>
        <stp>EUR.CM_DEPTH.VMO_REPO.IT0004695075_SN_Fixed</stp>
        <stp>TrdValueAvg</stp>
        <tr r="V35" s="7"/>
      </tp>
      <tp>
        <v>-0.42774299835255353</v>
        <stp/>
        <stp>0</stp>
        <stp>EUR.CM_DEPTH.VMO_REPO.IT0003493258_SN_Fixed</stp>
        <stp>TrdValueAvg</stp>
        <tr r="V18" s="7"/>
      </tp>
      <tp>
        <v>-0.45678983833718245</v>
        <stp/>
        <stp>0</stp>
        <stp>EUR.CM_DEPTH.VMO_REPO.IT0005090318_SN_Fixed</stp>
        <stp>TrdValueAvg</stp>
        <tr r="V52" s="7"/>
      </tp>
      <tp>
        <v>-0.50513544668587906</v>
        <stp/>
        <stp>0</stp>
        <stp>EUR.CM_DEPTH.VMO_REPO.IT0004513641_SN_Fixed</stp>
        <stp>TrdValueAvg</stp>
        <tr r="V51" s="7"/>
      </tp>
      <tp>
        <v>-0.43589080459770113</v>
        <stp/>
        <stp>0</stp>
        <stp>EUR.CM_DEPTH.VMO_REPO.IT0004423957_SN_Fixed</stp>
        <stp>TrdValueAvg</stp>
        <tr r="V19" s="7"/>
      </tp>
    </main>
    <main first="marketviewexcelplugin.mkvxp">
      <tp>
        <v>104.774</v>
        <stp/>
        <stp>0</stp>
        <stp>EUR.PRICING_MAIN.PXE.IT0005135840</stp>
        <stp>CurrentClosingPriceMid</stp>
        <tr r="L67" s="23"/>
      </tp>
    </main>
    <main first="bloomberg.rtd">
      <tp>
        <v>-0.26600000000000001</v>
        <stp/>
        <stp>##V3_BDPV12</stp>
        <stp>IT0004164775@CBBT Corp</stp>
        <stp>YAS_BOND_YLD</stp>
        <stp>[Andrea New RollM.xlsm]DB!R9C18</stp>
        <stp>SETTLE_DT=20161004</stp>
        <stp>YAS_BOND_PX=101.393</stp>
        <tr r="R9" s="23"/>
      </tp>
    </main>
    <main first="marketviewexcelplugin.mkvxp">
      <tp>
        <v>100.935</v>
        <stp/>
        <stp>0</stp>
        <stp>EUR.PRICING_MAIN.PXE.IT0005185456</stp>
        <stp>CurrentClosingPriceMid</stp>
        <tr r="V14" s="27"/>
      </tp>
      <tp>
        <v>100.48</v>
        <stp/>
        <stp>0</stp>
        <stp>EUR.PRICING_MAIN.PXE.IT0005175598</stp>
        <stp>CurrentClosingPriceMid</stp>
        <tr r="L56" s="23"/>
      </tp>
      <tp>
        <v>144.844842</v>
        <stp/>
        <stp>0</stp>
        <stp>EUR.PRICING_MAIN.PXE.IT0003535157</stp>
        <stp>CurrentClosingPriceMid</stp>
        <tr r="L105" s="23"/>
      </tp>
      <tp>
        <v>121.102</v>
        <stp/>
        <stp>0</stp>
        <stp>EUR.PRICING_MAIN.PXE.IT0004695075</stp>
        <stp>CurrentClosingPriceMid</stp>
        <tr r="L59" s="23"/>
      </tp>
      <tp>
        <v>110.684</v>
        <stp/>
        <stp>0</stp>
        <stp>EUR.PRICING_MAIN.PXE.IT0005045270</stp>
        <stp>CurrentClosingPriceMid</stp>
        <tr r="L81" s="23"/>
      </tp>
      <tp>
        <v>98.587450000000004</v>
        <stp/>
        <stp>0</stp>
        <stp>EUR.PRICING_MAIN.PXE.IT0005215246</stp>
        <stp>CurrentClosingPriceMid</stp>
        <tr r="L74" s="23"/>
      </tp>
    </main>
    <main first="bloomberg.rtd">
      <tp>
        <v>-0.315</v>
        <stp/>
        <stp>##V3_BDPV12</stp>
        <stp>IT0004164775@CBBT Corp</stp>
        <stp>YAS_BOND_YLD</stp>
        <stp>[Andrea New RollM.xlsm]DB!R9C17</stp>
        <stp>SETTLE_DT=20161011</stp>
        <stp>YAS_BOND_PX=101.327</stp>
        <tr r="Q9" s="23"/>
      </tp>
      <tp>
        <v>100.348</v>
        <stp/>
        <stp>##V3_BDHV12</stp>
        <stp>IT0004960826@CBBT Corp</stp>
        <stp>OPEN</stp>
        <stp>04/10/2016 4:15:00 PM</stp>
        <stp>04/10/2016 5:15:00 PM</stp>
        <stp>[Andrea New RollM.xlsm]DB!R7C15</stp>
        <stp>BarSz=60</stp>
        <stp>BarTp=T</stp>
        <stp>RecurDaily=True</stp>
        <stp>TZ=London</stp>
        <stp>DTS=H</stp>
        <tr r="O7" s="23"/>
      </tp>
      <tp>
        <v>0.54200000000000004</v>
        <stp/>
        <stp>##V3_BDPV12</stp>
        <stp>IT0005137614 Corp</stp>
        <stp>CPN</stp>
        <stp>[Andrea New RollM.xlsm]CCT!R13C6</stp>
        <tr r="F13" s="27"/>
      </tp>
      <tp>
        <v>128.18</v>
        <stp/>
        <stp>##V3_BDPV12</stp>
        <stp>IT0004801541 Corp</stp>
        <stp>ASK</stp>
        <stp>[Andrea New RollM.xlsm]CCT!R36C9</stp>
        <tr r="I36" s="27"/>
      </tp>
      <tp>
        <v>3.5859999999999999</v>
        <stp/>
        <stp>##V3_BDPV12</stp>
        <stp>PTOTEROE0014@CBBT Corp</stp>
        <stp>YAS_BOND_YLD</stp>
        <stp>[Andrea New RollM.xlsm]DB!R234C19</stp>
        <stp>SETTLE_DT=20160909</stp>
        <stp>YAS_BOND_PX=103.027</stp>
        <tr r="S234" s="23"/>
      </tp>
    </main>
    <main first="marketviewexcelplugin.mkvxp">
      <tp>
        <v>-0.55211828859060408</v>
        <stp/>
        <stp>0</stp>
        <stp>EUR.CM_DEPTH.VMO_REPO.IT0005170839_SN_Fixed</stp>
        <stp>TrdValueAvg</stp>
        <tr r="V55" s="7"/>
      </tp>
    </main>
    <main first="bloomberg.rtd">
      <tp>
        <v>113.262</v>
        <stp/>
        <stp>##V3_BDHV12</stp>
        <stp>IE00B2QTFG59@CBBT Corp</stp>
        <stp>OPEN</stp>
        <stp>09/09/2016 4:15:00 PM</stp>
        <stp>09/09/2016 5:15:00 PM</stp>
        <stp>[Andrea New RollM.xlsm]DB!R239C16</stp>
        <stp>BarSz=60</stp>
        <stp>BarTp=T</stp>
        <stp>RecurDaily=True</stp>
        <stp>TZ=London</stp>
        <stp>DTS=H</stp>
        <tr r="P239" s="23"/>
      </tp>
    </main>
    <main first="marketviewexcelplugin.mkvxp">
      <tp>
        <v>114.80500000000001</v>
        <stp/>
        <stp>0</stp>
        <stp>EUR.PRICING_MAIN.PXE.IT0004594930</stp>
        <stp>CurrentClosingPriceMid</stp>
        <tr r="L47" s="23"/>
      </tp>
    </main>
    <main first="marketviewexcelplugin.mkvxp">
      <tp>
        <v>100.935</v>
        <stp/>
        <stp>0</stp>
        <stp>EUR.PRICING_MAIN.PXE.IT0005104473</stp>
        <stp>CurrentClosingPriceMid</stp>
        <tr r="V12" s="27"/>
      </tp>
      <tp>
        <v>101.33150000000001</v>
        <stp/>
        <stp>0</stp>
        <stp>EUR.PRICING_MAIN.PXE.IT0004164775</stp>
        <stp>CurrentClosingPriceMid</stp>
        <tr r="L9" s="23"/>
      </tp>
      <tp>
        <v>127.799948</v>
        <stp/>
        <stp>0</stp>
        <stp>EUR.PRICING_MAIN.PXE.IT0004644735</stp>
        <stp>CurrentClosingPriceMid</stp>
        <tr r="L87" s="23"/>
      </tp>
      <tp>
        <v>154.082807</v>
        <stp/>
        <stp>0</stp>
        <stp>EUR.PRICING_MAIN.PXE.IT0001444378</stp>
        <stp>CurrentClosingPriceMid</stp>
        <tr r="L100" s="23"/>
      </tp>
      <tp>
        <v>98.3</v>
        <stp/>
        <stp>0</stp>
        <stp>EUR.PRICING_MAIN.PXE.IT0005094088</stp>
        <stp>CurrentClosingPriceMid</stp>
        <tr r="L102" s="23"/>
      </tp>
      <tp>
        <v>130.790055</v>
        <stp/>
        <stp>0</stp>
        <stp>EUR.PRICING_MAIN.PXE.IT0003934657</stp>
        <stp>CurrentClosingPriceMid</stp>
        <tr r="L109" s="23"/>
      </tp>
      <tp>
        <v>115.205</v>
        <stp/>
        <stp>0</stp>
        <stp>EUR.PRICING_MAIN.PXE.IT0004634132</stp>
        <stp>CurrentClosingPriceMid</stp>
        <tr r="L52" s="23"/>
      </tp>
      <tp>
        <v>114.473</v>
        <stp/>
        <stp>0</stp>
        <stp>EUR.PRICING_MAIN.PXE.IT0003644769</stp>
        <stp>CurrentClosingPriceMid</stp>
        <tr r="L42" s="23"/>
      </tp>
      <tp>
        <v>121.532292</v>
        <stp/>
        <stp>0</stp>
        <stp>EUR.PRICING_MAIN.PXE.IT0005024234</stp>
        <stp>CurrentClosingPriceMid</stp>
        <tr r="L98" s="23"/>
      </tp>
      <tp>
        <v>150.69200000000001</v>
        <stp/>
        <stp>0</stp>
        <stp>EUR.PRICING_MAIN.PXE.IT0001174611</stp>
        <stp>CurrentClosingPriceMid</stp>
        <tr r="L95" s="23"/>
      </tp>
      <tp>
        <v>100.129</v>
        <stp/>
        <stp>0</stp>
        <stp>EUR.PRICING_MAIN.PXE.IT0004584204</stp>
        <stp>CurrentClosingPriceMid</stp>
        <tr r="V5" s="27"/>
      </tp>
    </main>
    <main first="bloomberg.rtd">
      <tp>
        <v>0.37</v>
        <stp/>
        <stp>##V3_BDPV12</stp>
        <stp>IE00B4TV0D44@CBBT Corp</stp>
        <stp>YAS_BOND_YLD</stp>
        <stp>[Andrea New RollM.xlsm]DB!R246C19</stp>
        <stp>SETTLE_DT=20160909</stp>
        <stp>YAS_BOND_PX=142.043</stp>
        <tr r="S246" s="23"/>
      </tp>
      <tp>
        <v>4.5</v>
        <stp/>
        <stp>##V3_BDPV12</stp>
        <stp>IT0004898034 Corp</stp>
        <stp>CPN</stp>
        <stp>[Andrea New RollM.xlsm]CCT!R38C6</stp>
        <tr r="F38" s="27"/>
      </tp>
      <tp t="s">
        <v>#N/A N/A</v>
        <stp/>
        <stp>##V3_BDHV12</stp>
        <stp>IT0004761950@CBBT Corp</stp>
        <stp>OPEN</stp>
        <stp>04/10/2016 4:15:00 PM</stp>
        <stp>04/10/2016 5:15:00 PM</stp>
        <stp>[Andrea New RollM.xlsm]DB!R6C15</stp>
        <stp>BarSz=60</stp>
        <stp>BarTp=T</stp>
        <stp>RecurDaily=True</stp>
        <stp>TZ=London</stp>
        <stp>DTS=H</stp>
        <tr r="O6" s="23"/>
      </tp>
      <tp t="s">
        <v>#N/A N/A</v>
        <stp/>
        <stp>##V3_BDHV12</stp>
        <stp>IT0004019581@CBBT Corp</stp>
        <stp>OPEN</stp>
        <stp>09/09/2016 4:15:00 PM</stp>
        <stp>09/09/2016 5:15:00 PM</stp>
        <stp>[Andrea New RollM.xlsm]DB!R5C16</stp>
        <stp>BarSz=60</stp>
        <stp>BarTp=T</stp>
        <stp>RecurDaily=True</stp>
        <stp>TZ=London</stp>
        <stp>DTS=H</stp>
        <tr r="P5" s="23"/>
      </tp>
      <tp>
        <v>0.64200000000000002</v>
        <stp/>
        <stp>##V3_BDPV12</stp>
        <stp>IT0005056541 Corp</stp>
        <stp>CPN</stp>
        <stp>[Andrea New RollM.xlsm]CCT!R11C6</stp>
        <tr r="F11" s="27"/>
      </tp>
      <tp>
        <v>104.43</v>
        <stp/>
        <stp>##V3_BDPV12</stp>
        <stp>IT0003242747 Corp</stp>
        <stp>ASK</stp>
        <stp>[Andrea New RollM.xlsm]CCT!R25C9</stp>
        <tr r="I25" s="27"/>
      </tp>
    </main>
    <main first="marketviewexcelplugin.mkvxp">
      <tp>
        <v>113.16500000000001</v>
        <stp/>
        <stp>0</stp>
        <stp>EUR.PRICING_MAIN.PXE.IE00B2QTFG59</stp>
        <stp>CurrentClosingPriceMid</stp>
        <tr r="L239" s="23"/>
      </tp>
    </main>
    <main first="bloomberg.rtd">
      <tp>
        <v>3.75</v>
        <stp/>
        <stp>##V3_BDPV12</stp>
        <stp>IT0004634132 Corp</stp>
        <stp>CPN</stp>
        <stp>[Andrea New RollM.xlsm]CCT!R34C6</stp>
        <tr r="F34" s="27"/>
      </tp>
    </main>
    <main first="marketviewexcelplugin.mkvxp">
      <tp>
        <v>-0.65928846153846155</v>
        <stp/>
        <stp>0</stp>
        <stp>EUR.CM_DEPTH.VMO_REPO.IT0005162828_SN_Fixed</stp>
        <stp>TrdValueAvg</stp>
        <tr r="V72" s="7"/>
      </tp>
      <tp>
        <v>-0.4698435870698644</v>
        <stp/>
        <stp>0</stp>
        <stp>EUR.CM_DEPTH.VMO_REPO.IT0001444378_SN_Fixed</stp>
        <stp>TrdValueAvg</stp>
        <tr r="V62" s="7"/>
      </tp>
    </main>
    <main first="bloomberg.rtd">
      <tp>
        <v>14979325000</v>
        <stp/>
        <stp>##V3_BDPV12</stp>
        <stp>IT0004820426 Corp</stp>
        <stp>AMT_OUTSTANDING</stp>
        <stp>[Andrea New RollM.xlsm]Ita!R8C26</stp>
        <tr r="Z8" s="7"/>
      </tp>
    </main>
    <main first="marketviewexcelplugin.mkvxp">
      <tp>
        <v>-0.46081155119825717</v>
        <stp/>
        <stp>0</stp>
        <stp>EUR.CM_DEPTH.VMO_REPO.IT0005024234_SN_Fixed</stp>
        <stp>TrdValueAvg</stp>
        <tr r="V61" s="7"/>
      </tp>
      <tp>
        <v>-0.43029347826086956</v>
        <stp/>
        <stp>0</stp>
        <stp>EUR.CM_DEPTH.VMO_REPO.IT0001278511_SN_Fixed</stp>
        <stp>TrdValueAvg</stp>
        <tr r="V60" s="7"/>
      </tp>
      <tp>
        <v>-0.42733524355300867</v>
        <stp/>
        <stp>0</stp>
        <stp>EUR.CM_DEPTH.VMO_REPO.IT0005172322_SN_Fixed</stp>
        <stp>TrdValueAvg</stp>
        <tr r="V43" s="7"/>
      </tp>
    </main>
    <main first="bloomberg.rtd">
      <tp>
        <v>110.9</v>
        <stp/>
        <stp>##V3_BDHV12</stp>
        <stp>IT0004423957@CBBT Corp</stp>
        <stp>OPEN</stp>
        <stp>04/10/2016 4:15:00 PM</stp>
        <stp>04/10/2016 5:15:00 PM</stp>
        <stp>[Andrea New RollM.xlsm]DB!R31C15</stp>
        <stp>BarSz=60</stp>
        <stp>BarTp=T</stp>
        <stp>RecurDaily=True</stp>
        <stp>TZ=London</stp>
        <stp>DTS=H</stp>
        <tr r="O31" s="23"/>
      </tp>
      <tp>
        <v>100.688</v>
        <stp/>
        <stp>##V3_BDHV12</stp>
        <stp>IT0005139099@CBBT Corp</stp>
        <stp>OPEN</stp>
        <stp>09/09/2016 4:15:00 PM</stp>
        <stp>09/09/2016 5:15:00 PM</stp>
        <stp>[Andrea New RollM.xlsm]DB!R25C16</stp>
        <stp>BarSz=60</stp>
        <stp>BarTp=T</stp>
        <stp>RecurDaily=True</stp>
        <stp>TZ=London</stp>
        <stp>DTS=H</stp>
        <tr r="P25" s="23"/>
      </tp>
      <tp>
        <v>114.29600000000001</v>
        <stp/>
        <stp>##V3_BDHV12</stp>
        <stp>FR0010854182@CBBT Corp</stp>
        <stp>OPEN</stp>
        <stp>11/10/2016 4:15:00 PM</stp>
        <stp>11/10/2016 5:15:00 PM</stp>
        <stp>[Andrea New RollM.xlsm]DB!R44C14</stp>
        <stp>BarSz=60</stp>
        <stp>BarTp=T</stp>
        <stp>RecurDaily=True</stp>
        <stp>TZ=London</stp>
        <stp>DTS=H</stp>
        <tr r="N44" s="23"/>
      </tp>
      <tp>
        <v>104.77500000000001</v>
        <stp/>
        <stp>##V3_BDHV12</stp>
        <stp>IT0005086886@CBBT Corp</stp>
        <stp>OPEN</stp>
        <stp>09/09/2016 4:15:00 PM</stp>
        <stp>09/09/2016 5:15:00 PM</stp>
        <stp>[Andrea New RollM.xlsm]DB!R64C16</stp>
        <stp>BarSz=60</stp>
        <stp>BarTp=T</stp>
        <stp>RecurDaily=True</stp>
        <stp>TZ=London</stp>
        <stp>DTS=H</stp>
        <tr r="P64" s="23"/>
      </tp>
      <tp>
        <v>119.357</v>
        <stp/>
        <stp>##V3_BDHV12</stp>
        <stp>FR0010192997@CBBT Corp</stp>
        <stp>OPEN</stp>
        <stp>09/09/2016 4:15:00 PM</stp>
        <stp>09/09/2016 5:15:00 PM</stp>
        <stp>[Andrea New RollM.xlsm]DB!R53C16</stp>
        <stp>BarSz=60</stp>
        <stp>BarTp=T</stp>
        <stp>RecurDaily=True</stp>
        <stp>TZ=London</stp>
        <stp>DTS=H</stp>
        <tr r="P53" s="23"/>
      </tp>
      <tp>
        <v>118.602</v>
        <stp/>
        <stp>##V3_BDHV12</stp>
        <stp>FR0011059088@CBBT Corp</stp>
        <stp>OPEN</stp>
        <stp>09/09/2016 4:15:00 PM</stp>
        <stp>09/09/2016 5:15:00 PM</stp>
        <stp>[Andrea New RollM.xlsm]DB!R60C16</stp>
        <stp>BarSz=60</stp>
        <stp>BarTp=T</stp>
        <stp>RecurDaily=True</stp>
        <stp>TZ=London</stp>
        <stp>DTS=H</stp>
        <tr r="P60" s="23"/>
      </tp>
      <tp>
        <v>123.7</v>
        <stp/>
        <stp>##V3_BDHV12</stp>
        <stp>IT0004759673@CBBT Corp</stp>
        <stp>OPEN</stp>
        <stp>11/10/2016 4:15:00 PM</stp>
        <stp>11/10/2016 5:15:00 PM</stp>
        <stp>[Andrea New RollM.xlsm]DB!R63C14</stp>
        <stp>BarSz=60</stp>
        <stp>BarTp=T</stp>
        <stp>RecurDaily=True</stp>
        <stp>TZ=London</stp>
        <stp>DTS=H</stp>
        <tr r="N63" s="23"/>
      </tp>
      <tp>
        <v>113.372</v>
        <stp/>
        <stp>##V3_BDHV12</stp>
        <stp>FR0010776161@CBBT Corp</stp>
        <stp>OPEN</stp>
        <stp>04/10/2016 4:15:00 PM</stp>
        <stp>04/10/2016 5:15:00 PM</stp>
        <stp>[Andrea New RollM.xlsm]DB!R39C15</stp>
        <stp>BarSz=60</stp>
        <stp>BarTp=T</stp>
        <stp>RecurDaily=True</stp>
        <stp>TZ=London</stp>
        <stp>DTS=H</stp>
        <tr r="O39" s="23"/>
      </tp>
      <tp>
        <v>100.68300000000001</v>
        <stp/>
        <stp>##V3_BDHV12</stp>
        <stp>IT0005175598@CBBT Corp</stp>
        <stp>OPEN</stp>
        <stp>09/09/2016 4:15:00 PM</stp>
        <stp>09/09/2016 5:15:00 PM</stp>
        <stp>[Andrea New RollM.xlsm]DB!R56C16</stp>
        <stp>BarSz=60</stp>
        <stp>BarTp=T</stp>
        <stp>RecurDaily=True</stp>
        <stp>TZ=London</stp>
        <stp>DTS=H</stp>
        <tr r="P56" s="23"/>
      </tp>
      <tp>
        <v>114.06399999999999</v>
        <stp/>
        <stp>##V3_BDHV12</stp>
        <stp>FR0011962398@CBBT Corp</stp>
        <stp>OPEN</stp>
        <stp>11/10/2016 4:15:00 PM</stp>
        <stp>11/10/2016 5:15:00 PM</stp>
        <stp>[Andrea New RollM.xlsm]DB!R80C14</stp>
        <stp>BarSz=60</stp>
        <stp>BarTp=T</stp>
        <stp>RecurDaily=True</stp>
        <stp>TZ=London</stp>
        <stp>DTS=H</stp>
        <tr r="N80" s="23"/>
      </tp>
      <tp>
        <v>101.786</v>
        <stp/>
        <stp>##V3_BDHV12</stp>
        <stp>FR0012557957@CBBT Corp</stp>
        <stp>OPEN</stp>
        <stp>11/10/2016 4:15:00 PM</stp>
        <stp>11/10/2016 5:15:00 PM</stp>
        <stp>[Andrea New RollM.xlsm]DB!R46C14</stp>
        <stp>BarSz=60</stp>
        <stp>BarTp=T</stp>
        <stp>RecurDaily=True</stp>
        <stp>TZ=London</stp>
        <stp>DTS=H</stp>
        <tr r="N46" s="23"/>
      </tp>
      <tp>
        <v>107.613</v>
        <stp/>
        <stp>##V3_BDHV12</stp>
        <stp>FR0012938116@CBBT Corp</stp>
        <stp>OPEN</stp>
        <stp>09/09/2016 4:15:00 PM</stp>
        <stp>09/09/2016 5:15:00 PM</stp>
        <stp>[Andrea New RollM.xlsm]DB!R85C16</stp>
        <stp>BarSz=60</stp>
        <stp>BarTp=T</stp>
        <stp>RecurDaily=True</stp>
        <stp>TZ=London</stp>
        <stp>DTS=H</stp>
        <tr r="P85" s="23"/>
      </tp>
      <tp>
        <v>109.94</v>
        <stp/>
        <stp>##V3_BDHV12</stp>
        <stp>IT0003493258@CBBT Corp</stp>
        <stp>OPEN</stp>
        <stp>04/10/2016 4:15:00 PM</stp>
        <stp>04/10/2016 5:15:00 PM</stp>
        <stp>[Andrea New RollM.xlsm]DB!R29C15</stp>
        <stp>BarSz=60</stp>
        <stp>BarTp=T</stp>
        <stp>RecurDaily=True</stp>
        <stp>TZ=London</stp>
        <stp>DTS=H</stp>
        <tr r="O29" s="23"/>
      </tp>
      <tp>
        <v>103.455</v>
        <stp/>
        <stp>##V3_BDHV12</stp>
        <stp>FR0011523257@CBBT Corp</stp>
        <stp>OPEN</stp>
        <stp>11/10/2016 4:15:00 PM</stp>
        <stp>11/10/2016 5:15:00 PM</stp>
        <stp>[Andrea New RollM.xlsm]DB!R27C14</stp>
        <stp>BarSz=60</stp>
        <stp>BarTp=T</stp>
        <stp>RecurDaily=True</stp>
        <stp>TZ=London</stp>
        <stp>DTS=H</stp>
        <tr r="N27" s="23"/>
      </tp>
      <tp>
        <v>108.622</v>
        <stp/>
        <stp>##V3_BDHV12</stp>
        <stp>IT0005028003@CBBT Corp</stp>
        <stp>OPEN</stp>
        <stp>11/10/2016 4:15:00 PM</stp>
        <stp>11/10/2016 5:15:00 PM</stp>
        <stp>[Andrea New RollM.xlsm]DB!R62C14</stp>
        <stp>BarSz=60</stp>
        <stp>BarTp=T</stp>
        <stp>RecurDaily=True</stp>
        <stp>TZ=London</stp>
        <stp>DTS=H</stp>
        <tr r="N62" s="23"/>
      </tp>
    </main>
    <main first="bloomberg.rtd">
      <tp>
        <v>104.07299999999999</v>
        <stp/>
        <stp>##V3_BDHV12</stp>
        <stp>IT0005030504@CBBT Corp</stp>
        <stp>OPEN</stp>
        <stp>11/10/2016 4:15:00 PM</stp>
        <stp>11/10/2016 5:15:00 PM</stp>
        <stp>[Andrea New RollM.xlsm]DB!R36C14</stp>
        <stp>BarSz=60</stp>
        <stp>BarTp=T</stp>
        <stp>RecurDaily=True</stp>
        <stp>TZ=London</stp>
        <stp>DTS=H</stp>
        <tr r="N36" s="23"/>
      </tp>
      <tp>
        <v>114.223</v>
        <stp/>
        <stp>##V3_BDHV12</stp>
        <stp>IT0004536949@CBBT Corp</stp>
        <stp>OPEN</stp>
        <stp>04/10/2016 4:15:00 PM</stp>
        <stp>04/10/2016 5:15:00 PM</stp>
        <stp>[Andrea New RollM.xlsm]DB!R43C15</stp>
        <stp>BarSz=60</stp>
        <stp>BarTp=T</stp>
        <stp>RecurDaily=True</stp>
        <stp>TZ=London</stp>
        <stp>DTS=H</stp>
        <tr r="O43" s="23"/>
      </tp>
      <tp t="s">
        <v>#N/A N/A</v>
        <stp/>
        <stp>##V3_BDHV12</stp>
        <stp>IT0005217929@CBBT Corp</stp>
        <stp>OPEN</stp>
        <stp>11/10/2016 4:15:00 PM</stp>
        <stp>11/10/2016 5:15:00 PM</stp>
        <stp>[Andrea New RollM.xlsm]DB!R38C14</stp>
        <stp>BarSz=60</stp>
        <stp>BarTp=T</stp>
        <stp>RecurDaily=True</stp>
        <stp>TZ=London</stp>
        <stp>DTS=H</stp>
        <tr r="N38" s="23"/>
      </tp>
      <tp>
        <v>102.265</v>
        <stp/>
        <stp>##V3_BDHV12</stp>
        <stp>IT0005107708@CBBT Corp</stp>
        <stp>OPEN</stp>
        <stp>04/10/2016 4:15:00 PM</stp>
        <stp>04/10/2016 5:15:00 PM</stp>
        <stp>[Andrea New RollM.xlsm]DB!R45C15</stp>
        <stp>BarSz=60</stp>
        <stp>BarTp=T</stp>
        <stp>RecurDaily=True</stp>
        <stp>TZ=London</stp>
        <stp>DTS=H</stp>
        <tr r="O45" s="23"/>
      </tp>
      <tp>
        <v>114.47799999999999</v>
        <stp/>
        <stp>##V3_BDHV12</stp>
        <stp>IT0003644769@CBBT Corp</stp>
        <stp>OPEN</stp>
        <stp>11/10/2016 4:15:00 PM</stp>
        <stp>11/10/2016 5:15:00 PM</stp>
        <stp>[Andrea New RollM.xlsm]DB!R42C14</stp>
        <stp>BarSz=60</stp>
        <stp>BarTp=T</stp>
        <stp>RecurDaily=True</stp>
        <stp>TZ=London</stp>
        <stp>DTS=H</stp>
        <tr r="N42" s="23"/>
      </tp>
      <tp>
        <v>126.11799999999999</v>
        <stp/>
        <stp>##V3_BDHV12</stp>
        <stp>IT0004953417@CBBT Corp</stp>
        <stp>OPEN</stp>
        <stp>09/09/2016 4:15:00 PM</stp>
        <stp>09/09/2016 5:15:00 PM</stp>
        <stp>[Andrea New RollM.xlsm]DB!R77C16</stp>
        <stp>BarSz=60</stp>
        <stp>BarTp=T</stp>
        <stp>RecurDaily=True</stp>
        <stp>TZ=London</stp>
        <stp>DTS=H</stp>
        <tr r="P77" s="23"/>
      </tp>
      <tp>
        <v>150.66</v>
        <stp/>
        <stp>##V3_BDHV12</stp>
        <stp>IT0001174611@CBBT Corp</stp>
        <stp>OPEN</stp>
        <stp>11/10/2016 4:15:00 PM</stp>
        <stp>11/10/2016 5:15:00 PM</stp>
        <stp>[Andrea New RollM.xlsm]DB!R95C14</stp>
        <stp>BarSz=60</stp>
        <stp>BarTp=T</stp>
        <stp>RecurDaily=True</stp>
        <stp>TZ=London</stp>
        <stp>DTS=H</stp>
        <tr r="N95" s="23"/>
      </tp>
      <tp>
        <v>131.732</v>
        <stp/>
        <stp>##V3_BDHV12</stp>
        <stp>IT0004513641@CBBT Corp</stp>
        <stp>OPEN</stp>
        <stp>04/10/2016 4:15:00 PM</stp>
        <stp>04/10/2016 5:15:00 PM</stp>
        <stp>[Andrea New RollM.xlsm]DB!R82C15</stp>
        <stp>BarSz=60</stp>
        <stp>BarTp=T</stp>
        <stp>RecurDaily=True</stp>
        <stp>TZ=London</stp>
        <stp>DTS=H</stp>
        <tr r="O82" s="23"/>
      </tp>
      <tp>
        <v>102.81</v>
        <stp/>
        <stp>##V3_BDHV12</stp>
        <stp>IT0004793474@CBBT Corp</stp>
        <stp>OPEN</stp>
        <stp>11/10/2016 4:15:00 PM</stp>
        <stp>11/10/2016 5:15:00 PM</stp>
        <stp>[Andrea New RollM.xlsm]DB!R11C14</stp>
        <stp>BarSz=60</stp>
        <stp>BarTp=T</stp>
        <stp>RecurDaily=True</stp>
        <stp>TZ=London</stp>
        <stp>DTS=H</stp>
        <tr r="N11" s="23"/>
      </tp>
      <tp>
        <v>103.417</v>
        <stp/>
        <stp>##V3_BDHV12</stp>
        <stp>IT0005090318@CBBT Corp</stp>
        <stp>OPEN</stp>
        <stp>04/10/2016 4:15:00 PM</stp>
        <stp>04/10/2016 5:15:00 PM</stp>
        <stp>[Andrea New RollM.xlsm]DB!R84C15</stp>
        <stp>BarSz=60</stp>
        <stp>BarTp=T</stp>
        <stp>RecurDaily=True</stp>
        <stp>TZ=London</stp>
        <stp>DTS=H</stp>
        <tr r="O84" s="23"/>
      </tp>
      <tp>
        <v>101.69799999999999</v>
        <stp/>
        <stp>##V3_BDHV12</stp>
        <stp>FR0013157096@CBBT Corp</stp>
        <stp>OPEN</stp>
        <stp>09/09/2016 4:15:00 PM</stp>
        <stp>09/09/2016 5:15:00 PM</stp>
        <stp>[Andrea New RollM.xlsm]DB!R55C16</stp>
        <stp>BarSz=60</stp>
        <stp>BarTp=T</stp>
        <stp>RecurDaily=True</stp>
        <stp>TZ=London</stp>
        <stp>DTS=H</stp>
        <tr r="P55" s="23"/>
      </tp>
      <tp>
        <v>121.563</v>
        <stp/>
        <stp>##V3_BDHV12</stp>
        <stp>IT0004695075@CBBT Corp</stp>
        <stp>OPEN</stp>
        <stp>04/10/2016 4:15:00 PM</stp>
        <stp>04/10/2016 5:15:00 PM</stp>
        <stp>[Andrea New RollM.xlsm]DB!R59C15</stp>
        <stp>BarSz=60</stp>
        <stp>BarTp=T</stp>
        <stp>RecurDaily=True</stp>
        <stp>TZ=London</stp>
        <stp>DTS=H</stp>
        <tr r="O59" s="23"/>
      </tp>
      <tp>
        <v>81.364770563037439</v>
        <stp/>
        <stp>##V3_BDPV12</stp>
        <stp>IT0005185456 Corp@CBBT Corp</stp>
        <stp>Z_SPRD_MID</stp>
        <stp>[Andrea New RollM.xlsm]CCT!R14C10</stp>
        <tr r="J14" s="27"/>
      </tp>
      <tp>
        <v>63.893355873257178</v>
        <stp/>
        <stp>##V3_BDPV12</stp>
        <stp>IT0005104473 Corp@CBBT Corp</stp>
        <stp>Z_SPRD_MID</stp>
        <stp>[Andrea New RollM.xlsm]CCT!R12C10</stp>
        <tr r="J12" s="27"/>
      </tp>
      <tp>
        <v>87.804800872715759</v>
        <stp/>
        <stp>##V3_BDPV12</stp>
        <stp>IT0004801541 Corp@CBBT Corp</stp>
        <stp>Z_SPRD_MID</stp>
        <stp>[Andrea New RollM.xlsm]CCT!R36C10</stp>
        <tr r="J36" s="27"/>
      </tp>
      <tp>
        <v>35.836273128183237</v>
        <stp/>
        <stp>##V3_BDPV12</stp>
        <stp>IT0004957574 Corp@CBBT Corp</stp>
        <stp>Z_SPRD_MID</stp>
        <stp>[Andrea New RollM.xlsm]CCT!R30C10</stp>
        <tr r="J30" s="27"/>
      </tp>
    </main>
    <main first="marketviewexcelplugin.mkvxp">
      <tp>
        <v>43039</v>
        <stp/>
        <stp>0</stp>
        <stp>EUR.CM_INSTRUMENT.PXE.ES00000126V0</stp>
        <stp>DateMaturity</stp>
        <tr r="D186" s="23"/>
      </tp>
      <tp>
        <v>-3.3000000000000002E-2</v>
        <stp/>
        <stp>0</stp>
        <stp>EUR.PRICING_MAIN.PXE.ES00000126C0</stp>
        <stp>MidYield</stp>
        <tr r="K195" s="23"/>
      </tp>
      <tp>
        <v>1.071</v>
        <stp/>
        <stp>0</stp>
        <stp>EUR.PRICING_MAIN.PXE.ES00000123C7</stp>
        <stp>MidYield</stp>
        <tr r="K210" s="23"/>
      </tp>
      <tp>
        <v>2.1829999999999998</v>
        <stp/>
        <stp>0</stp>
        <stp>EUR.PRICING_MAIN.PXE.ES00000128C6</stp>
        <stp>MidYield</stp>
        <tr r="K220" s="23"/>
      </tp>
      <tp>
        <v>43585</v>
        <stp/>
        <stp>0</stp>
        <stp>EUR.CM_INSTRUMENT.PXE.ES00000124V5</stp>
        <stp>DateMaturity</stp>
        <tr r="D192" s="23"/>
      </tp>
      <tp>
        <v>1.282</v>
        <stp/>
        <stp>0</stp>
        <stp>EUR.PRICING_MAIN.PXE.ES00000124C5</stp>
        <stp>MidYield</stp>
        <tr r="K212" s="23"/>
      </tp>
    </main>
    <main first="bloomberg.rtd">
      <tp t="s">
        <v>#N/A Invalid Override</v>
        <stp/>
        <stp>##V3_BDPV12</stp>
        <stp>IT0004019581@CBBT Corp</stp>
        <stp>YAS_BOND_YLD</stp>
        <stp>[Andrea New RollM.xlsm]DB!R5C17</stp>
        <stp>SETTLE_DT=20161011</stp>
        <stp>YAS_BOND_PX=#N/A N/A</stp>
        <tr r="Q5" s="23"/>
      </tp>
      <tp>
        <v>30</v>
        <stp/>
        <stp>##V3_BDPV12</stp>
        <stp>IT0004584204 Corp</stp>
        <stp>FLT_SPREAD</stp>
        <stp>[Andrea New RollM.xlsm]CCT!R5C5</stp>
        <tr r="E5" s="27"/>
      </tp>
    </main>
    <main first="marketviewexcelplugin.mkvxp">
      <tp>
        <v>6.8517999999999999</v>
        <stp/>
        <stp>0</stp>
        <stp>EUR.PRICING_MAIN.PXE.IT0005185456</stp>
        <stp>MDuration</stp>
        <tr r="U14" s="27"/>
      </tp>
    </main>
    <main first="bloomberg.rtd">
      <tp>
        <v>114.85</v>
        <stp/>
        <stp>##V3_BDHV12</stp>
        <stp>FR0011962398@CBBT Corp</stp>
        <stp>OPEN</stp>
        <stp>04/10/2016 4:15:00 PM</stp>
        <stp>04/10/2016 5:15:00 PM</stp>
        <stp>[Andrea New RollM.xlsm]DB!R80C15</stp>
        <stp>BarSz=60</stp>
        <stp>BarTp=T</stp>
        <stp>RecurDaily=True</stp>
        <stp>TZ=London</stp>
        <stp>DTS=H</stp>
        <tr r="O80" s="23"/>
      </tp>
      <tp>
        <v>101.98099999999999</v>
        <stp/>
        <stp>##V3_BDHV12</stp>
        <stp>FR0012557957@CBBT Corp</stp>
        <stp>OPEN</stp>
        <stp>04/10/2016 4:15:00 PM</stp>
        <stp>04/10/2016 5:15:00 PM</stp>
        <stp>[Andrea New RollM.xlsm]DB!R46C15</stp>
        <stp>BarSz=60</stp>
        <stp>BarTp=T</stp>
        <stp>RecurDaily=True</stp>
        <stp>TZ=London</stp>
        <stp>DTS=H</stp>
        <tr r="O46" s="23"/>
      </tp>
      <tp>
        <v>103.55</v>
        <stp/>
        <stp>##V3_BDHV12</stp>
        <stp>FR0011523257@CBBT Corp</stp>
        <stp>OPEN</stp>
        <stp>04/10/2016 4:15:00 PM</stp>
        <stp>04/10/2016 5:15:00 PM</stp>
        <stp>[Andrea New RollM.xlsm]DB!R27C15</stp>
        <stp>BarSz=60</stp>
        <stp>BarTp=T</stp>
        <stp>RecurDaily=True</stp>
        <stp>TZ=London</stp>
        <stp>DTS=H</stp>
        <tr r="O27" s="23"/>
      </tp>
      <tp>
        <v>109.06699999999999</v>
        <stp/>
        <stp>##V3_BDHV12</stp>
        <stp>IT0005028003@CBBT Corp</stp>
        <stp>OPEN</stp>
        <stp>04/10/2016 4:15:00 PM</stp>
        <stp>04/10/2016 5:15:00 PM</stp>
        <stp>[Andrea New RollM.xlsm]DB!R62C15</stp>
        <stp>BarSz=60</stp>
        <stp>BarTp=T</stp>
        <stp>RecurDaily=True</stp>
        <stp>TZ=London</stp>
        <stp>DTS=H</stp>
        <tr r="O62" s="23"/>
      </tp>
      <tp>
        <v>109.795</v>
        <stp/>
        <stp>##V3_BDHV12</stp>
        <stp>IT0003493258@CBBT Corp</stp>
        <stp>OPEN</stp>
        <stp>11/10/2016 4:15:00 PM</stp>
        <stp>11/10/2016 5:15:00 PM</stp>
        <stp>[Andrea New RollM.xlsm]DB!R29C14</stp>
        <stp>BarSz=60</stp>
        <stp>BarTp=T</stp>
        <stp>RecurDaily=True</stp>
        <stp>TZ=London</stp>
        <stp>DTS=H</stp>
        <tr r="N29" s="23"/>
      </tp>
      <tp>
        <v>104.19799999999999</v>
        <stp/>
        <stp>##V3_BDHV12</stp>
        <stp>IT0005030504@CBBT Corp</stp>
        <stp>OPEN</stp>
        <stp>04/10/2016 4:15:00 PM</stp>
        <stp>04/10/2016 5:15:00 PM</stp>
        <stp>[Andrea New RollM.xlsm]DB!R36C15</stp>
        <stp>BarSz=60</stp>
        <stp>BarTp=T</stp>
        <stp>RecurDaily=True</stp>
        <stp>TZ=London</stp>
        <stp>DTS=H</stp>
        <tr r="O36" s="23"/>
      </tp>
      <tp>
        <v>110.755</v>
        <stp/>
        <stp>##V3_BDHV12</stp>
        <stp>IT0004423957@CBBT Corp</stp>
        <stp>OPEN</stp>
        <stp>11/10/2016 4:15:00 PM</stp>
        <stp>11/10/2016 5:15:00 PM</stp>
        <stp>[Andrea New RollM.xlsm]DB!R31C14</stp>
        <stp>BarSz=60</stp>
        <stp>BarTp=T</stp>
        <stp>RecurDaily=True</stp>
        <stp>TZ=London</stp>
        <stp>DTS=H</stp>
        <tr r="N31" s="23"/>
      </tp>
      <tp>
        <v>114.568</v>
        <stp/>
        <stp>##V3_BDHV12</stp>
        <stp>FR0010854182@CBBT Corp</stp>
        <stp>OPEN</stp>
        <stp>04/10/2016 4:15:00 PM</stp>
        <stp>04/10/2016 5:15:00 PM</stp>
        <stp>[Andrea New RollM.xlsm]DB!R44C15</stp>
        <stp>BarSz=60</stp>
        <stp>BarTp=T</stp>
        <stp>RecurDaily=True</stp>
        <stp>TZ=London</stp>
        <stp>DTS=H</stp>
        <tr r="O44" s="23"/>
      </tp>
      <tp>
        <v>107.173</v>
        <stp/>
        <stp>##V3_BDHV12</stp>
        <stp>IT0005127086@CBBT Corp</stp>
        <stp>OPEN</stp>
        <stp>09/09/2016 4:15:00 PM</stp>
        <stp>09/09/2016 5:15:00 PM</stp>
        <stp>[Andrea New RollM.xlsm]DB!R86C16</stp>
        <stp>BarSz=60</stp>
        <stp>BarTp=T</stp>
        <stp>RecurDaily=True</stp>
        <stp>TZ=London</stp>
        <stp>DTS=H</stp>
        <tr r="P86" s="23"/>
      </tp>
      <tp>
        <v>124.265</v>
        <stp/>
        <stp>##V3_BDHV12</stp>
        <stp>IT0004759673@CBBT Corp</stp>
        <stp>OPEN</stp>
        <stp>04/10/2016 4:15:00 PM</stp>
        <stp>04/10/2016 5:15:00 PM</stp>
        <stp>[Andrea New RollM.xlsm]DB!R63C15</stp>
        <stp>BarSz=60</stp>
        <stp>BarTp=T</stp>
        <stp>RecurDaily=True</stp>
        <stp>TZ=London</stp>
        <stp>DTS=H</stp>
        <tr r="O63" s="23"/>
      </tp>
      <tp>
        <v>113.16800000000001</v>
        <stp/>
        <stp>##V3_BDHV12</stp>
        <stp>FR0010776161@CBBT Corp</stp>
        <stp>OPEN</stp>
        <stp>11/10/2016 4:15:00 PM</stp>
        <stp>11/10/2016 5:15:00 PM</stp>
        <stp>[Andrea New RollM.xlsm]DB!R39C14</stp>
        <stp>BarSz=60</stp>
        <stp>BarTp=T</stp>
        <stp>RecurDaily=True</stp>
        <stp>TZ=London</stp>
        <stp>DTS=H</stp>
        <tr r="N39" s="23"/>
      </tp>
      <tp>
        <v>152.43799999999999</v>
        <stp/>
        <stp>##V3_BDHV12</stp>
        <stp>IT0001174611@CBBT Corp</stp>
        <stp>OPEN</stp>
        <stp>04/10/2016 4:15:00 PM</stp>
        <stp>04/10/2016 5:15:00 PM</stp>
        <stp>[Andrea New RollM.xlsm]DB!R95C15</stp>
        <stp>BarSz=60</stp>
        <stp>BarTp=T</stp>
        <stp>RecurDaily=True</stp>
        <stp>TZ=London</stp>
        <stp>DTS=H</stp>
        <tr r="O95" s="23"/>
      </tp>
      <tp>
        <v>130.64500000000001</v>
        <stp/>
        <stp>##V3_BDHV12</stp>
        <stp>IT0004513641@CBBT Corp</stp>
        <stp>OPEN</stp>
        <stp>11/10/2016 4:15:00 PM</stp>
        <stp>11/10/2016 5:15:00 PM</stp>
        <stp>[Andrea New RollM.xlsm]DB!R82C14</stp>
        <stp>BarSz=60</stp>
        <stp>BarTp=T</stp>
        <stp>RecurDaily=True</stp>
        <stp>TZ=London</stp>
        <stp>DTS=H</stp>
        <tr r="N82" s="23"/>
      </tp>
      <tp>
        <v>102.902</v>
        <stp/>
        <stp>##V3_BDHV12</stp>
        <stp>IT0004793474@CBBT Corp</stp>
        <stp>OPEN</stp>
        <stp>04/10/2016 4:15:00 PM</stp>
        <stp>04/10/2016 5:15:00 PM</stp>
        <stp>[Andrea New RollM.xlsm]DB!R11C15</stp>
        <stp>BarSz=60</stp>
        <stp>BarTp=T</stp>
        <stp>RecurDaily=True</stp>
        <stp>TZ=London</stp>
        <stp>DTS=H</stp>
        <tr r="O11" s="23"/>
      </tp>
      <tp>
        <v>102.428</v>
        <stp/>
        <stp>##V3_BDHV12</stp>
        <stp>IT0005090318@CBBT Corp</stp>
        <stp>OPEN</stp>
        <stp>11/10/2016 4:15:00 PM</stp>
        <stp>11/10/2016 5:15:00 PM</stp>
        <stp>[Andrea New RollM.xlsm]DB!R84C14</stp>
        <stp>BarSz=60</stp>
        <stp>BarTp=T</stp>
        <stp>RecurDaily=True</stp>
        <stp>TZ=London</stp>
        <stp>DTS=H</stp>
        <tr r="N84" s="23"/>
      </tp>
      <tp>
        <v>121.1</v>
        <stp/>
        <stp>##V3_BDHV12</stp>
        <stp>IT0004695075@CBBT Corp</stp>
        <stp>OPEN</stp>
        <stp>11/10/2016 4:15:00 PM</stp>
        <stp>11/10/2016 5:15:00 PM</stp>
        <stp>[Andrea New RollM.xlsm]DB!R59C14</stp>
        <stp>BarSz=60</stp>
        <stp>BarTp=T</stp>
        <stp>RecurDaily=True</stp>
        <stp>TZ=London</stp>
        <stp>DTS=H</stp>
        <tr r="N59" s="23"/>
      </tp>
      <tp>
        <v>106.503</v>
        <stp/>
        <stp>##V3_BDHV12</stp>
        <stp>IT0004992308@CBBT Corp</stp>
        <stp>OPEN</stp>
        <stp>09/09/2016 4:15:00 PM</stp>
        <stp>09/09/2016 5:15:00 PM</stp>
        <stp>[Andrea New RollM.xlsm]DB!R34C16</stp>
        <stp>BarSz=60</stp>
        <stp>BarTp=T</stp>
        <stp>RecurDaily=True</stp>
        <stp>TZ=London</stp>
        <stp>DTS=H</stp>
        <tr r="P34" s="23"/>
      </tp>
      <tp>
        <v>115.88500000000001</v>
        <stp/>
        <stp>##V3_BDHV12</stp>
        <stp>IT0004966401@CBBT Corp</stp>
        <stp>OPEN</stp>
        <stp>09/09/2016 4:15:00 PM</stp>
        <stp>09/09/2016 5:15:00 PM</stp>
        <stp>[Andrea New RollM.xlsm]DB!R54C16</stp>
        <stp>BarSz=60</stp>
        <stp>BarTp=T</stp>
        <stp>RecurDaily=True</stp>
        <stp>TZ=London</stp>
        <stp>DTS=H</stp>
        <tr r="P54" s="23"/>
      </tp>
      <tp>
        <v>113.98</v>
        <stp/>
        <stp>##V3_BDHV12</stp>
        <stp>IT0004536949@CBBT Corp</stp>
        <stp>OPEN</stp>
        <stp>11/10/2016 4:15:00 PM</stp>
        <stp>11/10/2016 5:15:00 PM</stp>
        <stp>[Andrea New RollM.xlsm]DB!R43C14</stp>
        <stp>BarSz=60</stp>
        <stp>BarTp=T</stp>
        <stp>RecurDaily=True</stp>
        <stp>TZ=London</stp>
        <stp>DTS=H</stp>
        <tr r="N43" s="23"/>
      </tp>
      <tp t="s">
        <v>#N/A N/A</v>
        <stp/>
        <stp>##V3_BDHV12</stp>
        <stp>IT0005217929@CBBT Corp</stp>
        <stp>OPEN</stp>
        <stp>04/10/2016 4:15:00 PM</stp>
        <stp>04/10/2016 5:15:00 PM</stp>
        <stp>[Andrea New RollM.xlsm]DB!R38C15</stp>
        <stp>BarSz=60</stp>
        <stp>BarTp=T</stp>
        <stp>RecurDaily=True</stp>
        <stp>TZ=London</stp>
        <stp>DTS=H</stp>
        <tr r="O38" s="23"/>
      </tp>
      <tp>
        <v>103.20699999999999</v>
        <stp/>
        <stp>##V3_BDHV12</stp>
        <stp>IT0005069395@CBBT Corp</stp>
        <stp>OPEN</stp>
        <stp>09/09/2016 4:15:00 PM</stp>
        <stp>09/09/2016 5:15:00 PM</stp>
        <stp>[Andrea New RollM.xlsm]DB!R41C16</stp>
        <stp>BarSz=60</stp>
        <stp>BarTp=T</stp>
        <stp>RecurDaily=True</stp>
        <stp>TZ=London</stp>
        <stp>DTS=H</stp>
        <tr r="P41" s="23"/>
      </tp>
      <tp>
        <v>102.077</v>
        <stp/>
        <stp>##V3_BDHV12</stp>
        <stp>IT0005107708@CBBT Corp</stp>
        <stp>OPEN</stp>
        <stp>11/10/2016 4:15:00 PM</stp>
        <stp>11/10/2016 5:15:00 PM</stp>
        <stp>[Andrea New RollM.xlsm]DB!R45C14</stp>
        <stp>BarSz=60</stp>
        <stp>BarTp=T</stp>
        <stp>RecurDaily=True</stp>
        <stp>TZ=London</stp>
        <stp>DTS=H</stp>
        <tr r="N45" s="23"/>
      </tp>
      <tp>
        <v>114.705</v>
        <stp/>
        <stp>##V3_BDHV12</stp>
        <stp>IT0003644769@CBBT Corp</stp>
        <stp>OPEN</stp>
        <stp>04/10/2016 4:15:00 PM</stp>
        <stp>04/10/2016 5:15:00 PM</stp>
        <stp>[Andrea New RollM.xlsm]DB!R42C15</stp>
        <stp>BarSz=60</stp>
        <stp>BarTp=T</stp>
        <stp>RecurDaily=True</stp>
        <stp>TZ=London</stp>
        <stp>DTS=H</stp>
        <tr r="O42" s="23"/>
      </tp>
      <tp>
        <v>51.306697179931852</v>
        <stp/>
        <stp>##V3_BDPV12</stp>
        <stp>IT0005056541 Corp@CBBT Corp</stp>
        <stp>Z_SPRD_MID</stp>
        <stp>[Andrea New RollM.xlsm]CCT!R11C10</stp>
        <tr r="J11" s="27"/>
      </tp>
      <tp>
        <v>3.4504157136791025</v>
        <stp/>
        <stp>##V3_BDPV12</stp>
        <stp>IT0004793474 Corp@CBBT Corp</stp>
        <stp>Z_SPRD_MID</stp>
        <stp>[Andrea New RollM.xlsm]CCT!R23C10</stp>
        <tr r="J23" s="27"/>
      </tp>
      <tp>
        <v>49.853768679931129</v>
        <stp/>
        <stp>##V3_BDPV12</stp>
        <stp>IT0005137614 Corp@CBBT Corp</stp>
        <stp>ASSET_SWAP_SPD_MID</stp>
        <stp>[Andrea New RollM.xlsm]CCT!R13C11</stp>
        <tr r="K13" s="27"/>
      </tp>
      <tp>
        <v>25.493959252998849</v>
        <stp/>
        <stp>##V3_BDPV12</stp>
        <stp>IT0004273493 Corp@CBBT Corp</stp>
        <stp>Z_SPRD_MID</stp>
        <stp>[Andrea New RollM.xlsm]CCT!R27C10</stp>
        <tr r="J27" s="27"/>
      </tp>
      <tp>
        <v>4.4054333851696983</v>
        <stp/>
        <stp>##V3_BDPV12</stp>
        <stp>IT0004820426 Corp@CBBT Corp</stp>
        <stp>Z_SPRD_MID</stp>
        <stp>[Andrea New RollM.xlsm]CCT!R24C10</stp>
        <tr r="J24" s="27"/>
      </tp>
    </main>
    <main first="marketviewexcelplugin.mkvxp">
      <tp>
        <v>8.6000000000000007E-2</v>
        <stp/>
        <stp>0</stp>
        <stp>EUR.PRICING_MAIN.PXE.ES00000123B9</stp>
        <stp>MidYield</stp>
        <tr r="K199" s="23"/>
      </tp>
      <tp>
        <v>0.127</v>
        <stp/>
        <stp>0</stp>
        <stp>EUR.PRICING_MAIN.PXE.ES00000128B8</stp>
        <stp>MidYield</stp>
        <tr r="K57" s="23"/>
      </tp>
      <tp>
        <v>0.80300000000000005</v>
        <stp/>
        <stp>0</stp>
        <stp>EUR.PRICING_MAIN.PXE.ES00000126B2</stp>
        <stp>MidYield</stp>
        <tr r="K205" s="23"/>
      </tp>
      <tp>
        <v>45412</v>
        <stp/>
        <stp>0</stp>
        <stp>EUR.CM_INSTRUMENT.PXE.ES00000124W3</stp>
        <stp>DateMaturity</stp>
        <tr r="D204" s="23"/>
      </tp>
      <tp>
        <v>-0.22900000000000001</v>
        <stp/>
        <stp>0</stp>
        <stp>EUR.PRICING_MAIN.PXE.ES00000124B7</stp>
        <stp>MidYield</stp>
        <tr r="K190" s="23"/>
      </tp>
      <tp>
        <v>45005</v>
        <stp/>
        <stp>0</stp>
        <stp>EUR.CM_INSTRUMENT.PXE.IE00B4S3JD47</stp>
        <stp>DateMaturity</stp>
        <tr r="D244" s="23"/>
      </tp>
    </main>
    <main first="bloomberg.rtd">
      <tp t="b">
        <v>0</v>
        <stp/>
        <stp>##V3_BCURVEV12</stp>
        <stp>[Andrea New RollM.xlsm]Crv!R7C2</stp>
        <stp>EUR.OIS</stp>
        <stp>CurveName</stp>
        <stp/>
        <tr r="B7" s="1"/>
      </tp>
      <tp t="s">
        <v>#N/A Invalid Override</v>
        <stp/>
        <stp>##V3_BDPV12</stp>
        <stp>IT0004019581@CBBT Corp</stp>
        <stp>YAS_BOND_YLD</stp>
        <stp>[Andrea New RollM.xlsm]DB!R5C19</stp>
        <stp>SETTLE_DT=20160909</stp>
        <stp>YAS_BOND_PX=#N/A N/A</stp>
        <tr r="S5" s="23"/>
      </tp>
      <tp t="s">
        <v>#N/A Invalid Override</v>
        <stp/>
        <stp>##V3_BDPV12</stp>
        <stp>IT0004019581@CBBT Corp</stp>
        <stp>YAS_BOND_YLD</stp>
        <stp>[Andrea New RollM.xlsm]DB!R5C18</stp>
        <stp>SETTLE_DT=20161004</stp>
        <stp>YAS_BOND_PX=#N/A N/A</stp>
        <tr r="R5" s="23"/>
      </tp>
      <tp>
        <v>80</v>
        <stp/>
        <stp>##V3_BDPV12</stp>
        <stp>IT0004652175 Corp</stp>
        <stp>FLT_SPREAD</stp>
        <stp>[Andrea New RollM.xlsm]CCT!R7C5</stp>
        <tr r="E7" s="27"/>
      </tp>
    </main>
    <main first="bloomberg.rtd">
      <tp>
        <v>101.86</v>
        <stp/>
        <stp>##V3_BDHV12</stp>
        <stp>IT0005172322@CBBT Corp</stp>
        <stp>OPEN</stp>
        <stp>04/10/2016 4:15:00 PM</stp>
        <stp>04/10/2016 5:15:00 PM</stp>
        <stp>[Andrea New RollM.xlsm]DB!R70C15</stp>
        <stp>BarSz=60</stp>
        <stp>BarTp=T</stp>
        <stp>RecurDaily=True</stp>
        <stp>TZ=London</stp>
        <stp>DTS=H</stp>
        <tr r="O70" s="23"/>
      </tp>
      <tp>
        <v>102.00700000000001</v>
        <stp/>
        <stp>##V3_BDHV12</stp>
        <stp>IT0005170839@CBBT Corp</stp>
        <stp>OPEN</stp>
        <stp>11/10/2016 4:15:00 PM</stp>
        <stp>11/10/2016 5:15:00 PM</stp>
        <stp>[Andrea New RollM.xlsm]DB!R90C14</stp>
        <stp>BarSz=60</stp>
        <stp>BarTp=T</stp>
        <stp>RecurDaily=True</stp>
        <stp>TZ=London</stp>
        <stp>DTS=H</stp>
        <tr r="N90" s="23"/>
      </tp>
      <tp>
        <v>123.675</v>
        <stp/>
        <stp>##V3_BDHV12</stp>
        <stp>IT0005024234@CBBT Corp</stp>
        <stp>OPEN</stp>
        <stp>04/10/2016 4:15:00 PM</stp>
        <stp>04/10/2016 5:15:00 PM</stp>
        <stp>[Andrea New RollM.xlsm]DB!R98C15</stp>
        <stp>BarSz=60</stp>
        <stp>BarTp=T</stp>
        <stp>RecurDaily=True</stp>
        <stp>TZ=London</stp>
        <stp>DTS=H</stp>
        <tr r="O98" s="23"/>
      </tp>
      <tp>
        <v>144.29300000000001</v>
        <stp/>
        <stp>##V3_BDHV12</stp>
        <stp>IT0001278511@CBBT Corp</stp>
        <stp>OPEN</stp>
        <stp>04/10/2016 4:15:00 PM</stp>
        <stp>04/10/2016 5:15:00 PM</stp>
        <stp>[Andrea New RollM.xlsm]DB!R97C15</stp>
        <stp>BarSz=60</stp>
        <stp>BarTp=T</stp>
        <stp>RecurDaily=True</stp>
        <stp>TZ=London</stp>
        <stp>DTS=H</stp>
        <tr r="O97" s="23"/>
      </tp>
      <tp>
        <v>112.95699999999999</v>
        <stp/>
        <stp>##V3_BDHV12</stp>
        <stp>FR0011486067@CBBT Corp</stp>
        <stp>OPEN</stp>
        <stp>11/10/2016 4:15:00 PM</stp>
        <stp>11/10/2016 5:15:00 PM</stp>
        <stp>[Andrea New RollM.xlsm]DB!R72C14</stp>
        <stp>BarSz=60</stp>
        <stp>BarTp=T</stp>
        <stp>RecurDaily=True</stp>
        <stp>TZ=London</stp>
        <stp>DTS=H</stp>
        <tr r="N72" s="23"/>
      </tp>
      <tp>
        <v>100.901</v>
        <stp/>
        <stp>##V3_BDHV12</stp>
        <stp>FR0012634558@CBBT Corp</stp>
        <stp>OPEN</stp>
        <stp>04/10/2016 4:15:00 PM</stp>
        <stp>04/10/2016 5:15:00 PM</stp>
        <stp>[Andrea New RollM.xlsm]DB!R19C15</stp>
        <stp>BarSz=60</stp>
        <stp>BarTp=T</stp>
        <stp>RecurDaily=True</stp>
        <stp>TZ=London</stp>
        <stp>DTS=H</stp>
        <tr r="O19" s="23"/>
      </tp>
      <tp>
        <v>100.193</v>
        <stp/>
        <stp>##V3_BDHV12</stp>
        <stp>FR0013200813@CBBT Corp</stp>
        <stp>OPEN</stp>
        <stp>04/10/2016 4:15:00 PM</stp>
        <stp>04/10/2016 5:15:00 PM</stp>
        <stp>[Andrea New RollM.xlsm]DB!R92C15</stp>
        <stp>BarSz=60</stp>
        <stp>BarTp=T</stp>
        <stp>RecurDaily=True</stp>
        <stp>TZ=London</stp>
        <stp>DTS=H</stp>
        <tr r="O92" s="23"/>
      </tp>
      <tp>
        <v>103.56699999999999</v>
        <stp/>
        <stp>##V3_BDHV12</stp>
        <stp>IT0004820426@CBBT Corp</stp>
        <stp>OPEN</stp>
        <stp>09/09/2016 4:15:00 PM</stp>
        <stp>09/09/2016 5:15:00 PM</stp>
        <stp>[Andrea New RollM.xlsm]DB!R13C16</stp>
        <stp>BarSz=60</stp>
        <stp>BarTp=T</stp>
        <stp>RecurDaily=True</stp>
        <stp>TZ=London</stp>
        <stp>DTS=H</stp>
        <tr r="P13" s="23"/>
      </tp>
      <tp>
        <v>102.85299999999999</v>
        <stp/>
        <stp>##V3_BDHV12</stp>
        <stp>FR0012968337@CBBT Corp</stp>
        <stp>OPEN</stp>
        <stp>09/09/2016 4:15:00 PM</stp>
        <stp>09/09/2016 5:15:00 PM</stp>
        <stp>[Andrea New RollM.xlsm]DB!R51C16</stp>
        <stp>BarSz=60</stp>
        <stp>BarTp=T</stp>
        <stp>RecurDaily=True</stp>
        <stp>TZ=London</stp>
        <stp>DTS=H</stp>
        <tr r="P51" s="23"/>
      </tp>
      <tp>
        <v>-5.5051986313401056</v>
        <stp/>
        <stp>##V3_BDPV12</stp>
        <stp>IT0004164775 Corp@CBBT Corp</stp>
        <stp>Z_SPRD_MID</stp>
        <stp>[Andrea New RollM.xlsm]CCT!R22C10</stp>
        <tr r="J22" s="27"/>
      </tp>
      <tp>
        <v>73.338321853750898</v>
        <stp/>
        <stp>##V3_BDPV12</stp>
        <stp>IT0005137614 Corp@CBBT Corp</stp>
        <stp>Z_SPRD_MID</stp>
        <stp>[Andrea New RollM.xlsm]CCT!R13C10</stp>
        <tr r="J13" s="27"/>
      </tp>
    </main>
    <main first="marketviewexcelplugin.mkvxp">
      <tp t="s">
        <v>OK</v>
        <stp/>
        <stp>7</stp>
        <stp>XLS_ANDREA</stp>
        <stp>,sTicker,sId,sDateMaturity,rYldCls,rYldMidCoW,rYldMidCoM</stp>
        <tr r="I4" s="23"/>
      </tp>
    </main>
    <main first="bloomberg.rtd">
      <tp>
        <v>31.525405855165072</v>
        <stp/>
        <stp>##V3_BDPV12</stp>
        <stp>IT0005056541 Corp@CBBT Corp</stp>
        <stp>ASSET_SWAP_SPD_MID</stp>
        <stp>[Andrea New RollM.xlsm]CCT!R11C11</stp>
        <tr r="K11" s="27"/>
      </tp>
    </main>
    <main first="marketviewexcelplugin.mkvxp">
      <tp>
        <v>1.409</v>
        <stp/>
        <stp>0</stp>
        <stp>EUR.PRICING_MAIN.PXE.ES00000127A2</stp>
        <stp>MidYield</stp>
        <tr r="K214" s="23"/>
      </tp>
      <tp>
        <v>-0.14400000000000002</v>
        <stp/>
        <stp>0</stp>
        <stp>EUR.PRICING_MAIN.PXE.ES00000128A0</stp>
        <stp>MidYield</stp>
        <tr r="K191" s="23"/>
      </tp>
      <tp>
        <v>44135</v>
        <stp/>
        <stp>0</stp>
        <stp>EUR.CM_INSTRUMENT.PXE.ES00000122T3</stp>
        <stp>DateMaturity</stp>
        <tr r="D198" s="23"/>
      </tp>
      <tp>
        <v>-0.21199999999999999</v>
        <stp/>
        <stp>0</stp>
        <stp>EUR.PRICING_MAIN.PXE.ES00000121A5</stp>
        <stp>MidYield</stp>
        <tr r="K189" s="23"/>
      </tp>
    </main>
    <main first="marketviewexcelplugin.mkvxp">
      <tp>
        <v>43634</v>
        <stp/>
        <stp>0</stp>
        <stp>EUR.CM_INSTRUMENT.PXE.IE00B2QTFG59</stp>
        <stp>DateMaturity</stp>
        <tr r="D239" s="23"/>
      </tp>
      <tp>
        <v>0.38129999999999997</v>
        <stp/>
        <stp>0</stp>
        <stp>EUR.PRICING_MAIN.PXE.IT0004584204</stp>
        <stp>MDuration</stp>
        <tr r="U5" s="27"/>
      </tp>
    </main>
    <main first="bloomberg.rtd">
      <tp>
        <v>101.2</v>
        <stp/>
        <stp>##V3_BDHV12</stp>
        <stp>IT0005172322@CBBT Corp</stp>
        <stp>OPEN</stp>
        <stp>11/10/2016 4:15:00 PM</stp>
        <stp>11/10/2016 5:15:00 PM</stp>
        <stp>[Andrea New RollM.xlsm]DB!R70C14</stp>
        <stp>BarSz=60</stp>
        <stp>BarTp=T</stp>
        <stp>RecurDaily=True</stp>
        <stp>TZ=London</stp>
        <stp>DTS=H</stp>
        <tr r="N70" s="23"/>
      </tp>
      <tp>
        <v>103.11499999999999</v>
        <stp/>
        <stp>##V3_BDHV12</stp>
        <stp>IT0005170839@CBBT Corp</stp>
        <stp>OPEN</stp>
        <stp>04/10/2016 4:15:00 PM</stp>
        <stp>04/10/2016 5:15:00 PM</stp>
        <stp>[Andrea New RollM.xlsm]DB!R90C15</stp>
        <stp>BarSz=60</stp>
        <stp>BarTp=T</stp>
        <stp>RecurDaily=True</stp>
        <stp>TZ=London</stp>
        <stp>DTS=H</stp>
        <tr r="O90" s="23"/>
      </tp>
      <tp>
        <v>126.396</v>
        <stp/>
        <stp>##V3_BDHV12</stp>
        <stp>FR0011317783@CBBT Corp</stp>
        <stp>OPEN</stp>
        <stp>09/09/2016 4:15:00 PM</stp>
        <stp>09/09/2016 5:15:00 PM</stp>
        <stp>[Andrea New RollM.xlsm]DB!R94C16</stp>
        <stp>BarSz=60</stp>
        <stp>BarTp=T</stp>
        <stp>RecurDaily=True</stp>
        <stp>TZ=London</stp>
        <stp>DTS=H</stp>
        <tr r="P94" s="23"/>
      </tp>
      <tp>
        <v>124.78</v>
        <stp/>
        <stp>##V3_BDHV12</stp>
        <stp>IT0004898034@CBBT Corp</stp>
        <stp>OPEN</stp>
        <stp>09/09/2016 4:15:00 PM</stp>
        <stp>09/09/2016 5:15:00 PM</stp>
        <stp>[Andrea New RollM.xlsm]DB!R71C16</stp>
        <stp>BarSz=60</stp>
        <stp>BarTp=T</stp>
        <stp>RecurDaily=True</stp>
        <stp>TZ=London</stp>
        <stp>DTS=H</stp>
        <tr r="P71" s="23"/>
      </tp>
      <tp>
        <v>131.65199999999999</v>
        <stp/>
        <stp>##V3_BDHV12</stp>
        <stp>FR0010916924@CBBT Corp</stp>
        <stp>OPEN</stp>
        <stp>09/09/2016 4:15:00 PM</stp>
        <stp>09/09/2016 5:15:00 PM</stp>
        <stp>[Andrea New RollM.xlsm]DB!R88C16</stp>
        <stp>BarSz=60</stp>
        <stp>BarTp=T</stp>
        <stp>RecurDaily=True</stp>
        <stp>TZ=London</stp>
        <stp>DTS=H</stp>
        <tr r="P88" s="23"/>
      </tp>
      <tp>
        <v>100.89100000000001</v>
        <stp/>
        <stp>##V3_BDHV12</stp>
        <stp>FR0012634558@CBBT Corp</stp>
        <stp>OPEN</stp>
        <stp>11/10/2016 4:15:00 PM</stp>
        <stp>11/10/2016 5:15:00 PM</stp>
        <stp>[Andrea New RollM.xlsm]DB!R19C14</stp>
        <stp>BarSz=60</stp>
        <stp>BarTp=T</stp>
        <stp>RecurDaily=True</stp>
        <stp>TZ=London</stp>
        <stp>DTS=H</stp>
        <tr r="N19" s="23"/>
      </tp>
      <tp>
        <v>99.245999999999995</v>
        <stp/>
        <stp>##V3_BDHV12</stp>
        <stp>FR0013200813@CBBT Corp</stp>
        <stp>OPEN</stp>
        <stp>11/10/2016 4:15:00 PM</stp>
        <stp>11/10/2016 5:15:00 PM</stp>
        <stp>[Andrea New RollM.xlsm]DB!R92C14</stp>
        <stp>BarSz=60</stp>
        <stp>BarTp=T</stp>
        <stp>RecurDaily=True</stp>
        <stp>TZ=London</stp>
        <stp>DTS=H</stp>
        <tr r="N92" s="23"/>
      </tp>
      <tp>
        <v>129.495</v>
        <stp/>
        <stp>##V3_BDHV12</stp>
        <stp>IT0004848831@CBBT Corp</stp>
        <stp>OPEN</stp>
        <stp>09/09/2016 4:15:00 PM</stp>
        <stp>09/09/2016 5:15:00 PM</stp>
        <stp>[Andrea New RollM.xlsm]DB!R69C16</stp>
        <stp>BarSz=60</stp>
        <stp>BarTp=T</stp>
        <stp>RecurDaily=True</stp>
        <stp>TZ=London</stp>
        <stp>DTS=H</stp>
        <tr r="P69" s="23"/>
      </tp>
      <tp>
        <v>136.33699999999999</v>
        <stp/>
        <stp>##V3_BDHV12</stp>
        <stp>IT0004889033@CBBT Corp</stp>
        <stp>OPEN</stp>
        <stp>09/09/2016 4:15:00 PM</stp>
        <stp>09/09/2016 5:15:00 PM</stp>
        <stp>[Andrea New RollM.xlsm]DB!R96C16</stp>
        <stp>BarSz=60</stp>
        <stp>BarTp=T</stp>
        <stp>RecurDaily=True</stp>
        <stp>TZ=London</stp>
        <stp>DTS=H</stp>
        <tr r="P96" s="23"/>
      </tp>
      <tp>
        <v>106.39</v>
        <stp/>
        <stp>##V3_BDHV12</stp>
        <stp>IT0004273493@CBBT Corp</stp>
        <stp>OPEN</stp>
        <stp>09/09/2016 4:15:00 PM</stp>
        <stp>09/09/2016 5:15:00 PM</stp>
        <stp>[Andrea New RollM.xlsm]DB!R18C16</stp>
        <stp>BarSz=60</stp>
        <stp>BarTp=T</stp>
        <stp>RecurDaily=True</stp>
        <stp>TZ=London</stp>
        <stp>DTS=H</stp>
        <tr r="P18" s="23"/>
      </tp>
      <tp>
        <v>115.524</v>
        <stp/>
        <stp>##V3_BDHV12</stp>
        <stp>FR0011337880@CBBT Corp</stp>
        <stp>OPEN</stp>
        <stp>09/09/2016 4:15:00 PM</stp>
        <stp>09/09/2016 5:15:00 PM</stp>
        <stp>[Andrea New RollM.xlsm]DB!R68C16</stp>
        <stp>BarSz=60</stp>
        <stp>BarTp=T</stp>
        <stp>RecurDaily=True</stp>
        <stp>TZ=London</stp>
        <stp>DTS=H</stp>
        <tr r="P68" s="23"/>
      </tp>
      <tp>
        <v>121.535</v>
        <stp/>
        <stp>##V3_BDHV12</stp>
        <stp>IT0005024234@CBBT Corp</stp>
        <stp>OPEN</stp>
        <stp>11/10/2016 4:15:00 PM</stp>
        <stp>11/10/2016 5:15:00 PM</stp>
        <stp>[Andrea New RollM.xlsm]DB!R98C14</stp>
        <stp>BarSz=60</stp>
        <stp>BarTp=T</stp>
        <stp>RecurDaily=True</stp>
        <stp>TZ=London</stp>
        <stp>DTS=H</stp>
        <tr r="N98" s="23"/>
      </tp>
      <tp>
        <v>141.99700000000001</v>
        <stp/>
        <stp>##V3_BDHV12</stp>
        <stp>IT0001278511@CBBT Corp</stp>
        <stp>OPEN</stp>
        <stp>11/10/2016 4:15:00 PM</stp>
        <stp>11/10/2016 5:15:00 PM</stp>
        <stp>[Andrea New RollM.xlsm]DB!R97C14</stp>
        <stp>BarSz=60</stp>
        <stp>BarTp=T</stp>
        <stp>RecurDaily=True</stp>
        <stp>TZ=London</stp>
        <stp>DTS=H</stp>
        <tr r="N97" s="23"/>
      </tp>
      <tp>
        <v>113.523</v>
        <stp/>
        <stp>##V3_BDHV12</stp>
        <stp>FR0011486067@CBBT Corp</stp>
        <stp>OPEN</stp>
        <stp>04/10/2016 4:15:00 PM</stp>
        <stp>04/10/2016 5:15:00 PM</stp>
        <stp>[Andrea New RollM.xlsm]DB!R72C15</stp>
        <stp>BarSz=60</stp>
        <stp>BarTp=T</stp>
        <stp>RecurDaily=True</stp>
        <stp>TZ=London</stp>
        <stp>DTS=H</stp>
        <tr r="O72" s="23"/>
      </tp>
      <tp t="s">
        <v>#N/A N/A</v>
        <stp/>
        <stp>##V3_BDHV12</stp>
        <stp>IT0005216491@CBBT Corp</stp>
        <stp>OPEN</stp>
        <stp>09/09/2016 4:15:00 PM</stp>
        <stp>09/09/2016 5:15:00 PM</stp>
        <stp>[Andrea New RollM.xlsm]DB!R61C16</stp>
        <stp>BarSz=60</stp>
        <stp>BarTp=T</stp>
        <stp>RecurDaily=True</stp>
        <stp>TZ=London</stp>
        <stp>DTS=H</stp>
        <tr r="P61" s="23"/>
      </tp>
      <tp>
        <v>46.396033865138051</v>
        <stp/>
        <stp>##V3_BDPV12</stp>
        <stp>IT0004489610 Corp@CBBT Corp</stp>
        <stp>Z_SPRD_MID</stp>
        <stp>[Andrea New RollM.xlsm]CCT!R31C10</stp>
        <tr r="J31" s="27"/>
      </tp>
      <tp>
        <v>83.54065413803815</v>
        <stp/>
        <stp>##V3_BDPV12</stp>
        <stp>IT0004759673 Corp@CBBT Corp</stp>
        <stp>Z_SPRD_MID</stp>
        <stp>[Andrea New RollM.xlsm]CCT!R35C10</stp>
        <tr r="J35" s="27"/>
      </tp>
      <tp>
        <v>57.249066174647403</v>
        <stp/>
        <stp>##V3_BDPV12</stp>
        <stp>IT0005185456 Corp@CBBT Corp</stp>
        <stp>ASSET_SWAP_SPD_MID</stp>
        <stp>[Andrea New RollM.xlsm]CCT!R14C11</stp>
        <tr r="K14" s="27"/>
      </tp>
      <tp>
        <v>39.914942997369394</v>
        <stp/>
        <stp>##V3_BDPV12</stp>
        <stp>IT0005104473 Corp@CBBT Corp</stp>
        <stp>ASSET_SWAP_SPD_MID</stp>
        <stp>[Andrea New RollM.xlsm]CCT!R12C11</stp>
        <tr r="K12" s="27"/>
      </tp>
    </main>
    <main first="marketviewexcelplugin.mkvxp">
      <tp>
        <v>44957</v>
        <stp/>
        <stp>0</stp>
        <stp>EUR.CM_INSTRUMENT.PXE.ES00000123U9</stp>
        <stp>DateMaturity</stp>
        <tr r="D201" s="23"/>
      </tp>
    </main>
    <main first="bloomberg.rtd">
      <tp>
        <v>115.563</v>
        <stp/>
        <stp>##V3_BDHV12</stp>
        <stp>IT0004634132@CBBT Corp</stp>
        <stp>OPEN</stp>
        <stp>04/10/2016 4:15:00 PM</stp>
        <stp>04/10/2016 5:15:00 PM</stp>
        <stp>[Andrea New RollM.xlsm]DB!R52C15</stp>
        <stp>BarSz=60</stp>
        <stp>BarTp=T</stp>
        <stp>RecurDaily=True</stp>
        <stp>TZ=London</stp>
        <stp>DTS=H</stp>
        <tr r="O52" s="23"/>
      </tp>
      <tp>
        <v>120.087</v>
        <stp/>
        <stp>##V3_BDHV12</stp>
        <stp>IT0005001547@CBBT Corp</stp>
        <stp>OPEN</stp>
        <stp>11/10/2016 4:15:00 PM</stp>
        <stp>11/10/2016 5:15:00 PM</stp>
        <stp>[Andrea New RollM.xlsm]DB!R79C14</stp>
        <stp>BarSz=60</stp>
        <stp>BarTp=T</stp>
        <stp>RecurDaily=True</stp>
        <stp>TZ=London</stp>
        <stp>DTS=H</stp>
        <tr r="N79" s="23"/>
      </tp>
      <tp>
        <v>105.33</v>
        <stp/>
        <stp>##V3_BDHV12</stp>
        <stp>IT0005135840@CBBT Corp</stp>
        <stp>OPEN</stp>
        <stp>04/10/2016 4:15:00 PM</stp>
        <stp>04/10/2016 5:15:00 PM</stp>
        <stp>[Andrea New RollM.xlsm]DB!R67C15</stp>
        <stp>BarSz=60</stp>
        <stp>BarTp=T</stp>
        <stp>RecurDaily=True</stp>
        <stp>TZ=London</stp>
        <stp>DTS=H</stp>
        <tr r="O67" s="23"/>
      </tp>
      <tp>
        <v>102.08199999999999</v>
        <stp/>
        <stp>##V3_BDHV12</stp>
        <stp>IT0005142143@CBBT Corp</stp>
        <stp>OPEN</stp>
        <stp>04/10/2016 4:15:00 PM</stp>
        <stp>04/10/2016 5:15:00 PM</stp>
        <stp>[Andrea New RollM.xlsm]DB!R50C15</stp>
        <stp>BarSz=60</stp>
        <stp>BarTp=T</stp>
        <stp>RecurDaily=True</stp>
        <stp>TZ=London</stp>
        <stp>DTS=H</stp>
        <tr r="O50" s="23"/>
      </tp>
      <tp>
        <v>110.12</v>
        <stp/>
        <stp>##V3_BDHV12</stp>
        <stp>FR0010670737@CBBT Corp</stp>
        <stp>OPEN</stp>
        <stp>04/10/2016 4:15:00 PM</stp>
        <stp>04/10/2016 5:15:00 PM</stp>
        <stp>[Andrea New RollM.xlsm]DB!R26C15</stp>
        <stp>BarSz=60</stp>
        <stp>BarTp=T</stp>
        <stp>RecurDaily=True</stp>
        <stp>TZ=London</stp>
        <stp>DTS=H</stp>
        <tr r="O26" s="23"/>
      </tp>
      <tp>
        <v>105.11499999999999</v>
        <stp/>
        <stp>##V3_BDHV12</stp>
        <stp>FR0010517417@CBBT Corp</stp>
        <stp>OPEN</stp>
        <stp>11/10/2016 4:15:00 PM</stp>
        <stp>11/10/2016 5:15:00 PM</stp>
        <stp>[Andrea New RollM.xlsm]DB!R15C14</stp>
        <stp>BarSz=60</stp>
        <stp>BarTp=T</stp>
        <stp>RecurDaily=True</stp>
        <stp>TZ=London</stp>
        <stp>DTS=H</stp>
        <tr r="N15" s="23"/>
      </tp>
      <tp>
        <v>102.08199999999999</v>
        <stp/>
        <stp>##V3_BDHV12</stp>
        <stp>IT0005142143@CBBT Corp</stp>
        <stp>OPEN</stp>
        <stp>04/10/2016 4:15:00 PM</stp>
        <stp>04/10/2016 5:15:00 PM</stp>
        <stp>[Andrea New RollM.xlsm]DB!R49C15</stp>
        <stp>BarSz=60</stp>
        <stp>BarTp=T</stp>
        <stp>RecurDaily=True</stp>
        <stp>TZ=London</stp>
        <stp>DTS=H</stp>
        <tr r="O49" s="23"/>
      </tp>
      <tp>
        <v>118.51</v>
        <stp/>
        <stp>##V3_BDHV12</stp>
        <stp>FR0011619436@CBBT Corp</stp>
        <stp>OPEN</stp>
        <stp>04/10/2016 4:15:00 PM</stp>
        <stp>04/10/2016 5:15:00 PM</stp>
        <stp>[Andrea New RollM.xlsm]DB!R78C15</stp>
        <stp>BarSz=60</stp>
        <stp>BarTp=T</stp>
        <stp>RecurDaily=True</stp>
        <stp>TZ=London</stp>
        <stp>DTS=H</stp>
        <tr r="O78" s="23"/>
      </tp>
      <tp>
        <v>112.36499999999999</v>
        <stp/>
        <stp>##V3_BDHV12</stp>
        <stp>FR0000189151@CBBT Corp</stp>
        <stp>OPEN</stp>
        <stp>11/10/2016 4:15:00 PM</stp>
        <stp>11/10/2016 5:15:00 PM</stp>
        <stp>[Andrea New RollM.xlsm]DB!R32C14</stp>
        <stp>BarSz=60</stp>
        <stp>BarTp=T</stp>
        <stp>RecurDaily=True</stp>
        <stp>TZ=London</stp>
        <stp>DTS=H</stp>
        <tr r="N32" s="23"/>
      </tp>
      <tp>
        <v>112.264</v>
        <stp/>
        <stp>##V3_BDHV12</stp>
        <stp>FR0010949651@CBBT Corp</stp>
        <stp>OPEN</stp>
        <stp>09/09/2016 4:15:00 PM</stp>
        <stp>09/09/2016 5:15:00 PM</stp>
        <stp>[Andrea New RollM.xlsm]DB!R48C16</stp>
        <stp>BarSz=60</stp>
        <stp>BarTp=T</stp>
        <stp>RecurDaily=True</stp>
        <stp>TZ=London</stp>
        <stp>DTS=H</stp>
        <tr r="P48" s="23"/>
      </tp>
      <tp>
        <v>118.535</v>
        <stp/>
        <stp>##V3_BDHV12</stp>
        <stp>FR0011196856@CBBT Corp</stp>
        <stp>OPEN</stp>
        <stp>11/10/2016 4:15:00 PM</stp>
        <stp>11/10/2016 5:15:00 PM</stp>
        <stp>[Andrea New RollM.xlsm]DB!R65C14</stp>
        <stp>BarSz=60</stp>
        <stp>BarTp=T</stp>
        <stp>RecurDaily=True</stp>
        <stp>TZ=London</stp>
        <stp>DTS=H</stp>
        <tr r="N65" s="23"/>
      </tp>
      <tp>
        <v>100.89</v>
        <stp/>
        <stp>##V3_BDHV12</stp>
        <stp>IT0005023459@CBBT Corp</stp>
        <stp>OPEN</stp>
        <stp>04/10/2016 4:15:00 PM</stp>
        <stp>04/10/2016 5:15:00 PM</stp>
        <stp>[Andrea New RollM.xlsm]DB!R12C15</stp>
        <stp>BarSz=60</stp>
        <stp>BarTp=T</stp>
        <stp>RecurDaily=True</stp>
        <stp>TZ=London</stp>
        <stp>DTS=H</stp>
        <tr r="O12" s="23"/>
      </tp>
      <tp>
        <v>100.583</v>
        <stp/>
        <stp>##V3_BDHV12</stp>
        <stp>IT0005106049@CBBT Corp</stp>
        <stp>OPEN</stp>
        <stp>04/10/2016 4:15:00 PM</stp>
        <stp>04/10/2016 5:15:00 PM</stp>
        <stp>[Andrea New RollM.xlsm]DB!R21C15</stp>
        <stp>BarSz=60</stp>
        <stp>BarTp=T</stp>
        <stp>RecurDaily=True</stp>
        <stp>TZ=London</stp>
        <stp>DTS=H</stp>
        <tr r="O21" s="23"/>
      </tp>
      <tp>
        <v>112.30200000000001</v>
        <stp/>
        <stp>##V3_BDHV12</stp>
        <stp>IT0004489610@CBBT Corp</stp>
        <stp>OPEN</stp>
        <stp>04/10/2016 4:15:00 PM</stp>
        <stp>04/10/2016 5:15:00 PM</stp>
        <stp>[Andrea New RollM.xlsm]DB!R37C15</stp>
        <stp>BarSz=60</stp>
        <stp>BarTp=T</stp>
        <stp>RecurDaily=True</stp>
        <stp>TZ=London</stp>
        <stp>DTS=H</stp>
        <tr r="O37" s="23"/>
      </tp>
      <tp>
        <v>129.07</v>
        <stp/>
        <stp>##V3_BDHV12</stp>
        <stp>IT0004801541@CBBT Corp</stp>
        <stp>OPEN</stp>
        <stp>09/09/2016 4:15:00 PM</stp>
        <stp>09/09/2016 5:15:00 PM</stp>
        <stp>[Andrea New RollM.xlsm]DB!R66C16</stp>
        <stp>BarSz=60</stp>
        <stp>BarTp=T</stp>
        <stp>RecurDaily=True</stp>
        <stp>TZ=London</stp>
        <stp>DTS=H</stp>
        <tr r="P66" s="23"/>
      </tp>
      <tp>
        <v>129.16999999999999</v>
        <stp/>
        <stp>##V3_BDHV12</stp>
        <stp>IT0004644735@CBBT Corp</stp>
        <stp>OPEN</stp>
        <stp>04/10/2016 4:15:00 PM</stp>
        <stp>04/10/2016 5:15:00 PM</stp>
        <stp>[Andrea New RollM.xlsm]DB!R87C15</stp>
        <stp>BarSz=60</stp>
        <stp>BarTp=T</stp>
        <stp>RecurDaily=True</stp>
        <stp>TZ=London</stp>
        <stp>DTS=H</stp>
        <tr r="O87" s="23"/>
      </tp>
      <tp>
        <v>61.924388344098332</v>
        <stp/>
        <stp>##V3_BDPV12</stp>
        <stp>IT0004634132 Corp@CBBT Corp</stp>
        <stp>Z_SPRD_MID</stp>
        <stp>[Andrea New RollM.xlsm]CCT!R34C10</stp>
        <tr r="J34" s="27"/>
      </tp>
      <tp>
        <v>31.456829883778223</v>
        <stp/>
        <stp>##V3_BDPV12</stp>
        <stp>IT0005106049 Corp@CBBT Corp</stp>
        <stp>Z_SPRD_MID</stp>
        <stp>[Andrea New RollM.xlsm]CCT!R28C10</stp>
        <tr r="J28" s="27"/>
      </tp>
    </main>
    <main first="marketviewexcelplugin.mkvxp">
      <tp>
        <v>0.99</v>
        <stp/>
        <stp>0</stp>
        <stp>EUR.PRICING_MAIN.PXE.ES00000127G9</stp>
        <stp>MidYield</stp>
        <tr r="K208" s="23"/>
      </tp>
      <tp>
        <v>0.61699999999999999</v>
        <stp/>
        <stp>0</stp>
        <stp>EUR.PRICING_MAIN.PXE.ES00000121G2</stp>
        <stp>MidYield</stp>
        <tr r="K203" s="23"/>
      </tp>
      <tp>
        <v>-0.51700000000000002</v>
        <stp/>
        <stp>0</stp>
        <stp>EUR.PRICING_MAIN.PXE.IE00B8DLLB38</stp>
        <stp>MidYield</stp>
        <tr r="K237" s="23"/>
      </tp>
    </main>
    <main first="bloomberg.rtd">
      <tp>
        <v>9.6457285575029434</v>
        <stp/>
        <stp>##V3_BDPV12</stp>
        <stp>IT0003242747 Corp</stp>
        <stp>YAS_ZSPREAD</stp>
        <stp>[Andrea New RollM.xlsm]Ita!R9C18</stp>
        <stp>YAS_BOND_PX</stp>
        <stp>104.424999999999997</stp>
        <tr r="R9" s="7"/>
      </tp>
      <tp>
        <v>101.855</v>
        <stp/>
        <stp>##V3_BDHV12</stp>
        <stp>IT0005142143@CBBT Corp</stp>
        <stp>OPEN</stp>
        <stp>11/10/2016 4:15:00 PM</stp>
        <stp>11/10/2016 5:15:00 PM</stp>
        <stp>[Andrea New RollM.xlsm]DB!R50C14</stp>
        <stp>BarSz=60</stp>
        <stp>BarTp=T</stp>
        <stp>RecurDaily=True</stp>
        <stp>TZ=London</stp>
        <stp>DTS=H</stp>
        <tr r="N50" s="23"/>
      </tp>
      <tp>
        <v>109.974</v>
        <stp/>
        <stp>##V3_BDHV12</stp>
        <stp>FR0010670737@CBBT Corp</stp>
        <stp>OPEN</stp>
        <stp>11/10/2016 4:15:00 PM</stp>
        <stp>11/10/2016 5:15:00 PM</stp>
        <stp>[Andrea New RollM.xlsm]DB!R26C14</stp>
        <stp>BarSz=60</stp>
        <stp>BarTp=T</stp>
        <stp>RecurDaily=True</stp>
        <stp>TZ=London</stp>
        <stp>DTS=H</stp>
        <tr r="N26" s="23"/>
      </tp>
      <tp>
        <v>105.20399999999999</v>
        <stp/>
        <stp>##V3_BDHV12</stp>
        <stp>FR0010517417@CBBT Corp</stp>
        <stp>OPEN</stp>
        <stp>04/10/2016 4:15:00 PM</stp>
        <stp>04/10/2016 5:15:00 PM</stp>
        <stp>[Andrea New RollM.xlsm]DB!R15C15</stp>
        <stp>BarSz=60</stp>
        <stp>BarTp=T</stp>
        <stp>RecurDaily=True</stp>
        <stp>TZ=London</stp>
        <stp>DTS=H</stp>
        <tr r="O15" s="23"/>
      </tp>
      <tp>
        <v>101.855</v>
        <stp/>
        <stp>##V3_BDHV12</stp>
        <stp>IT0005142143@CBBT Corp</stp>
        <stp>OPEN</stp>
        <stp>11/10/2016 4:15:00 PM</stp>
        <stp>11/10/2016 5:15:00 PM</stp>
        <stp>[Andrea New RollM.xlsm]DB!R49C14</stp>
        <stp>BarSz=60</stp>
        <stp>BarTp=T</stp>
        <stp>RecurDaily=True</stp>
        <stp>TZ=London</stp>
        <stp>DTS=H</stp>
        <tr r="N49" s="23"/>
      </tp>
      <tp>
        <v>117.75700000000001</v>
        <stp/>
        <stp>##V3_BDHV12</stp>
        <stp>FR0011619436@CBBT Corp</stp>
        <stp>OPEN</stp>
        <stp>11/10/2016 4:15:00 PM</stp>
        <stp>11/10/2016 5:15:00 PM</stp>
        <stp>[Andrea New RollM.xlsm]DB!R78C14</stp>
        <stp>BarSz=60</stp>
        <stp>BarTp=T</stp>
        <stp>RecurDaily=True</stp>
        <stp>TZ=London</stp>
        <stp>DTS=H</stp>
        <tr r="N78" s="23"/>
      </tp>
      <tp>
        <v>115.2</v>
        <stp/>
        <stp>##V3_BDHV12</stp>
        <stp>IT0004634132@CBBT Corp</stp>
        <stp>OPEN</stp>
        <stp>11/10/2016 4:15:00 PM</stp>
        <stp>11/10/2016 5:15:00 PM</stp>
        <stp>[Andrea New RollM.xlsm]DB!R52C14</stp>
        <stp>BarSz=60</stp>
        <stp>BarTp=T</stp>
        <stp>RecurDaily=True</stp>
        <stp>TZ=London</stp>
        <stp>DTS=H</stp>
        <tr r="N52" s="23"/>
      </tp>
      <tp>
        <v>121.105</v>
        <stp/>
        <stp>##V3_BDHV12</stp>
        <stp>IT0005001547@CBBT Corp</stp>
        <stp>OPEN</stp>
        <stp>04/10/2016 4:15:00 PM</stp>
        <stp>04/10/2016 5:15:00 PM</stp>
        <stp>[Andrea New RollM.xlsm]DB!R79C15</stp>
        <stp>BarSz=60</stp>
        <stp>BarTp=T</stp>
        <stp>RecurDaily=True</stp>
        <stp>TZ=London</stp>
        <stp>DTS=H</stp>
        <tr r="O79" s="23"/>
      </tp>
      <tp>
        <v>104.768</v>
        <stp/>
        <stp>##V3_BDHV12</stp>
        <stp>IT0005135840@CBBT Corp</stp>
        <stp>OPEN</stp>
        <stp>11/10/2016 4:15:00 PM</stp>
        <stp>11/10/2016 5:15:00 PM</stp>
        <stp>[Andrea New RollM.xlsm]DB!R67C14</stp>
        <stp>BarSz=60</stp>
        <stp>BarTp=T</stp>
        <stp>RecurDaily=True</stp>
        <stp>TZ=London</stp>
        <stp>DTS=H</stp>
        <tr r="N67" s="23"/>
      </tp>
      <tp>
        <v>100.863</v>
        <stp/>
        <stp>##V3_BDHV12</stp>
        <stp>IT0005023459@CBBT Corp</stp>
        <stp>OPEN</stp>
        <stp>11/10/2016 4:15:00 PM</stp>
        <stp>11/10/2016 5:15:00 PM</stp>
        <stp>[Andrea New RollM.xlsm]DB!R12C14</stp>
        <stp>BarSz=60</stp>
        <stp>BarTp=T</stp>
        <stp>RecurDaily=True</stp>
        <stp>TZ=London</stp>
        <stp>DTS=H</stp>
        <tr r="N12" s="23"/>
      </tp>
      <tp>
        <v>106.10299999999999</v>
        <stp/>
        <stp>##V3_BDHV12</stp>
        <stp>IT0004907843@CBBT Corp</stp>
        <stp>OPEN</stp>
        <stp>09/09/2016 4:15:00 PM</stp>
        <stp>09/09/2016 5:15:00 PM</stp>
        <stp>[Andrea New RollM.xlsm]DB!R23C16</stp>
        <stp>BarSz=60</stp>
        <stp>BarTp=T</stp>
        <stp>RecurDaily=True</stp>
        <stp>TZ=London</stp>
        <stp>DTS=H</stp>
        <tr r="P23" s="23"/>
      </tp>
      <tp>
        <v>100.54</v>
        <stp/>
        <stp>##V3_BDHV12</stp>
        <stp>IT0005106049@CBBT Corp</stp>
        <stp>OPEN</stp>
        <stp>11/10/2016 4:15:00 PM</stp>
        <stp>11/10/2016 5:15:00 PM</stp>
        <stp>[Andrea New RollM.xlsm]DB!R21C14</stp>
        <stp>BarSz=60</stp>
        <stp>BarTp=T</stp>
        <stp>RecurDaily=True</stp>
        <stp>TZ=London</stp>
        <stp>DTS=H</stp>
        <tr r="N21" s="23"/>
      </tp>
      <tp>
        <v>112.11</v>
        <stp/>
        <stp>##V3_BDHV12</stp>
        <stp>IT0004489610@CBBT Corp</stp>
        <stp>OPEN</stp>
        <stp>11/10/2016 4:15:00 PM</stp>
        <stp>11/10/2016 5:15:00 PM</stp>
        <stp>[Andrea New RollM.xlsm]DB!R37C14</stp>
        <stp>BarSz=60</stp>
        <stp>BarTp=T</stp>
        <stp>RecurDaily=True</stp>
        <stp>TZ=London</stp>
        <stp>DTS=H</stp>
        <tr r="N37" s="23"/>
      </tp>
      <tp>
        <v>127.813</v>
        <stp/>
        <stp>##V3_BDHV12</stp>
        <stp>IT0004644735@CBBT Corp</stp>
        <stp>OPEN</stp>
        <stp>11/10/2016 4:15:00 PM</stp>
        <stp>11/10/2016 5:15:00 PM</stp>
        <stp>[Andrea New RollM.xlsm]DB!R87C14</stp>
        <stp>BarSz=60</stp>
        <stp>BarTp=T</stp>
        <stp>RecurDaily=True</stp>
        <stp>TZ=London</stp>
        <stp>DTS=H</stp>
        <tr r="N87" s="23"/>
      </tp>
      <tp>
        <v>112.55200000000001</v>
        <stp/>
        <stp>##V3_BDHV12</stp>
        <stp>FR0000189151@CBBT Corp</stp>
        <stp>OPEN</stp>
        <stp>04/10/2016 4:15:00 PM</stp>
        <stp>04/10/2016 5:15:00 PM</stp>
        <stp>[Andrea New RollM.xlsm]DB!R32C15</stp>
        <stp>BarSz=60</stp>
        <stp>BarTp=T</stp>
        <stp>RecurDaily=True</stp>
        <stp>TZ=London</stp>
        <stp>DTS=H</stp>
        <tr r="O32" s="23"/>
      </tp>
      <tp>
        <v>119.039</v>
        <stp/>
        <stp>##V3_BDHV12</stp>
        <stp>FR0011196856@CBBT Corp</stp>
        <stp>OPEN</stp>
        <stp>04/10/2016 4:15:00 PM</stp>
        <stp>04/10/2016 5:15:00 PM</stp>
        <stp>[Andrea New RollM.xlsm]DB!R65C15</stp>
        <stp>BarSz=60</stp>
        <stp>BarTp=T</stp>
        <stp>RecurDaily=True</stp>
        <stp>TZ=London</stp>
        <stp>DTS=H</stp>
        <tr r="O65" s="23"/>
      </tp>
      <tp>
        <v>35.168566950552744</v>
        <stp/>
        <stp>##V3_BDPV12</stp>
        <stp>IT0004361041 Corp@CBBT Corp</stp>
        <stp>Z_SPRD_MID</stp>
        <stp>[Andrea New RollM.xlsm]CCT!R29C10</stp>
        <tr r="J29" s="27"/>
      </tp>
      <tp>
        <v>9.6457285573795772</v>
        <stp/>
        <stp>##V3_BDPV12</stp>
        <stp>IT0003242747 Corp@CBBT Corp</stp>
        <stp>Z_SPRD_MID</stp>
        <stp>[Andrea New RollM.xlsm]CCT!R25C10</stp>
        <tr r="J25" s="27"/>
      </tp>
      <tp>
        <v>18.6425549776629</v>
        <stp/>
        <stp>##V3_BDPV12</stp>
        <stp>IT0004867070 Corp@CBBT Corp</stp>
        <stp>Z_SPRD_MID</stp>
        <stp>[Andrea New RollM.xlsm]CCT!R26C10</stp>
        <tr r="J26" s="27"/>
      </tp>
      <tp>
        <v>98.1745496732661</v>
        <stp/>
        <stp>##V3_BDPV12</stp>
        <stp>IT0004898034 Corp@CBBT Corp</stp>
        <stp>Z_SPRD_MID</stp>
        <stp>[Andrea New RollM.xlsm]CCT!R38C10</stp>
        <tr r="J38" s="27"/>
      </tp>
    </main>
    <main first="marketviewexcelplugin.mkvxp">
      <tp>
        <v>51712</v>
        <stp/>
        <stp>0</stp>
        <stp>EUR.CM_INSTRUMENT.PXE.ES00000121S7</stp>
        <stp>DateMaturity</stp>
        <tr r="D218" s="23"/>
      </tp>
    </main>
    <main first="bloomberg.rtd">
      <tp>
        <v>4.7131288061462824</v>
        <stp/>
        <stp>##V3_BDPV12</stp>
        <stp>IT0004820426 Corp</stp>
        <stp>YAS_ZSPREAD</stp>
        <stp>[Andrea New RollM.xlsm]Ita!R8C18</stp>
        <stp>YAS_BOND_PX</stp>
        <stp>103.207999999999998</stp>
        <tr r="R8" s="7"/>
      </tp>
    </main>
    <main first="marketviewexcelplugin.mkvxp">
      <tp>
        <v>2.0327999999999999</v>
        <stp/>
        <stp>0</stp>
        <stp>EUR.PRICING_MAIN.PXE.IT0004922909</stp>
        <stp>MDuration</stp>
        <tr r="U9" s="27"/>
      </tp>
    </main>
    <main first="bloomberg.rtd">
      <tp>
        <v>104.435</v>
        <stp/>
        <stp>##V3_BDHV12</stp>
        <stp>IT0003242747@CBBT Corp</stp>
        <stp>OPEN</stp>
        <stp>11/10/2016 4:15:00 PM</stp>
        <stp>11/10/2016 5:15:00 PM</stp>
        <stp>[Andrea New RollM.xlsm]DB!R14C14</stp>
        <stp>BarSz=60</stp>
        <stp>BarTp=T</stp>
        <stp>RecurDaily=True</stp>
        <stp>TZ=London</stp>
        <stp>DTS=H</stp>
        <tr r="N14" s="23"/>
      </tp>
      <tp>
        <v>116.56</v>
        <stp/>
        <stp>##V3_BDHV12</stp>
        <stp>IT0004009673@CBBT Corp</stp>
        <stp>OPEN</stp>
        <stp>04/10/2016 4:15:00 PM</stp>
        <stp>04/10/2016 5:15:00 PM</stp>
        <stp>[Andrea New RollM.xlsm]DB!R58C15</stp>
        <stp>BarSz=60</stp>
        <stp>BarTp=T</stp>
        <stp>RecurDaily=True</stp>
        <stp>TZ=London</stp>
        <stp>DTS=H</stp>
        <tr r="O58" s="23"/>
      </tp>
      <tp>
        <v>98.597999999999999</v>
        <stp/>
        <stp>##V3_BDHV12</stp>
        <stp>IT0005215246@CBBT Corp</stp>
        <stp>OPEN</stp>
        <stp>11/10/2016 4:15:00 PM</stp>
        <stp>11/10/2016 5:15:00 PM</stp>
        <stp>[Andrea New RollM.xlsm]DB!R74C14</stp>
        <stp>BarSz=60</stp>
        <stp>BarTp=T</stp>
        <stp>RecurDaily=True</stp>
        <stp>TZ=London</stp>
        <stp>DTS=H</stp>
        <tr r="N74" s="23"/>
      </tp>
      <tp>
        <v>108.34</v>
        <stp/>
        <stp>##V3_BDHV12</stp>
        <stp>IT0004361041@CBBT Corp</stp>
        <stp>OPEN</stp>
        <stp>04/10/2016 4:15:00 PM</stp>
        <stp>04/10/2016 5:15:00 PM</stp>
        <stp>[Andrea New RollM.xlsm]DB!R24C15</stp>
        <stp>BarSz=60</stp>
        <stp>BarTp=T</stp>
        <stp>RecurDaily=True</stp>
        <stp>TZ=London</stp>
        <stp>DTS=H</stp>
        <tr r="O24" s="23"/>
      </tp>
      <tp>
        <v>101.483</v>
        <stp/>
        <stp>##V3_BDHV12</stp>
        <stp>FR0013101466@CBBT Corp</stp>
        <stp>OPEN</stp>
        <stp>04/10/2016 4:15:00 PM</stp>
        <stp>04/10/2016 5:15:00 PM</stp>
        <stp>[Andrea New RollM.xlsm]DB!R30C15</stp>
        <stp>BarSz=60</stp>
        <stp>BarTp=T</stp>
        <stp>RecurDaily=True</stp>
        <stp>TZ=London</stp>
        <stp>DTS=H</stp>
        <tr r="O30" s="23"/>
      </tp>
      <tp>
        <v>154.86000000000001</v>
        <stp/>
        <stp>##V3_BDHV12</stp>
        <stp>IT0001086567@CBBT Corp</stp>
        <stp>OPEN</stp>
        <stp>11/10/2016 4:15:00 PM</stp>
        <stp>11/10/2016 5:15:00 PM</stp>
        <stp>[Andrea New RollM.xlsm]DB!R91C14</stp>
        <stp>BarSz=60</stp>
        <stp>BarTp=T</stp>
        <stp>RecurDaily=True</stp>
        <stp>TZ=London</stp>
        <stp>DTS=H</stp>
        <tr r="N91" s="23"/>
      </tp>
      <tp>
        <v>101.137</v>
        <stp/>
        <stp>##V3_BDHV12</stp>
        <stp>IT0005058463@CBBT Corp</stp>
        <stp>OPEN</stp>
        <stp>11/10/2016 4:15:00 PM</stp>
        <stp>11/10/2016 5:15:00 PM</stp>
        <stp>[Andrea New RollM.xlsm]DB!R17C14</stp>
        <stp>BarSz=60</stp>
        <stp>BarTp=T</stp>
        <stp>RecurDaily=True</stp>
        <stp>TZ=London</stp>
        <stp>DTS=H</stp>
        <tr r="N17" s="23"/>
      </tp>
      <tp>
        <v>155.55500000000001</v>
        <stp/>
        <stp>##V3_BDHV12</stp>
        <stp>IT0000366655@CBBT Corp</stp>
        <stp>OPEN</stp>
        <stp>11/10/2016 4:15:00 PM</stp>
        <stp>11/10/2016 5:15:00 PM</stp>
        <stp>[Andrea New RollM.xlsm]DB!R76C14</stp>
        <stp>BarSz=60</stp>
        <stp>BarTp=T</stp>
        <stp>RecurDaily=True</stp>
        <stp>TZ=London</stp>
        <stp>DTS=H</stp>
        <tr r="N76" s="23"/>
      </tp>
      <tp>
        <v>100.175</v>
        <stp/>
        <stp>##V3_BDHV12</stp>
        <stp>IT0005177271@CBBT Corp</stp>
        <stp>OPEN</stp>
        <stp>11/10/2016 4:15:00 PM</stp>
        <stp>11/10/2016 5:15:00 PM</stp>
        <stp>[Andrea New RollM.xlsm]DB!R33C14</stp>
        <stp>BarSz=60</stp>
        <stp>BarTp=T</stp>
        <stp>RecurDaily=True</stp>
        <stp>TZ=London</stp>
        <stp>DTS=H</stp>
        <tr r="N33" s="23"/>
      </tp>
      <tp>
        <v>127.12</v>
        <stp/>
        <stp>##V3_BDHV12</stp>
        <stp>IT0004356843@CBBT Corp</stp>
        <stp>OPEN</stp>
        <stp>04/10/2016 4:15:00 PM</stp>
        <stp>04/10/2016 5:15:00 PM</stp>
        <stp>[Andrea New RollM.xlsm]DB!R73C15</stp>
        <stp>BarSz=60</stp>
        <stp>BarTp=T</stp>
        <stp>RecurDaily=True</stp>
        <stp>TZ=London</stp>
        <stp>DTS=H</stp>
        <tr r="O73" s="23"/>
      </tp>
      <tp>
        <v>102.443</v>
        <stp/>
        <stp>##V3_BDHV12</stp>
        <stp>FR0010415331@CBBT Corp</stp>
        <stp>OPEN</stp>
        <stp>04/10/2016 4:15:00 PM</stp>
        <stp>04/10/2016 5:15:00 PM</stp>
        <stp>[Andrea New RollM.xlsm]DB!R10C15</stp>
        <stp>BarSz=60</stp>
        <stp>BarTp=T</stp>
        <stp>RecurDaily=True</stp>
        <stp>TZ=London</stp>
        <stp>DTS=H</stp>
        <tr r="O10" s="23"/>
      </tp>
      <tp>
        <v>107.458</v>
        <stp/>
        <stp>##V3_BDHV12</stp>
        <stp>FR0010604983@CBBT Corp</stp>
        <stp>OPEN</stp>
        <stp>09/09/2016 4:15:00 PM</stp>
        <stp>09/09/2016 5:15:00 PM</stp>
        <stp>[Andrea New RollM.xlsm]DB!R20C16</stp>
        <stp>BarSz=60</stp>
        <stp>BarTp=T</stp>
        <stp>RecurDaily=True</stp>
        <stp>TZ=London</stp>
        <stp>DTS=H</stp>
        <tr r="P20" s="23"/>
      </tp>
      <tp>
        <v>102.712</v>
        <stp/>
        <stp>##V3_BDHV12</stp>
        <stp>FR0011394345@CBBT Corp</stp>
        <stp>OPEN</stp>
        <stp>04/10/2016 4:15:00 PM</stp>
        <stp>04/10/2016 5:15:00 PM</stp>
        <stp>[Andrea New RollM.xlsm]DB!R22C15</stp>
        <stp>BarSz=60</stp>
        <stp>BarTp=T</stp>
        <stp>RecurDaily=True</stp>
        <stp>TZ=London</stp>
        <stp>DTS=H</stp>
        <tr r="O22" s="23"/>
      </tp>
      <tp>
        <v>104.22199999999999</v>
        <stp/>
        <stp>##V3_BDHV12</stp>
        <stp>FR0012517027@CBBT Corp</stp>
        <stp>OPEN</stp>
        <stp>04/10/2016 4:15:00 PM</stp>
        <stp>04/10/2016 5:15:00 PM</stp>
        <stp>[Andrea New RollM.xlsm]DB!R83C15</stp>
        <stp>BarSz=60</stp>
        <stp>BarTp=T</stp>
        <stp>RecurDaily=True</stp>
        <stp>TZ=London</stp>
        <stp>DTS=H</stp>
        <tr r="O83" s="23"/>
      </tp>
      <tp>
        <v>111.655</v>
        <stp/>
        <stp>##V3_BDHV12</stp>
        <stp>IT0005045270@CBBT Corp</stp>
        <stp>OPEN</stp>
        <stp>04/10/2016 4:15:00 PM</stp>
        <stp>04/10/2016 5:15:00 PM</stp>
        <stp>[Andrea New RollM.xlsm]DB!R81C15</stp>
        <stp>BarSz=60</stp>
        <stp>BarTp=T</stp>
        <stp>RecurDaily=True</stp>
        <stp>TZ=London</stp>
        <stp>DTS=H</stp>
        <tr r="O81" s="23"/>
      </tp>
      <tp>
        <v>107.83199999999999</v>
        <stp/>
        <stp>##V3_BDHV12</stp>
        <stp>IT0004957574@CBBT Corp</stp>
        <stp>OPEN</stp>
        <stp>09/09/2016 4:15:00 PM</stp>
        <stp>09/09/2016 5:15:00 PM</stp>
        <stp>[Andrea New RollM.xlsm]DB!R28C16</stp>
        <stp>BarSz=60</stp>
        <stp>BarTp=T</stp>
        <stp>RecurDaily=True</stp>
        <stp>TZ=London</stp>
        <stp>DTS=H</stp>
        <tr r="P28" s="23"/>
      </tp>
      <tp>
        <v>103.30800000000001</v>
        <stp/>
        <stp>##V3_BDHV12</stp>
        <stp>FR0011993179@CBBT Corp</stp>
        <stp>OPEN</stp>
        <stp>09/09/2016 4:15:00 PM</stp>
        <stp>09/09/2016 5:15:00 PM</stp>
        <stp>[Andrea New RollM.xlsm]DB!R40C16</stp>
        <stp>BarSz=60</stp>
        <stp>BarTp=T</stp>
        <stp>RecurDaily=True</stp>
        <stp>TZ=London</stp>
        <stp>DTS=H</stp>
        <tr r="P40" s="23"/>
      </tp>
      <tp>
        <v>102.23699999999999</v>
        <stp/>
        <stp>##V3_BDHV12</stp>
        <stp>FR0013131877@CBBT Corp</stp>
        <stp>OPEN</stp>
        <stp>11/10/2016 4:15:00 PM</stp>
        <stp>11/10/2016 5:15:00 PM</stp>
        <stp>[Andrea New RollM.xlsm]DB!R89C14</stp>
        <stp>BarSz=60</stp>
        <stp>BarTp=T</stp>
        <stp>RecurDaily=True</stp>
        <stp>TZ=London</stp>
        <stp>DTS=H</stp>
        <tr r="N89" s="23"/>
      </tp>
      <tp>
        <v>99.412999999999997</v>
        <stp/>
        <stp>##V3_BDHV12</stp>
        <stp>IT0005210650@CBBT Corp</stp>
        <stp>OPEN</stp>
        <stp>04/10/2016 4:15:00 PM</stp>
        <stp>04/10/2016 5:15:00 PM</stp>
        <stp>[Andrea New RollM.xlsm]DB!R93C15</stp>
        <stp>BarSz=60</stp>
        <stp>BarTp=T</stp>
        <stp>RecurDaily=True</stp>
        <stp>TZ=London</stp>
        <stp>DTS=H</stp>
        <tr r="O93" s="23"/>
      </tp>
      <tp>
        <v>125.97499999999999</v>
        <stp/>
        <stp>##V3_BDHV12</stp>
        <stp>FR0011883966@CBBT Corp</stp>
        <stp>OPEN</stp>
        <stp>09/09/2016 4:15:00 PM</stp>
        <stp>09/09/2016 5:15:00 PM</stp>
        <stp>[Andrea New RollM.xlsm]DB!R99C16</stp>
        <stp>BarSz=60</stp>
        <stp>BarTp=T</stp>
        <stp>RecurDaily=True</stp>
        <stp>TZ=London</stp>
        <stp>DTS=H</stp>
        <tr r="P99" s="23"/>
      </tp>
      <tp>
        <v>114.80200000000001</v>
        <stp/>
        <stp>##V3_BDHV12</stp>
        <stp>IT0004594930@CBBT Corp</stp>
        <stp>OPEN</stp>
        <stp>11/10/2016 4:15:00 PM</stp>
        <stp>11/10/2016 5:15:00 PM</stp>
        <stp>[Andrea New RollM.xlsm]DB!R47C14</stp>
        <stp>BarSz=60</stp>
        <stp>BarTp=T</stp>
        <stp>RecurDaily=True</stp>
        <stp>TZ=London</stp>
        <stp>DTS=H</stp>
        <tr r="N47" s="23"/>
      </tp>
      <tp>
        <v>132.125</v>
        <stp/>
        <stp>##V3_BDHV12</stp>
        <stp>FR0010466938@CBBT Corp</stp>
        <stp>OPEN</stp>
        <stp>04/10/2016 4:15:00 PM</stp>
        <stp>04/10/2016 5:15:00 PM</stp>
        <stp>[Andrea New RollM.xlsm]DB!R75C15</stp>
        <stp>BarSz=60</stp>
        <stp>BarTp=T</stp>
        <stp>RecurDaily=True</stp>
        <stp>TZ=London</stp>
        <stp>DTS=H</stp>
        <tr r="O75" s="23"/>
      </tp>
    </main>
    <main first="marketviewexcelplugin.mkvxp">
      <tp>
        <v>2.6640000000000001</v>
        <stp/>
        <stp>0</stp>
        <stp>EUR.PRICING_MAIN.PXE.ES00000128E2</stp>
        <stp>MidYield</stp>
        <tr r="K221" s="23"/>
      </tp>
      <tp>
        <v>0.93400000000000005</v>
        <stp/>
        <stp>0</stp>
        <stp>EUR.PRICING_MAIN.PXE.ES00000122E5</stp>
        <stp>MidYield</stp>
        <tr r="K207" s="23"/>
      </tp>
    </main>
    <main first="marketviewexcelplugin.mkvxp">
      <tp>
        <v>45729</v>
        <stp/>
        <stp>0</stp>
        <stp>EUR.CM_INSTRUMENT.PXE.IE00B4TV0D44</stp>
        <stp>DateMaturity</stp>
        <tr r="D246" s="23"/>
      </tp>
    </main>
    <main first="marketviewexcelplugin.mkvxp">
      <tp>
        <v>1.5066999999999999</v>
        <stp/>
        <stp>0</stp>
        <stp>EUR.PRICING_MAIN.PXE.IT0004716319</stp>
        <stp>MDuration</stp>
        <tr r="U8" s="27"/>
      </tp>
    </main>
    <main first="bloomberg.rtd">
      <tp>
        <v>156.47</v>
        <stp/>
        <stp>##V3_BDHV12</stp>
        <stp>IT0001086567@CBBT Corp</stp>
        <stp>OPEN</stp>
        <stp>04/10/2016 4:15:00 PM</stp>
        <stp>04/10/2016 5:15:00 PM</stp>
        <stp>[Andrea New RollM.xlsm]DB!R91C15</stp>
        <stp>BarSz=60</stp>
        <stp>BarTp=T</stp>
        <stp>RecurDaily=True</stp>
        <stp>TZ=London</stp>
        <stp>DTS=H</stp>
        <tr r="O91" s="23"/>
      </tp>
      <tp>
        <v>101.163</v>
        <stp/>
        <stp>##V3_BDHV12</stp>
        <stp>IT0005058463@CBBT Corp</stp>
        <stp>OPEN</stp>
        <stp>04/10/2016 4:15:00 PM</stp>
        <stp>04/10/2016 5:15:00 PM</stp>
        <stp>[Andrea New RollM.xlsm]DB!R17C15</stp>
        <stp>BarSz=60</stp>
        <stp>BarTp=T</stp>
        <stp>RecurDaily=True</stp>
        <stp>TZ=London</stp>
        <stp>DTS=H</stp>
        <tr r="O17" s="23"/>
      </tp>
      <tp>
        <v>156.55199999999999</v>
        <stp/>
        <stp>##V3_BDHV12</stp>
        <stp>IT0000366655@CBBT Corp</stp>
        <stp>OPEN</stp>
        <stp>04/10/2016 4:15:00 PM</stp>
        <stp>04/10/2016 5:15:00 PM</stp>
        <stp>[Andrea New RollM.xlsm]DB!R76C15</stp>
        <stp>BarSz=60</stp>
        <stp>BarTp=T</stp>
        <stp>RecurDaily=True</stp>
        <stp>TZ=London</stp>
        <stp>DTS=H</stp>
        <tr r="O76" s="23"/>
      </tp>
      <tp>
        <v>100.25</v>
        <stp/>
        <stp>##V3_BDHV12</stp>
        <stp>IT0005177271@CBBT Corp</stp>
        <stp>OPEN</stp>
        <stp>04/10/2016 4:15:00 PM</stp>
        <stp>04/10/2016 5:15:00 PM</stp>
        <stp>[Andrea New RollM.xlsm]DB!R33C15</stp>
        <stp>BarSz=60</stp>
        <stp>BarTp=T</stp>
        <stp>RecurDaily=True</stp>
        <stp>TZ=London</stp>
        <stp>DTS=H</stp>
        <tr r="O33" s="23"/>
      </tp>
      <tp>
        <v>126.25</v>
        <stp/>
        <stp>##V3_BDHV12</stp>
        <stp>IT0004356843@CBBT Corp</stp>
        <stp>OPEN</stp>
        <stp>11/10/2016 4:15:00 PM</stp>
        <stp>11/10/2016 5:15:00 PM</stp>
        <stp>[Andrea New RollM.xlsm]DB!R73C14</stp>
        <stp>BarSz=60</stp>
        <stp>BarTp=T</stp>
        <stp>RecurDaily=True</stp>
        <stp>TZ=London</stp>
        <stp>DTS=H</stp>
        <tr r="N73" s="23"/>
      </tp>
      <tp>
        <v>102.377</v>
        <stp/>
        <stp>##V3_BDHV12</stp>
        <stp>FR0010415331@CBBT Corp</stp>
        <stp>OPEN</stp>
        <stp>11/10/2016 4:15:00 PM</stp>
        <stp>11/10/2016 5:15:00 PM</stp>
        <stp>[Andrea New RollM.xlsm]DB!R10C14</stp>
        <stp>BarSz=60</stp>
        <stp>BarTp=T</stp>
        <stp>RecurDaily=True</stp>
        <stp>TZ=London</stp>
        <stp>DTS=H</stp>
        <tr r="N10" s="23"/>
      </tp>
      <tp>
        <v>104.535</v>
        <stp/>
        <stp>##V3_BDHV12</stp>
        <stp>IT0003242747@CBBT Corp</stp>
        <stp>OPEN</stp>
        <stp>04/10/2016 4:15:00 PM</stp>
        <stp>04/10/2016 5:15:00 PM</stp>
        <stp>[Andrea New RollM.xlsm]DB!R14C15</stp>
        <stp>BarSz=60</stp>
        <stp>BarTp=T</stp>
        <stp>RecurDaily=True</stp>
        <stp>TZ=London</stp>
        <stp>DTS=H</stp>
        <tr r="O14" s="23"/>
      </tp>
      <tp>
        <v>116.13500000000001</v>
        <stp/>
        <stp>##V3_BDHV12</stp>
        <stp>IT0004009673@CBBT Corp</stp>
        <stp>OPEN</stp>
        <stp>11/10/2016 4:15:00 PM</stp>
        <stp>11/10/2016 5:15:00 PM</stp>
        <stp>[Andrea New RollM.xlsm]DB!R58C14</stp>
        <stp>BarSz=60</stp>
        <stp>BarTp=T</stp>
        <stp>RecurDaily=True</stp>
        <stp>TZ=London</stp>
        <stp>DTS=H</stp>
        <tr r="N58" s="23"/>
      </tp>
      <tp>
        <v>99.387</v>
        <stp/>
        <stp>##V3_BDHV12</stp>
        <stp>IT0005215246@CBBT Corp</stp>
        <stp>OPEN</stp>
        <stp>04/10/2016 4:15:00 PM</stp>
        <stp>04/10/2016 5:15:00 PM</stp>
        <stp>[Andrea New RollM.xlsm]DB!R74C15</stp>
        <stp>BarSz=60</stp>
        <stp>BarTp=T</stp>
        <stp>RecurDaily=True</stp>
        <stp>TZ=London</stp>
        <stp>DTS=H</stp>
        <tr r="O74" s="23"/>
      </tp>
      <tp>
        <v>108.21</v>
        <stp/>
        <stp>##V3_BDHV12</stp>
        <stp>IT0004361041@CBBT Corp</stp>
        <stp>OPEN</stp>
        <stp>11/10/2016 4:15:00 PM</stp>
        <stp>11/10/2016 5:15:00 PM</stp>
        <stp>[Andrea New RollM.xlsm]DB!R24C14</stp>
        <stp>BarSz=60</stp>
        <stp>BarTp=T</stp>
        <stp>RecurDaily=True</stp>
        <stp>TZ=London</stp>
        <stp>DTS=H</stp>
        <tr r="N24" s="23"/>
      </tp>
      <tp>
        <v>101.40900000000001</v>
        <stp/>
        <stp>##V3_BDHV12</stp>
        <stp>FR0013101466@CBBT Corp</stp>
        <stp>OPEN</stp>
        <stp>11/10/2016 4:15:00 PM</stp>
        <stp>11/10/2016 5:15:00 PM</stp>
        <stp>[Andrea New RollM.xlsm]DB!R30C14</stp>
        <stp>BarSz=60</stp>
        <stp>BarTp=T</stp>
        <stp>RecurDaily=True</stp>
        <stp>TZ=London</stp>
        <stp>DTS=H</stp>
        <tr r="N30" s="23"/>
      </tp>
      <tp>
        <v>103.203</v>
        <stp/>
        <stp>##V3_BDHV12</stp>
        <stp>FR0013131877@CBBT Corp</stp>
        <stp>OPEN</stp>
        <stp>04/10/2016 4:15:00 PM</stp>
        <stp>04/10/2016 5:15:00 PM</stp>
        <stp>[Andrea New RollM.xlsm]DB!R89C15</stp>
        <stp>BarSz=60</stp>
        <stp>BarTp=T</stp>
        <stp>RecurDaily=True</stp>
        <stp>TZ=London</stp>
        <stp>DTS=H</stp>
        <tr r="O89" s="23"/>
      </tp>
      <tp>
        <v>98.26</v>
        <stp/>
        <stp>##V3_BDHV12</stp>
        <stp>IT0005210650@CBBT Corp</stp>
        <stp>OPEN</stp>
        <stp>11/10/2016 4:15:00 PM</stp>
        <stp>11/10/2016 5:15:00 PM</stp>
        <stp>[Andrea New RollM.xlsm]DB!R93C14</stp>
        <stp>BarSz=60</stp>
        <stp>BarTp=T</stp>
        <stp>RecurDaily=True</stp>
        <stp>TZ=London</stp>
        <stp>DTS=H</stp>
        <tr r="N93" s="23"/>
      </tp>
      <tp>
        <v>104.194</v>
        <stp/>
        <stp>##V3_BDHV12</stp>
        <stp>FR0011708080@CBBT Corp</stp>
        <stp>OPEN</stp>
        <stp>09/09/2016 4:15:00 PM</stp>
        <stp>09/09/2016 5:15:00 PM</stp>
        <stp>[Andrea New RollM.xlsm]DB!R35C16</stp>
        <stp>BarSz=60</stp>
        <stp>BarTp=T</stp>
        <stp>RecurDaily=True</stp>
        <stp>TZ=London</stp>
        <stp>DTS=H</stp>
        <tr r="P35" s="23"/>
      </tp>
      <tp>
        <v>115.11799999999999</v>
        <stp/>
        <stp>##V3_BDHV12</stp>
        <stp>IT0004594930@CBBT Corp</stp>
        <stp>OPEN</stp>
        <stp>04/10/2016 4:15:00 PM</stp>
        <stp>04/10/2016 5:15:00 PM</stp>
        <stp>[Andrea New RollM.xlsm]DB!R47C15</stp>
        <stp>BarSz=60</stp>
        <stp>BarTp=T</stp>
        <stp>RecurDaily=True</stp>
        <stp>TZ=London</stp>
        <stp>DTS=H</stp>
        <tr r="O47" s="23"/>
      </tp>
      <tp>
        <v>131.38399999999999</v>
        <stp/>
        <stp>##V3_BDHV12</stp>
        <stp>FR0010466938@CBBT Corp</stp>
        <stp>OPEN</stp>
        <stp>11/10/2016 4:15:00 PM</stp>
        <stp>11/10/2016 5:15:00 PM</stp>
        <stp>[Andrea New RollM.xlsm]DB!R75C14</stp>
        <stp>BarSz=60</stp>
        <stp>BarTp=T</stp>
        <stp>RecurDaily=True</stp>
        <stp>TZ=London</stp>
        <stp>DTS=H</stp>
        <tr r="N75" s="23"/>
      </tp>
      <tp>
        <v>102.649</v>
        <stp/>
        <stp>##V3_BDHV12</stp>
        <stp>FR0011394345@CBBT Corp</stp>
        <stp>OPEN</stp>
        <stp>11/10/2016 4:15:00 PM</stp>
        <stp>11/10/2016 5:15:00 PM</stp>
        <stp>[Andrea New RollM.xlsm]DB!R22C14</stp>
        <stp>BarSz=60</stp>
        <stp>BarTp=T</stp>
        <stp>RecurDaily=True</stp>
        <stp>TZ=London</stp>
        <stp>DTS=H</stp>
        <tr r="N22" s="23"/>
      </tp>
      <tp>
        <v>103.40600000000001</v>
        <stp/>
        <stp>##V3_BDHV12</stp>
        <stp>FR0012517027@CBBT Corp</stp>
        <stp>OPEN</stp>
        <stp>11/10/2016 4:15:00 PM</stp>
        <stp>11/10/2016 5:15:00 PM</stp>
        <stp>[Andrea New RollM.xlsm]DB!R83C14</stp>
        <stp>BarSz=60</stp>
        <stp>BarTp=T</stp>
        <stp>RecurDaily=True</stp>
        <stp>TZ=London</stp>
        <stp>DTS=H</stp>
        <tr r="N83" s="23"/>
      </tp>
    </main>
    <main first="marketviewexcelplugin.mkvxp">
      <tp t="s">
        <v>OK</v>
        <stp/>
        <stp>4</stp>
        <stp>EUR.CM_DEPTH.XLS_ANDREA.IE00B28HXX02</stp>
        <stp>XLS_ANDREA</stp>
        <tr r="H238" s="23"/>
      </tp>
    </main>
    <main first="bloomberg.rtd">
      <tp>
        <v>110.678</v>
        <stp/>
        <stp>##V3_BDHV12</stp>
        <stp>IT0005045270@CBBT Corp</stp>
        <stp>OPEN</stp>
        <stp>11/10/2016 4:15:00 PM</stp>
        <stp>11/10/2016 5:15:00 PM</stp>
        <stp>[Andrea New RollM.xlsm]DB!R81C14</stp>
        <stp>BarSz=60</stp>
        <stp>BarTp=T</stp>
        <stp>RecurDaily=True</stp>
        <stp>TZ=London</stp>
        <stp>DTS=H</stp>
        <tr r="N81" s="23"/>
      </tp>
      <tp>
        <v>104.13500000000001</v>
        <stp/>
        <stp>##V3_BDHV12</stp>
        <stp>IT0004867070@CBBT Corp</stp>
        <stp>OPEN</stp>
        <stp>09/09/2016 4:15:00 PM</stp>
        <stp>09/09/2016 5:15:00 PM</stp>
        <stp>[Andrea New RollM.xlsm]DB!R16C16</stp>
        <stp>BarSz=60</stp>
        <stp>BarTp=T</stp>
        <stp>RecurDaily=True</stp>
        <stp>TZ=London</stp>
        <stp>DTS=H</stp>
        <tr r="P16" s="23"/>
      </tp>
      <tp>
        <v>47.268244340919132</v>
        <stp/>
        <stp>##V3_BDPV12</stp>
        <stp>IT0005069395 Corp@CBBT Corp</stp>
        <stp>Z_SPRD_MID</stp>
        <stp>[Andrea New RollM.xlsm]CCT!R32C10</stp>
        <tr r="J32" s="27"/>
      </tp>
    </main>
    <main first="marketviewexcelplugin.mkvxp">
      <tp>
        <v>45369</v>
        <stp/>
        <stp>0</stp>
        <stp>EUR.CM_INSTRUMENT.PXE.IE00B6X95T99</stp>
        <stp>DateMaturity</stp>
        <tr r="D245" s="23"/>
      </tp>
      <tp>
        <v>-9.0000000000000011E-3</v>
        <stp/>
        <stp>0</stp>
        <stp>EUR.PRICING_MAIN.PXE.ES00000122D7</stp>
        <stp>MidYield</stp>
        <tr r="K196" s="23"/>
      </tp>
      <tp>
        <v>-0.23</v>
        <stp/>
        <stp>0</stp>
        <stp>EUR.PRICING_MAIN.PXE.ES00000127D6</stp>
        <stp>MidYield</stp>
        <tr r="K188" s="23"/>
      </tp>
      <tp>
        <v>43131</v>
        <stp/>
        <stp>0</stp>
        <stp>EUR.CM_INSTRUMENT.PXE.ES00000123Q7</stp>
        <stp>DateMaturity</stp>
        <tr r="D187" s="23"/>
      </tp>
    </main>
    <main first="marketviewexcelplugin.mkvxp">
      <tp>
        <v>3.0661999999999998</v>
        <stp/>
        <stp>0</stp>
        <stp>EUR.PRICING_MAIN.PXE.IT0005009839</stp>
        <stp>MDuration</stp>
        <tr r="U10" s="27"/>
      </tp>
      <tp>
        <v>0.67210000000000003</v>
        <stp/>
        <stp>0</stp>
        <stp>EUR.PRICING_MAIN.PXE.IT0004809809</stp>
        <stp>MDuration</stp>
        <tr r="U6" s="27"/>
      </tp>
    </main>
    <main first="bloomberg.rtd">
      <tp>
        <v>180</v>
        <stp/>
        <stp>##V3_BDPV12</stp>
        <stp>IT0004922909 Corp</stp>
        <stp>FLT_SPREAD</stp>
        <stp>[Andrea New RollM.xlsm]CCT!R9C5</stp>
        <tr r="E9" s="27"/>
      </tp>
    </main>
    <main first="bloomberg.rtd">
      <tp>
        <v>114.9</v>
        <stp/>
        <stp>##V3_BDHV12</stp>
        <stp>IT0003644769@CBBT Corp</stp>
        <stp>OPEN</stp>
        <stp>09/09/2016 4:15:00 PM</stp>
        <stp>09/09/2016 5:15:00 PM</stp>
        <stp>[Andrea New RollM.xlsm]DB!R42C16</stp>
        <stp>BarSz=60</stp>
        <stp>BarTp=T</stp>
        <stp>RecurDaily=True</stp>
        <stp>TZ=London</stp>
        <stp>DTS=H</stp>
        <tr r="P42" s="23"/>
      </tp>
      <tp>
        <v>103.22799999999999</v>
        <stp/>
        <stp>##V3_BDHV12</stp>
        <stp>IT0005069395@CBBT Corp</stp>
        <stp>OPEN</stp>
        <stp>04/10/2016 4:15:00 PM</stp>
        <stp>04/10/2016 5:15:00 PM</stp>
        <stp>[Andrea New RollM.xlsm]DB!R41C15</stp>
        <stp>BarSz=60</stp>
        <stp>BarTp=T</stp>
        <stp>RecurDaily=True</stp>
        <stp>TZ=London</stp>
        <stp>DTS=H</stp>
        <tr r="O41" s="23"/>
      </tp>
      <tp t="s">
        <v>#N/A N/A</v>
        <stp/>
        <stp>##V3_BDHV12</stp>
        <stp>IT0005217929@CBBT Corp</stp>
        <stp>OPEN</stp>
        <stp>09/09/2016 4:15:00 PM</stp>
        <stp>09/09/2016 5:15:00 PM</stp>
        <stp>[Andrea New RollM.xlsm]DB!R38C16</stp>
        <stp>BarSz=60</stp>
        <stp>BarTp=T</stp>
        <stp>RecurDaily=True</stp>
        <stp>TZ=London</stp>
        <stp>DTS=H</stp>
        <tr r="P38" s="23"/>
      </tp>
      <tp>
        <v>106.41</v>
        <stp/>
        <stp>##V3_BDHV12</stp>
        <stp>IT0004992308@CBBT Corp</stp>
        <stp>OPEN</stp>
        <stp>04/10/2016 4:15:00 PM</stp>
        <stp>04/10/2016 5:15:00 PM</stp>
        <stp>[Andrea New RollM.xlsm]DB!R34C15</stp>
        <stp>BarSz=60</stp>
        <stp>BarTp=T</stp>
        <stp>RecurDaily=True</stp>
        <stp>TZ=London</stp>
        <stp>DTS=H</stp>
        <tr r="O34" s="23"/>
      </tp>
      <tp>
        <v>115.8</v>
        <stp/>
        <stp>##V3_BDHV12</stp>
        <stp>IT0004966401@CBBT Corp</stp>
        <stp>OPEN</stp>
        <stp>04/10/2016 4:15:00 PM</stp>
        <stp>04/10/2016 5:15:00 PM</stp>
        <stp>[Andrea New RollM.xlsm]DB!R54C15</stp>
        <stp>BarSz=60</stp>
        <stp>BarTp=T</stp>
        <stp>RecurDaily=True</stp>
        <stp>TZ=London</stp>
        <stp>DTS=H</stp>
        <tr r="O54" s="23"/>
      </tp>
      <tp>
        <v>101.703</v>
        <stp/>
        <stp>##V3_BDHV12</stp>
        <stp>FR0013157096@CBBT Corp</stp>
        <stp>OPEN</stp>
        <stp>11/10/2016 4:15:00 PM</stp>
        <stp>11/10/2016 5:15:00 PM</stp>
        <stp>[Andrea New RollM.xlsm]DB!R55C14</stp>
        <stp>BarSz=60</stp>
        <stp>BarTp=T</stp>
        <stp>RecurDaily=True</stp>
        <stp>TZ=London</stp>
        <stp>DTS=H</stp>
        <tr r="N55" s="23"/>
      </tp>
      <tp>
        <v>103.16</v>
        <stp/>
        <stp>##V3_BDHV12</stp>
        <stp>IT0004793474@CBBT Corp</stp>
        <stp>OPEN</stp>
        <stp>09/09/2016 4:15:00 PM</stp>
        <stp>09/09/2016 5:15:00 PM</stp>
        <stp>[Andrea New RollM.xlsm]DB!R11C16</stp>
        <stp>BarSz=60</stp>
        <stp>BarTp=T</stp>
        <stp>RecurDaily=True</stp>
        <stp>TZ=London</stp>
        <stp>DTS=H</stp>
        <tr r="P11" s="23"/>
      </tp>
      <tp>
        <v>152.83199999999999</v>
        <stp/>
        <stp>##V3_BDHV12</stp>
        <stp>IT0001174611@CBBT Corp</stp>
        <stp>OPEN</stp>
        <stp>09/09/2016 4:15:00 PM</stp>
        <stp>09/09/2016 5:15:00 PM</stp>
        <stp>[Andrea New RollM.xlsm]DB!R95C16</stp>
        <stp>BarSz=60</stp>
        <stp>BarTp=T</stp>
        <stp>RecurDaily=True</stp>
        <stp>TZ=London</stp>
        <stp>DTS=H</stp>
        <tr r="P95" s="23"/>
      </tp>
      <tp>
        <v>125.053</v>
        <stp/>
        <stp>##V3_BDHV12</stp>
        <stp>IT0004953417@CBBT Corp</stp>
        <stp>OPEN</stp>
        <stp>11/10/2016 4:15:00 PM</stp>
        <stp>11/10/2016 5:15:00 PM</stp>
        <stp>[Andrea New RollM.xlsm]DB!R77C14</stp>
        <stp>BarSz=60</stp>
        <stp>BarTp=T</stp>
        <stp>RecurDaily=True</stp>
        <stp>TZ=London</stp>
        <stp>DTS=H</stp>
        <tr r="N77" s="23"/>
      </tp>
      <tp>
        <v>100.47</v>
        <stp/>
        <stp>##V3_BDHV12</stp>
        <stp>IT0005175598@CBBT Corp</stp>
        <stp>OPEN</stp>
        <stp>11/10/2016 4:15:00 PM</stp>
        <stp>11/10/2016 5:15:00 PM</stp>
        <stp>[Andrea New RollM.xlsm]DB!R56C14</stp>
        <stp>BarSz=60</stp>
        <stp>BarTp=T</stp>
        <stp>RecurDaily=True</stp>
        <stp>TZ=London</stp>
        <stp>DTS=H</stp>
        <tr r="N56" s="23"/>
      </tp>
      <tp>
        <v>118.31100000000001</v>
        <stp/>
        <stp>##V3_BDHV12</stp>
        <stp>FR0011059088@CBBT Corp</stp>
        <stp>OPEN</stp>
        <stp>11/10/2016 4:15:00 PM</stp>
        <stp>11/10/2016 5:15:00 PM</stp>
        <stp>[Andrea New RollM.xlsm]DB!R60C14</stp>
        <stp>BarSz=60</stp>
        <stp>BarTp=T</stp>
        <stp>RecurDaily=True</stp>
        <stp>TZ=London</stp>
        <stp>DTS=H</stp>
        <tr r="N60" s="23"/>
      </tp>
      <tp>
        <v>124.408</v>
        <stp/>
        <stp>##V3_BDHV12</stp>
        <stp>IT0004759673@CBBT Corp</stp>
        <stp>OPEN</stp>
        <stp>09/09/2016 4:15:00 PM</stp>
        <stp>09/09/2016 5:15:00 PM</stp>
        <stp>[Andrea New RollM.xlsm]DB!R63C16</stp>
        <stp>BarSz=60</stp>
        <stp>BarTp=T</stp>
        <stp>RecurDaily=True</stp>
        <stp>TZ=London</stp>
        <stp>DTS=H</stp>
        <tr r="P63" s="23"/>
      </tp>
      <tp>
        <v>119.029</v>
        <stp/>
        <stp>##V3_BDHV12</stp>
        <stp>FR0010192997@CBBT Corp</stp>
        <stp>OPEN</stp>
        <stp>11/10/2016 4:15:00 PM</stp>
        <stp>11/10/2016 5:15:00 PM</stp>
        <stp>[Andrea New RollM.xlsm]DB!R53C14</stp>
        <stp>BarSz=60</stp>
        <stp>BarTp=T</stp>
        <stp>RecurDaily=True</stp>
        <stp>TZ=London</stp>
        <stp>DTS=H</stp>
        <tr r="N53" s="23"/>
      </tp>
      <tp>
        <v>114.583</v>
        <stp/>
        <stp>##V3_BDHV12</stp>
        <stp>FR0010854182@CBBT Corp</stp>
        <stp>OPEN</stp>
        <stp>09/09/2016 4:15:00 PM</stp>
        <stp>09/09/2016 5:15:00 PM</stp>
        <stp>[Andrea New RollM.xlsm]DB!R44C16</stp>
        <stp>BarSz=60</stp>
        <stp>BarTp=T</stp>
        <stp>RecurDaily=True</stp>
        <stp>TZ=London</stp>
        <stp>DTS=H</stp>
        <tr r="P44" s="23"/>
      </tp>
      <tp>
        <v>107.1</v>
        <stp/>
        <stp>##V3_BDHV12</stp>
        <stp>IT0005127086@CBBT Corp</stp>
        <stp>OPEN</stp>
        <stp>04/10/2016 4:15:00 PM</stp>
        <stp>04/10/2016 5:15:00 PM</stp>
        <stp>[Andrea New RollM.xlsm]DB!R86C15</stp>
        <stp>BarSz=60</stp>
        <stp>BarTp=T</stp>
        <stp>RecurDaily=True</stp>
        <stp>TZ=London</stp>
        <stp>DTS=H</stp>
        <tr r="O86" s="23"/>
      </tp>
      <tp>
        <v>104.33799999999999</v>
        <stp/>
        <stp>##V3_BDHV12</stp>
        <stp>IT0005086886@CBBT Corp</stp>
        <stp>OPEN</stp>
        <stp>11/10/2016 4:15:00 PM</stp>
        <stp>11/10/2016 5:15:00 PM</stp>
        <stp>[Andrea New RollM.xlsm]DB!R64C14</stp>
        <stp>BarSz=60</stp>
        <stp>BarTp=T</stp>
        <stp>RecurDaily=True</stp>
        <stp>TZ=London</stp>
        <stp>DTS=H</stp>
        <tr r="N64" s="23"/>
      </tp>
      <tp>
        <v>100.685</v>
        <stp/>
        <stp>##V3_BDHV12</stp>
        <stp>IT0005139099@CBBT Corp</stp>
        <stp>OPEN</stp>
        <stp>11/10/2016 4:15:00 PM</stp>
        <stp>11/10/2016 5:15:00 PM</stp>
        <stp>[Andrea New RollM.xlsm]DB!R25C14</stp>
        <stp>BarSz=60</stp>
        <stp>BarTp=T</stp>
        <stp>RecurDaily=True</stp>
        <stp>TZ=London</stp>
        <stp>DTS=H</stp>
        <tr r="N25" s="23"/>
      </tp>
      <tp>
        <v>104.22799999999999</v>
        <stp/>
        <stp>##V3_BDHV12</stp>
        <stp>IT0005030504@CBBT Corp</stp>
        <stp>OPEN</stp>
        <stp>09/09/2016 4:15:00 PM</stp>
        <stp>09/09/2016 5:15:00 PM</stp>
        <stp>[Andrea New RollM.xlsm]DB!R36C16</stp>
        <stp>BarSz=60</stp>
        <stp>BarTp=T</stp>
        <stp>RecurDaily=True</stp>
        <stp>TZ=London</stp>
        <stp>DTS=H</stp>
        <tr r="P36" s="23"/>
      </tp>
      <tp>
        <v>103.46</v>
        <stp/>
        <stp>##V3_BDHV12</stp>
        <stp>FR0011523257@CBBT Corp</stp>
        <stp>OPEN</stp>
        <stp>09/09/2016 4:15:00 PM</stp>
        <stp>09/09/2016 5:15:00 PM</stp>
        <stp>[Andrea New RollM.xlsm]DB!R27C16</stp>
        <stp>BarSz=60</stp>
        <stp>BarTp=T</stp>
        <stp>RecurDaily=True</stp>
        <stp>TZ=London</stp>
        <stp>DTS=H</stp>
        <tr r="P27" s="23"/>
      </tp>
      <tp>
        <v>109.04</v>
        <stp/>
        <stp>##V3_BDHV12</stp>
        <stp>IT0005028003@CBBT Corp</stp>
        <stp>OPEN</stp>
        <stp>09/09/2016 4:15:00 PM</stp>
        <stp>09/09/2016 5:15:00 PM</stp>
        <stp>[Andrea New RollM.xlsm]DB!R62C16</stp>
        <stp>BarSz=60</stp>
        <stp>BarTp=T</stp>
        <stp>RecurDaily=True</stp>
        <stp>TZ=London</stp>
        <stp>DTS=H</stp>
        <tr r="P62" s="23"/>
      </tp>
      <tp>
        <v>114.255</v>
        <stp/>
        <stp>##V3_BDHV12</stp>
        <stp>FR0011962398@CBBT Corp</stp>
        <stp>OPEN</stp>
        <stp>09/09/2016 4:15:00 PM</stp>
        <stp>09/09/2016 5:15:00 PM</stp>
        <stp>[Andrea New RollM.xlsm]DB!R80C16</stp>
        <stp>BarSz=60</stp>
        <stp>BarTp=T</stp>
        <stp>RecurDaily=True</stp>
        <stp>TZ=London</stp>
        <stp>DTS=H</stp>
        <tr r="P80" s="23"/>
      </tp>
      <tp>
        <v>101.806</v>
        <stp/>
        <stp>##V3_BDHV12</stp>
        <stp>FR0012557957@CBBT Corp</stp>
        <stp>OPEN</stp>
        <stp>09/09/2016 4:15:00 PM</stp>
        <stp>09/09/2016 5:15:00 PM</stp>
        <stp>[Andrea New RollM.xlsm]DB!R46C16</stp>
        <stp>BarSz=60</stp>
        <stp>BarTp=T</stp>
        <stp>RecurDaily=True</stp>
        <stp>TZ=London</stp>
        <stp>DTS=H</stp>
        <tr r="P46" s="23"/>
      </tp>
      <tp>
        <v>107.47799999999999</v>
        <stp/>
        <stp>##V3_BDHV12</stp>
        <stp>FR0012938116@CBBT Corp</stp>
        <stp>OPEN</stp>
        <stp>11/10/2016 4:15:00 PM</stp>
        <stp>11/10/2016 5:15:00 PM</stp>
        <stp>[Andrea New RollM.xlsm]DB!R85C14</stp>
        <stp>BarSz=60</stp>
        <stp>BarTp=T</stp>
        <stp>RecurDaily=True</stp>
        <stp>TZ=London</stp>
        <stp>DTS=H</stp>
        <tr r="N85" s="23"/>
      </tp>
    </main>
    <main first="marketviewexcelplugin.mkvxp">
      <tp>
        <v>0.20899999999999999</v>
        <stp/>
        <stp>0</stp>
        <stp>EUR.PRICING_MAIN.PXE.ES00000123K0</stp>
        <stp>MidYield</stp>
        <tr r="K200" s="23"/>
      </tp>
    </main>
    <main first="bloomberg.rtd">
      <tp t="s">
        <v>#N/A Invalid Override</v>
        <stp/>
        <stp>##V3_BDPV12</stp>
        <stp>IT0004761950@CBBT Corp</stp>
        <stp>YAS_BOND_YLD</stp>
        <stp>[Andrea New RollM.xlsm]DB!R6C17</stp>
        <stp>SETTLE_DT=20161011</stp>
        <stp>YAS_BOND_PX=#N/A N/A</stp>
        <tr r="Q6" s="23"/>
      </tp>
      <tp t="s">
        <v>#N/A Invalid object ID</v>
        <stp/>
        <stp>##V3_BCURVEINTV12</stp>
        <stp>[Andrea New RollM.xlsm]Ita!R9C24</stp>
        <stp>EUR.OIS:BLOOMBERG DC 272086</stp>
        <stp>Par.Mid</stp>
        <stp>20170801</stp>
        <stp>Frequency=Annual</stp>
        <stp>DayCount=D30_360_EOMC</stp>
        <tr r="X9" s="7"/>
      </tp>
      <tp t="s">
        <v>#N/A Invalid object ID</v>
        <stp/>
        <stp>##V3_BCURVEINTV12</stp>
        <stp>[Andrea New RollM.xlsm]Ita!R8C24</stp>
        <stp>EUR.OIS:BLOOMBERG DC 272086</stp>
        <stp>Par.Mid</stp>
        <stp>20170601</stp>
        <stp>Frequency=Annual</stp>
        <stp>DayCount=D30_360_EOMC</stp>
        <tr r="X8" s="7"/>
      </tp>
      <tp t="s">
        <v>#N/A Invalid object ID</v>
        <stp/>
        <stp>##V3_BCURVEINTV12</stp>
        <stp>[Andrea New RollM.xlsm]Ita!R7C24</stp>
        <stp>EUR.OIS:BLOOMBERG DC 272086</stp>
        <stp>Par.Mid</stp>
        <stp>20170515</stp>
        <stp>Frequency=Annual</stp>
        <stp>DayCount=D30_360_EOMC</stp>
        <tr r="X7" s="7"/>
      </tp>
      <tp t="s">
        <v>#N/A Invalid object ID</v>
        <stp/>
        <stp>##V3_BCURVEINTV12</stp>
        <stp>[Andrea New RollM.xlsm]Ita!R6C24</stp>
        <stp>EUR.OIS:BLOOMBERG DC 272086</stp>
        <stp>Par.Mid</stp>
        <stp>20170501</stp>
        <stp>Frequency=Annual</stp>
        <stp>DayCount=D30_360_EOMC</stp>
        <tr r="X6" s="7"/>
      </tp>
      <tp t="s">
        <v>#N/A Invalid object ID</v>
        <stp/>
        <stp>##V3_BCURVEINTV12</stp>
        <stp>[Andrea New RollM.xlsm]Ita!R5C24</stp>
        <stp>EUR.OIS:BLOOMBERG DC 272086</stp>
        <stp>Par.Mid</stp>
        <stp>20170201</stp>
        <stp>Frequency=Annual</stp>
        <stp>DayCount=D30_360_EOMC</stp>
        <tr r="X5" s="7"/>
      </tp>
    </main>
    <main first="bloomberg.rtd">
      <tp>
        <v>121.74299999999999</v>
        <stp/>
        <stp>##V3_BDHV12</stp>
        <stp>IT0004695075@CBBT Corp</stp>
        <stp>OPEN</stp>
        <stp>09/09/2016 4:15:00 PM</stp>
        <stp>09/09/2016 5:15:00 PM</stp>
        <stp>[Andrea New RollM.xlsm]DB!R59C16</stp>
        <stp>BarSz=60</stp>
        <stp>BarTp=T</stp>
        <stp>RecurDaily=True</stp>
        <stp>TZ=London</stp>
        <stp>DTS=H</stp>
        <tr r="P59" s="23"/>
      </tp>
      <tp>
        <v>106.285</v>
        <stp/>
        <stp>##V3_BDHV12</stp>
        <stp>IT0004992308@CBBT Corp</stp>
        <stp>OPEN</stp>
        <stp>11/10/2016 4:15:00 PM</stp>
        <stp>11/10/2016 5:15:00 PM</stp>
        <stp>[Andrea New RollM.xlsm]DB!R34C14</stp>
        <stp>BarSz=60</stp>
        <stp>BarTp=T</stp>
        <stp>RecurDaily=True</stp>
        <stp>TZ=London</stp>
        <stp>DTS=H</stp>
        <tr r="N34" s="23"/>
      </tp>
      <tp>
        <v>115.41500000000001</v>
        <stp/>
        <stp>##V3_BDHV12</stp>
        <stp>IT0004966401@CBBT Corp</stp>
        <stp>OPEN</stp>
        <stp>11/10/2016 4:15:00 PM</stp>
        <stp>11/10/2016 5:15:00 PM</stp>
        <stp>[Andrea New RollM.xlsm]DB!R54C14</stp>
        <stp>BarSz=60</stp>
        <stp>BarTp=T</stp>
        <stp>RecurDaily=True</stp>
        <stp>TZ=London</stp>
        <stp>DTS=H</stp>
        <tr r="N54" s="23"/>
      </tp>
      <tp>
        <v>102.014</v>
        <stp/>
        <stp>##V3_BDHV12</stp>
        <stp>FR0013157096@CBBT Corp</stp>
        <stp>OPEN</stp>
        <stp>04/10/2016 4:15:00 PM</stp>
        <stp>04/10/2016 5:15:00 PM</stp>
        <stp>[Andrea New RollM.xlsm]DB!R55C15</stp>
        <stp>BarSz=60</stp>
        <stp>BarTp=T</stp>
        <stp>RecurDaily=True</stp>
        <stp>TZ=London</stp>
        <stp>DTS=H</stp>
        <tr r="O55" s="23"/>
      </tp>
      <tp>
        <v>103.455</v>
        <stp/>
        <stp>##V3_BDHV12</stp>
        <stp>IT0005090318@CBBT Corp</stp>
        <stp>OPEN</stp>
        <stp>09/09/2016 4:15:00 PM</stp>
        <stp>09/09/2016 5:15:00 PM</stp>
        <stp>[Andrea New RollM.xlsm]DB!R84C16</stp>
        <stp>BarSz=60</stp>
        <stp>BarTp=T</stp>
        <stp>RecurDaily=True</stp>
        <stp>TZ=London</stp>
        <stp>DTS=H</stp>
        <tr r="P84" s="23"/>
      </tp>
      <tp>
        <v>131.89699999999999</v>
        <stp/>
        <stp>##V3_BDHV12</stp>
        <stp>IT0004513641@CBBT Corp</stp>
        <stp>OPEN</stp>
        <stp>09/09/2016 4:15:00 PM</stp>
        <stp>09/09/2016 5:15:00 PM</stp>
        <stp>[Andrea New RollM.xlsm]DB!R82C16</stp>
        <stp>BarSz=60</stp>
        <stp>BarTp=T</stp>
        <stp>RecurDaily=True</stp>
        <stp>TZ=London</stp>
        <stp>DTS=H</stp>
        <tr r="P82" s="23"/>
      </tp>
      <tp>
        <v>126.033</v>
        <stp/>
        <stp>##V3_BDHV12</stp>
        <stp>IT0004953417@CBBT Corp</stp>
        <stp>OPEN</stp>
        <stp>04/10/2016 4:15:00 PM</stp>
        <stp>04/10/2016 5:15:00 PM</stp>
        <stp>[Andrea New RollM.xlsm]DB!R77C15</stp>
        <stp>BarSz=60</stp>
        <stp>BarTp=T</stp>
        <stp>RecurDaily=True</stp>
        <stp>TZ=London</stp>
        <stp>DTS=H</stp>
        <tr r="O77" s="23"/>
      </tp>
      <tp>
        <v>103.08499999999999</v>
        <stp/>
        <stp>##V3_BDHV12</stp>
        <stp>IT0005069395@CBBT Corp</stp>
        <stp>OPEN</stp>
        <stp>11/10/2016 4:15:00 PM</stp>
        <stp>11/10/2016 5:15:00 PM</stp>
        <stp>[Andrea New RollM.xlsm]DB!R41C14</stp>
        <stp>BarSz=60</stp>
        <stp>BarTp=T</stp>
        <stp>RecurDaily=True</stp>
        <stp>TZ=London</stp>
        <stp>DTS=H</stp>
        <tr r="N41" s="23"/>
      </tp>
      <tp>
        <v>102.202</v>
        <stp/>
        <stp>##V3_BDHV12</stp>
        <stp>IT0005107708@CBBT Corp</stp>
        <stp>OPEN</stp>
        <stp>09/09/2016 4:15:00 PM</stp>
        <stp>09/09/2016 5:15:00 PM</stp>
        <stp>[Andrea New RollM.xlsm]DB!R45C16</stp>
        <stp>BarSz=60</stp>
        <stp>BarTp=T</stp>
        <stp>RecurDaily=True</stp>
        <stp>TZ=London</stp>
        <stp>DTS=H</stp>
        <tr r="P45" s="23"/>
      </tp>
      <tp>
        <v>114.393</v>
        <stp/>
        <stp>##V3_BDHV12</stp>
        <stp>IT0004536949@CBBT Corp</stp>
        <stp>OPEN</stp>
        <stp>09/09/2016 4:15:00 PM</stp>
        <stp>09/09/2016 5:15:00 PM</stp>
        <stp>[Andrea New RollM.xlsm]DB!R43C16</stp>
        <stp>BarSz=60</stp>
        <stp>BarTp=T</stp>
        <stp>RecurDaily=True</stp>
        <stp>TZ=London</stp>
        <stp>DTS=H</stp>
        <tr r="P43" s="23"/>
      </tp>
      <tp>
        <v>110.16200000000001</v>
        <stp/>
        <stp>##V3_BDHV12</stp>
        <stp>IT0003493258@CBBT Corp</stp>
        <stp>OPEN</stp>
        <stp>09/09/2016 4:15:00 PM</stp>
        <stp>09/09/2016 5:15:00 PM</stp>
        <stp>[Andrea New RollM.xlsm]DB!R29C16</stp>
        <stp>BarSz=60</stp>
        <stp>BarTp=T</stp>
        <stp>RecurDaily=True</stp>
        <stp>TZ=London</stp>
        <stp>DTS=H</stp>
        <tr r="P29" s="23"/>
      </tp>
      <tp>
        <v>108.395</v>
        <stp/>
        <stp>##V3_BDHV12</stp>
        <stp>FR0012938116@CBBT Corp</stp>
        <stp>OPEN</stp>
        <stp>04/10/2016 4:15:00 PM</stp>
        <stp>04/10/2016 5:15:00 PM</stp>
        <stp>[Andrea New RollM.xlsm]DB!R85C15</stp>
        <stp>BarSz=60</stp>
        <stp>BarTp=T</stp>
        <stp>RecurDaily=True</stp>
        <stp>TZ=London</stp>
        <stp>DTS=H</stp>
        <tr r="O85" s="23"/>
      </tp>
      <tp>
        <v>100.75700000000001</v>
        <stp/>
        <stp>##V3_BDHV12</stp>
        <stp>IT0005175598@CBBT Corp</stp>
        <stp>OPEN</stp>
        <stp>04/10/2016 4:15:00 PM</stp>
        <stp>04/10/2016 5:15:00 PM</stp>
        <stp>[Andrea New RollM.xlsm]DB!R56C15</stp>
        <stp>BarSz=60</stp>
        <stp>BarTp=T</stp>
        <stp>RecurDaily=True</stp>
        <stp>TZ=London</stp>
        <stp>DTS=H</stp>
        <tr r="O56" s="23"/>
      </tp>
      <tp>
        <v>113.46</v>
        <stp/>
        <stp>##V3_BDHV12</stp>
        <stp>FR0010776161@CBBT Corp</stp>
        <stp>OPEN</stp>
        <stp>09/09/2016 4:15:00 PM</stp>
        <stp>09/09/2016 5:15:00 PM</stp>
        <stp>[Andrea New RollM.xlsm]DB!R39C16</stp>
        <stp>BarSz=60</stp>
        <stp>BarTp=T</stp>
        <stp>RecurDaily=True</stp>
        <stp>TZ=London</stp>
        <stp>DTS=H</stp>
        <tr r="P39" s="23"/>
      </tp>
      <tp>
        <v>118.794</v>
        <stp/>
        <stp>##V3_BDHV12</stp>
        <stp>FR0011059088@CBBT Corp</stp>
        <stp>OPEN</stp>
        <stp>04/10/2016 4:15:00 PM</stp>
        <stp>04/10/2016 5:15:00 PM</stp>
        <stp>[Andrea New RollM.xlsm]DB!R60C15</stp>
        <stp>BarSz=60</stp>
        <stp>BarTp=T</stp>
        <stp>RecurDaily=True</stp>
        <stp>TZ=London</stp>
        <stp>DTS=H</stp>
        <tr r="O60" s="23"/>
      </tp>
      <tp>
        <v>119.452</v>
        <stp/>
        <stp>##V3_BDHV12</stp>
        <stp>FR0010192997@CBBT Corp</stp>
        <stp>OPEN</stp>
        <stp>04/10/2016 4:15:00 PM</stp>
        <stp>04/10/2016 5:15:00 PM</stp>
        <stp>[Andrea New RollM.xlsm]DB!R53C15</stp>
        <stp>BarSz=60</stp>
        <stp>BarTp=T</stp>
        <stp>RecurDaily=True</stp>
        <stp>TZ=London</stp>
        <stp>DTS=H</stp>
        <tr r="O53" s="23"/>
      </tp>
      <tp>
        <v>105.997</v>
        <stp/>
        <stp>##V3_BDHV12</stp>
        <stp>IT0005127086@CBBT Corp</stp>
        <stp>OPEN</stp>
        <stp>11/10/2016 4:15:00 PM</stp>
        <stp>11/10/2016 5:15:00 PM</stp>
        <stp>[Andrea New RollM.xlsm]DB!R86C14</stp>
        <stp>BarSz=60</stp>
        <stp>BarTp=T</stp>
        <stp>RecurDaily=True</stp>
        <stp>TZ=London</stp>
        <stp>DTS=H</stp>
        <tr r="N86" s="23"/>
      </tp>
      <tp>
        <v>104.81</v>
        <stp/>
        <stp>##V3_BDHV12</stp>
        <stp>IT0005086886@CBBT Corp</stp>
        <stp>OPEN</stp>
        <stp>04/10/2016 4:15:00 PM</stp>
        <stp>04/10/2016 5:15:00 PM</stp>
        <stp>[Andrea New RollM.xlsm]DB!R64C15</stp>
        <stp>BarSz=60</stp>
        <stp>BarTp=T</stp>
        <stp>RecurDaily=True</stp>
        <stp>TZ=London</stp>
        <stp>DTS=H</stp>
        <tr r="O64" s="23"/>
      </tp>
      <tp>
        <v>100.735</v>
        <stp/>
        <stp>##V3_BDHV12</stp>
        <stp>IT0005139099@CBBT Corp</stp>
        <stp>OPEN</stp>
        <stp>04/10/2016 4:15:00 PM</stp>
        <stp>04/10/2016 5:15:00 PM</stp>
        <stp>[Andrea New RollM.xlsm]DB!R25C15</stp>
        <stp>BarSz=60</stp>
        <stp>BarTp=T</stp>
        <stp>RecurDaily=True</stp>
        <stp>TZ=London</stp>
        <stp>DTS=H</stp>
        <tr r="O25" s="23"/>
      </tp>
      <tp>
        <v>111.128</v>
        <stp/>
        <stp>##V3_BDHV12</stp>
        <stp>IT0004423957@CBBT Corp</stp>
        <stp>OPEN</stp>
        <stp>09/09/2016 4:15:00 PM</stp>
        <stp>09/09/2016 5:15:00 PM</stp>
        <stp>[Andrea New RollM.xlsm]DB!R31C16</stp>
        <stp>BarSz=60</stp>
        <stp>BarTp=T</stp>
        <stp>RecurDaily=True</stp>
        <stp>TZ=London</stp>
        <stp>DTS=H</stp>
        <tr r="P31" s="23"/>
      </tp>
      <tp t="s">
        <v>14/10/2016</v>
        <stp/>
        <stp>##V3_BDPV12</stp>
        <stp>IT0005185456 Corp</stp>
        <stp>SETTLE_DT</stp>
        <stp>[Andrea New RollM.xlsm]CCT!R1C25</stp>
        <tr r="Y1" s="27"/>
      </tp>
    </main>
    <main first="marketviewexcelplugin.mkvxp">
      <tp>
        <v>-0.33300000000000002</v>
        <stp/>
        <stp>0</stp>
        <stp>EUR.PRICING_MAIN.PXE.ES00000120J8</stp>
        <stp>MidYield</stp>
        <tr r="K183" s="23"/>
      </tp>
      <tp>
        <v>-0.44500000000000001</v>
        <stp/>
        <stp>0</stp>
        <stp>EUR.PRICING_MAIN.PXE.ES00000123J2</stp>
        <stp>MidYield</stp>
        <tr r="K182" s="23"/>
      </tp>
    </main>
    <main first="bloomberg.rtd">
      <tp t="s">
        <v>#N/A Invalid Override</v>
        <stp/>
        <stp>##V3_BDPV12</stp>
        <stp>IT0004761950@CBBT Corp</stp>
        <stp>YAS_BOND_YLD</stp>
        <stp>[Andrea New RollM.xlsm]DB!R6C18</stp>
        <stp>SETTLE_DT=20161004</stp>
        <stp>YAS_BOND_PX=#N/A N/A</stp>
        <tr r="R6" s="23"/>
      </tp>
      <tp t="s">
        <v>#N/A Invalid Override</v>
        <stp/>
        <stp>##V3_BDPV12</stp>
        <stp>IT0004761950@CBBT Corp</stp>
        <stp>YAS_BOND_YLD</stp>
        <stp>[Andrea New RollM.xlsm]DB!R6C19</stp>
        <stp>SETTLE_DT=20160909</stp>
        <stp>YAS_BOND_PX=#N/A N/A</stp>
        <tr r="S6" s="23"/>
      </tp>
      <tp>
        <v>4.7303484737162478</v>
        <stp/>
        <stp>##V3_BDPV12</stp>
        <stp>IT0005023459 Corp</stp>
        <stp>YAS_ZSPREAD</stp>
        <stp>[Andrea New RollM.xlsm]Ita!R7C18</stp>
        <stp>YAS_BOND_PX</stp>
        <stp>100.864000000000004</stp>
        <tr r="R7" s="7"/>
      </tp>
      <tp t="s">
        <v>#N/A Invalid object ID</v>
        <stp/>
        <stp>##V3_BCURVEINTV12</stp>
        <stp>[Andrea New RollM.xlsm]Ita!R4C24</stp>
        <stp>EUR.OIS:BLOOMBERG DC 272086</stp>
        <stp>Par.Mid</stp>
        <stp>20161215</stp>
        <stp>Frequency=Annual</stp>
        <stp>DayCount=D30_360_EOMC</stp>
        <tr r="X4" s="7"/>
      </tp>
      <tp t="s">
        <v>#N/A Invalid object ID</v>
        <stp/>
        <stp>##V3_BCURVEINTV12</stp>
        <stp>[Andrea New RollM.xlsm]Ita!R3C24</stp>
        <stp>EUR.OIS:BLOOMBERG DC 272086</stp>
        <stp>Par.Mid</stp>
        <stp>20161115</stp>
        <stp>Frequency=Annual</stp>
        <stp>DayCount=D30_360_EOMC</stp>
        <tr r="X3" s="7"/>
      </tp>
    </main>
    <main first="bloomberg.rtd">
      <tp>
        <v>250</v>
        <stp/>
        <stp>##V3_BDPV12</stp>
        <stp>IT0004809809 Corp</stp>
        <stp>FLT_SPREAD</stp>
        <stp>[Andrea New RollM.xlsm]CCT!R6C5</stp>
        <tr r="E6" s="27"/>
      </tp>
    </main>
    <main first="marketviewexcelplugin.mkvxp">
      <tp>
        <v>6.1089000000000002</v>
        <stp/>
        <stp>0</stp>
        <stp>EUR.PRICING_MAIN.PXE.IT0005137614</stp>
        <stp>MDuration</stp>
        <tr r="U13" s="27"/>
      </tp>
    </main>
    <main first="bloomberg.rtd">
      <tp>
        <v>99.923000000000002</v>
        <stp/>
        <stp>##V3_BDHV12</stp>
        <stp>IT0005216491@CBBT Corp</stp>
        <stp>OPEN</stp>
        <stp>04/10/2016 4:15:00 PM</stp>
        <stp>04/10/2016 5:15:00 PM</stp>
        <stp>[Andrea New RollM.xlsm]DB!R61C15</stp>
        <stp>BarSz=60</stp>
        <stp>BarTp=T</stp>
        <stp>RecurDaily=True</stp>
        <stp>TZ=London</stp>
        <stp>DTS=H</stp>
        <tr r="O61" s="23"/>
      </tp>
      <tp>
        <v>113.133</v>
        <stp/>
        <stp>##V3_BDHV12</stp>
        <stp>FR0011486067@CBBT Corp</stp>
        <stp>OPEN</stp>
        <stp>09/09/2016 4:15:00 PM</stp>
        <stp>09/09/2016 5:15:00 PM</stp>
        <stp>[Andrea New RollM.xlsm]DB!R72C16</stp>
        <stp>BarSz=60</stp>
        <stp>BarTp=T</stp>
        <stp>RecurDaily=True</stp>
        <stp>TZ=London</stp>
        <stp>DTS=H</stp>
        <tr r="P72" s="23"/>
      </tp>
      <tp>
        <v>115.839</v>
        <stp/>
        <stp>##V3_BDHV12</stp>
        <stp>FR0011337880@CBBT Corp</stp>
        <stp>OPEN</stp>
        <stp>04/10/2016 4:15:00 PM</stp>
        <stp>04/10/2016 5:15:00 PM</stp>
        <stp>[Andrea New RollM.xlsm]DB!R68C15</stp>
        <stp>BarSz=60</stp>
        <stp>BarTp=T</stp>
        <stp>RecurDaily=True</stp>
        <stp>TZ=London</stp>
        <stp>DTS=H</stp>
        <tr r="O68" s="23"/>
      </tp>
      <tp>
        <v>106.14</v>
        <stp/>
        <stp>##V3_BDHV12</stp>
        <stp>IT0004273493@CBBT Corp</stp>
        <stp>OPEN</stp>
        <stp>04/10/2016 4:15:00 PM</stp>
        <stp>04/10/2016 5:15:00 PM</stp>
        <stp>[Andrea New RollM.xlsm]DB!R18C15</stp>
        <stp>BarSz=60</stp>
        <stp>BarTp=T</stp>
        <stp>RecurDaily=True</stp>
        <stp>TZ=London</stp>
        <stp>DTS=H</stp>
        <tr r="O18" s="23"/>
      </tp>
      <tp>
        <v>136.11000000000001</v>
        <stp/>
        <stp>##V3_BDHV12</stp>
        <stp>IT0004889033@CBBT Corp</stp>
        <stp>OPEN</stp>
        <stp>04/10/2016 4:15:00 PM</stp>
        <stp>04/10/2016 5:15:00 PM</stp>
        <stp>[Andrea New RollM.xlsm]DB!R96C15</stp>
        <stp>BarSz=60</stp>
        <stp>BarTp=T</stp>
        <stp>RecurDaily=True</stp>
        <stp>TZ=London</stp>
        <stp>DTS=H</stp>
        <tr r="O96" s="23"/>
      </tp>
      <tp>
        <v>129.333</v>
        <stp/>
        <stp>##V3_BDHV12</stp>
        <stp>IT0004848831@CBBT Corp</stp>
        <stp>OPEN</stp>
        <stp>04/10/2016 4:15:00 PM</stp>
        <stp>04/10/2016 5:15:00 PM</stp>
        <stp>[Andrea New RollM.xlsm]DB!R69C15</stp>
        <stp>BarSz=60</stp>
        <stp>BarTp=T</stp>
        <stp>RecurDaily=True</stp>
        <stp>TZ=London</stp>
        <stp>DTS=H</stp>
        <tr r="O69" s="23"/>
      </tp>
      <tp>
        <v>102.82</v>
        <stp/>
        <stp>##V3_BDHV12</stp>
        <stp>FR0012968337@CBBT Corp</stp>
        <stp>OPEN</stp>
        <stp>11/10/2016 4:15:00 PM</stp>
        <stp>11/10/2016 5:15:00 PM</stp>
        <stp>[Andrea New RollM.xlsm]DB!R51C14</stp>
        <stp>BarSz=60</stp>
        <stp>BarTp=T</stp>
        <stp>RecurDaily=True</stp>
        <stp>TZ=London</stp>
        <stp>DTS=H</stp>
        <tr r="N51" s="23"/>
      </tp>
      <tp>
        <v>103.22</v>
        <stp/>
        <stp>##V3_BDHV12</stp>
        <stp>IT0004820426@CBBT Corp</stp>
        <stp>OPEN</stp>
        <stp>11/10/2016 4:15:00 PM</stp>
        <stp>11/10/2016 5:15:00 PM</stp>
        <stp>[Andrea New RollM.xlsm]DB!R13C14</stp>
        <stp>BarSz=60</stp>
        <stp>BarTp=T</stp>
        <stp>RecurDaily=True</stp>
        <stp>TZ=London</stp>
        <stp>DTS=H</stp>
        <tr r="N13" s="23"/>
      </tp>
      <tp>
        <v>132.33099999999999</v>
        <stp/>
        <stp>##V3_BDHV12</stp>
        <stp>FR0010916924@CBBT Corp</stp>
        <stp>OPEN</stp>
        <stp>04/10/2016 4:15:00 PM</stp>
        <stp>04/10/2016 5:15:00 PM</stp>
        <stp>[Andrea New RollM.xlsm]DB!R88C15</stp>
        <stp>BarSz=60</stp>
        <stp>BarTp=T</stp>
        <stp>RecurDaily=True</stp>
        <stp>TZ=London</stp>
        <stp>DTS=H</stp>
        <tr r="O88" s="23"/>
      </tp>
      <tp>
        <v>124.605</v>
        <stp/>
        <stp>##V3_BDHV12</stp>
        <stp>IT0004898034@CBBT Corp</stp>
        <stp>OPEN</stp>
        <stp>04/10/2016 4:15:00 PM</stp>
        <stp>04/10/2016 5:15:00 PM</stp>
        <stp>[Andrea New RollM.xlsm]DB!R71C15</stp>
        <stp>BarSz=60</stp>
        <stp>BarTp=T</stp>
        <stp>RecurDaily=True</stp>
        <stp>TZ=London</stp>
        <stp>DTS=H</stp>
        <tr r="O71" s="23"/>
      </tp>
      <tp>
        <v>127.173</v>
        <stp/>
        <stp>##V3_BDHV12</stp>
        <stp>FR0011317783@CBBT Corp</stp>
        <stp>OPEN</stp>
        <stp>04/10/2016 4:15:00 PM</stp>
        <stp>04/10/2016 5:15:00 PM</stp>
        <stp>[Andrea New RollM.xlsm]DB!R94C15</stp>
        <stp>BarSz=60</stp>
        <stp>BarTp=T</stp>
        <stp>RecurDaily=True</stp>
        <stp>TZ=London</stp>
        <stp>DTS=H</stp>
        <tr r="O94" s="23"/>
      </tp>
      <tp>
        <v>103.2</v>
        <stp/>
        <stp>##V3_BDHV12</stp>
        <stp>IT0005170839@CBBT Corp</stp>
        <stp>OPEN</stp>
        <stp>09/09/2016 4:15:00 PM</stp>
        <stp>09/09/2016 5:15:00 PM</stp>
        <stp>[Andrea New RollM.xlsm]DB!R90C16</stp>
        <stp>BarSz=60</stp>
        <stp>BarTp=T</stp>
        <stp>RecurDaily=True</stp>
        <stp>TZ=London</stp>
        <stp>DTS=H</stp>
        <tr r="P90" s="23"/>
      </tp>
    </main>
    <main first="marketviewexcelplugin.mkvxp">
      <tp>
        <v>-0.29899999999999999</v>
        <stp/>
        <stp>0</stp>
        <stp>EUR.PRICING_MAIN.PXE.ES00000124I2</stp>
        <stp>MidYield</stp>
        <tr r="K184" s="23"/>
      </tp>
    </main>
    <main first="marketviewexcelplugin.mkvxp">
      <tp>
        <v>4.1542000000000003</v>
        <stp/>
        <stp>0</stp>
        <stp>EUR.PRICING_MAIN.PXE.IT0005056541</stp>
        <stp>MDuration</stp>
        <tr r="U11" s="27"/>
      </tp>
    </main>
    <main first="bloomberg.rtd">
      <tp>
        <v>134.173</v>
        <stp/>
        <stp>##V3_BDHV12</stp>
        <stp>IT0004889033@CBBT Corp</stp>
        <stp>OPEN</stp>
        <stp>11/10/2016 4:15:00 PM</stp>
        <stp>11/10/2016 5:15:00 PM</stp>
        <stp>[Andrea New RollM.xlsm]DB!R96C14</stp>
        <stp>BarSz=60</stp>
        <stp>BarTp=T</stp>
        <stp>RecurDaily=True</stp>
        <stp>TZ=London</stp>
        <stp>DTS=H</stp>
        <tr r="N96" s="23"/>
      </tp>
      <tp>
        <v>128.57499999999999</v>
        <stp/>
        <stp>##V3_BDHV12</stp>
        <stp>IT0004848831@CBBT Corp</stp>
        <stp>OPEN</stp>
        <stp>11/10/2016 4:15:00 PM</stp>
        <stp>11/10/2016 5:15:00 PM</stp>
        <stp>[Andrea New RollM.xlsm]DB!R69C14</stp>
        <stp>BarSz=60</stp>
        <stp>BarTp=T</stp>
        <stp>RecurDaily=True</stp>
        <stp>TZ=London</stp>
        <stp>DTS=H</stp>
        <tr r="N69" s="23"/>
      </tp>
      <tp>
        <v>103.087</v>
        <stp/>
        <stp>##V3_BDHV12</stp>
        <stp>FR0012968337@CBBT Corp</stp>
        <stp>OPEN</stp>
        <stp>04/10/2016 4:15:00 PM</stp>
        <stp>04/10/2016 5:15:00 PM</stp>
        <stp>[Andrea New RollM.xlsm]DB!R51C15</stp>
        <stp>BarSz=60</stp>
        <stp>BarTp=T</stp>
        <stp>RecurDaily=True</stp>
        <stp>TZ=London</stp>
        <stp>DTS=H</stp>
        <tr r="O51" s="23"/>
      </tp>
      <tp>
        <v>99.373000000000005</v>
        <stp/>
        <stp>##V3_BDHV12</stp>
        <stp>FR0013200813@CBBT Corp</stp>
        <stp>OPEN</stp>
        <stp>09/09/2016 4:15:00 PM</stp>
        <stp>09/09/2016 5:15:00 PM</stp>
        <stp>[Andrea New RollM.xlsm]DB!R92C16</stp>
        <stp>BarSz=60</stp>
        <stp>BarTp=T</stp>
        <stp>RecurDaily=True</stp>
        <stp>TZ=London</stp>
        <stp>DTS=H</stp>
        <tr r="P92" s="23"/>
      </tp>
      <tp>
        <v>103.315</v>
        <stp/>
        <stp>##V3_BDHV12</stp>
        <stp>IT0004820426@CBBT Corp</stp>
        <stp>OPEN</stp>
        <stp>04/10/2016 4:15:00 PM</stp>
        <stp>04/10/2016 5:15:00 PM</stp>
        <stp>[Andrea New RollM.xlsm]DB!R13C15</stp>
        <stp>BarSz=60</stp>
        <stp>BarTp=T</stp>
        <stp>RecurDaily=True</stp>
        <stp>TZ=London</stp>
        <stp>DTS=H</stp>
        <tr r="O13" s="23"/>
      </tp>
      <tp>
        <v>100.878</v>
        <stp/>
        <stp>##V3_BDHV12</stp>
        <stp>FR0012634558@CBBT Corp</stp>
        <stp>OPEN</stp>
        <stp>09/09/2016 4:15:00 PM</stp>
        <stp>09/09/2016 5:15:00 PM</stp>
        <stp>[Andrea New RollM.xlsm]DB!R19C16</stp>
        <stp>BarSz=60</stp>
        <stp>BarTp=T</stp>
        <stp>RecurDaily=True</stp>
        <stp>TZ=London</stp>
        <stp>DTS=H</stp>
        <tr r="P19" s="23"/>
      </tp>
      <tp>
        <v>99.6</v>
        <stp/>
        <stp>##V3_BDHV12</stp>
        <stp>IT0005216491@CBBT Corp</stp>
        <stp>OPEN</stp>
        <stp>11/10/2016 4:15:00 PM</stp>
        <stp>11/10/2016 5:15:00 PM</stp>
        <stp>[Andrea New RollM.xlsm]DB!R61C14</stp>
        <stp>BarSz=60</stp>
        <stp>BarTp=T</stp>
        <stp>RecurDaily=True</stp>
        <stp>TZ=London</stp>
        <stp>DTS=H</stp>
        <tr r="N61" s="23"/>
      </tp>
      <tp>
        <v>123.852</v>
        <stp/>
        <stp>##V3_BDHV12</stp>
        <stp>IT0005024234@CBBT Corp</stp>
        <stp>OPEN</stp>
        <stp>09/09/2016 4:15:00 PM</stp>
        <stp>09/09/2016 5:15:00 PM</stp>
        <stp>[Andrea New RollM.xlsm]DB!R98C16</stp>
        <stp>BarSz=60</stp>
        <stp>BarTp=T</stp>
        <stp>RecurDaily=True</stp>
        <stp>TZ=London</stp>
        <stp>DTS=H</stp>
        <tr r="P98" s="23"/>
      </tp>
      <tp>
        <v>144.32499999999999</v>
        <stp/>
        <stp>##V3_BDHV12</stp>
        <stp>IT0001278511@CBBT Corp</stp>
        <stp>OPEN</stp>
        <stp>09/09/2016 4:15:00 PM</stp>
        <stp>09/09/2016 5:15:00 PM</stp>
        <stp>[Andrea New RollM.xlsm]DB!R97C16</stp>
        <stp>BarSz=60</stp>
        <stp>BarTp=T</stp>
        <stp>RecurDaily=True</stp>
        <stp>TZ=London</stp>
        <stp>DTS=H</stp>
        <tr r="P97" s="23"/>
      </tp>
      <tp>
        <v>115.294</v>
        <stp/>
        <stp>##V3_BDHV12</stp>
        <stp>FR0011337880@CBBT Corp</stp>
        <stp>OPEN</stp>
        <stp>11/10/2016 4:15:00 PM</stp>
        <stp>11/10/2016 5:15:00 PM</stp>
        <stp>[Andrea New RollM.xlsm]DB!R68C14</stp>
        <stp>BarSz=60</stp>
        <stp>BarTp=T</stp>
        <stp>RecurDaily=True</stp>
        <stp>TZ=London</stp>
        <stp>DTS=H</stp>
        <tr r="N68" s="23"/>
      </tp>
      <tp>
        <v>106.05</v>
        <stp/>
        <stp>##V3_BDHV12</stp>
        <stp>IT0004273493@CBBT Corp</stp>
        <stp>OPEN</stp>
        <stp>11/10/2016 4:15:00 PM</stp>
        <stp>11/10/2016 5:15:00 PM</stp>
        <stp>[Andrea New RollM.xlsm]DB!R18C14</stp>
        <stp>BarSz=60</stp>
        <stp>BarTp=T</stp>
        <stp>RecurDaily=True</stp>
        <stp>TZ=London</stp>
        <stp>DTS=H</stp>
        <tr r="N18" s="23"/>
      </tp>
      <tp>
        <v>123.783</v>
        <stp/>
        <stp>##V3_BDHV12</stp>
        <stp>IT0004898034@CBBT Corp</stp>
        <stp>OPEN</stp>
        <stp>11/10/2016 4:15:00 PM</stp>
        <stp>11/10/2016 5:15:00 PM</stp>
        <stp>[Andrea New RollM.xlsm]DB!R71C14</stp>
        <stp>BarSz=60</stp>
        <stp>BarTp=T</stp>
        <stp>RecurDaily=True</stp>
        <stp>TZ=London</stp>
        <stp>DTS=H</stp>
        <tr r="N71" s="23"/>
      </tp>
      <tp>
        <v>125.85599999999999</v>
        <stp/>
        <stp>##V3_BDHV12</stp>
        <stp>FR0011317783@CBBT Corp</stp>
        <stp>OPEN</stp>
        <stp>11/10/2016 4:15:00 PM</stp>
        <stp>11/10/2016 5:15:00 PM</stp>
        <stp>[Andrea New RollM.xlsm]DB!R94C14</stp>
        <stp>BarSz=60</stp>
        <stp>BarTp=T</stp>
        <stp>RecurDaily=True</stp>
        <stp>TZ=London</stp>
        <stp>DTS=H</stp>
        <tr r="N94" s="23"/>
      </tp>
      <tp>
        <v>101.773</v>
        <stp/>
        <stp>##V3_BDHV12</stp>
        <stp>IT0005172322@CBBT Corp</stp>
        <stp>OPEN</stp>
        <stp>09/09/2016 4:15:00 PM</stp>
        <stp>09/09/2016 5:15:00 PM</stp>
        <stp>[Andrea New RollM.xlsm]DB!R70C16</stp>
        <stp>BarSz=60</stp>
        <stp>BarTp=T</stp>
        <stp>RecurDaily=True</stp>
        <stp>TZ=London</stp>
        <stp>DTS=H</stp>
        <tr r="P70" s="23"/>
      </tp>
      <tp>
        <v>131.16499999999999</v>
        <stp/>
        <stp>##V3_BDHV12</stp>
        <stp>FR0010916924@CBBT Corp</stp>
        <stp>OPEN</stp>
        <stp>11/10/2016 4:15:00 PM</stp>
        <stp>11/10/2016 5:15:00 PM</stp>
        <stp>[Andrea New RollM.xlsm]DB!R88C14</stp>
        <stp>BarSz=60</stp>
        <stp>BarTp=T</stp>
        <stp>RecurDaily=True</stp>
        <stp>TZ=London</stp>
        <stp>DTS=H</stp>
        <tr r="N88" s="23"/>
      </tp>
    </main>
    <main first="marketviewexcelplugin.mkvxp">
      <tp>
        <v>9.0000000000000011E-3</v>
        <stp/>
        <stp>0</stp>
        <stp>EUR.PRICING_MAIN.PXE.ES00000127H7</stp>
        <stp>MidYield</stp>
        <tr r="K197" s="23"/>
      </tp>
      <tp>
        <v>1.123</v>
        <stp/>
        <stp>0</stp>
        <stp>EUR.PRICING_MAIN.PXE.ES00000128H5</stp>
        <stp>MidYield</stp>
        <tr r="K211" s="23"/>
      </tp>
      <tp>
        <v>2.1139999999999999</v>
        <stp/>
        <stp>0</stp>
        <stp>EUR.PRICING_MAIN.PXE.ES00000124H4</stp>
        <stp>MidYield</stp>
        <tr r="K219" s="23"/>
      </tp>
    </main>
    <main first="bloomberg.rtd">
      <tp>
        <v>118.801</v>
        <stp/>
        <stp>##V3_BDHV12</stp>
        <stp>FR0011196856@CBBT Corp</stp>
        <stp>OPEN</stp>
        <stp>09/09/2016 4:15:00 PM</stp>
        <stp>09/09/2016 5:15:00 PM</stp>
        <stp>[Andrea New RollM.xlsm]DB!R65C16</stp>
        <stp>BarSz=60</stp>
        <stp>BarTp=T</stp>
        <stp>RecurDaily=True</stp>
        <stp>TZ=London</stp>
        <stp>DTS=H</stp>
        <tr r="P65" s="23"/>
      </tp>
      <tp>
        <v>112.64700000000001</v>
        <stp/>
        <stp>##V3_BDHV12</stp>
        <stp>FR0000189151@CBBT Corp</stp>
        <stp>OPEN</stp>
        <stp>09/09/2016 4:15:00 PM</stp>
        <stp>09/09/2016 5:15:00 PM</stp>
        <stp>[Andrea New RollM.xlsm]DB!R32C16</stp>
        <stp>BarSz=60</stp>
        <stp>BarTp=T</stp>
        <stp>RecurDaily=True</stp>
        <stp>TZ=London</stp>
        <stp>DTS=H</stp>
        <tr r="P32" s="23"/>
      </tp>
      <tp>
        <v>112.051</v>
        <stp/>
        <stp>##V3_BDHV12</stp>
        <stp>FR0010949651@CBBT Corp</stp>
        <stp>OPEN</stp>
        <stp>11/10/2016 4:15:00 PM</stp>
        <stp>11/10/2016 5:15:00 PM</stp>
        <stp>[Andrea New RollM.xlsm]DB!R48C14</stp>
        <stp>BarSz=60</stp>
        <stp>BarTp=T</stp>
        <stp>RecurDaily=True</stp>
        <stp>TZ=London</stp>
        <stp>DTS=H</stp>
        <tr r="N48" s="23"/>
      </tp>
      <tp>
        <v>128.24199999999999</v>
        <stp/>
        <stp>##V3_BDHV12</stp>
        <stp>IT0004801541@CBBT Corp</stp>
        <stp>OPEN</stp>
        <stp>11/10/2016 4:15:00 PM</stp>
        <stp>11/10/2016 5:15:00 PM</stp>
        <stp>[Andrea New RollM.xlsm]DB!R66C14</stp>
        <stp>BarSz=60</stp>
        <stp>BarTp=T</stp>
        <stp>RecurDaily=True</stp>
        <stp>TZ=London</stp>
        <stp>DTS=H</stp>
        <tr r="N66" s="23"/>
      </tp>
      <tp>
        <v>105.935</v>
        <stp/>
        <stp>##V3_BDHV12</stp>
        <stp>IT0004907843@CBBT Corp</stp>
        <stp>OPEN</stp>
        <stp>04/10/2016 4:15:00 PM</stp>
        <stp>04/10/2016 5:15:00 PM</stp>
        <stp>[Andrea New RollM.xlsm]DB!R23C15</stp>
        <stp>BarSz=60</stp>
        <stp>BarTp=T</stp>
        <stp>RecurDaily=True</stp>
        <stp>TZ=London</stp>
        <stp>DTS=H</stp>
        <tr r="O23" s="23"/>
      </tp>
      <tp>
        <v>121.158</v>
        <stp/>
        <stp>##V3_BDHV12</stp>
        <stp>IT0005001547@CBBT Corp</stp>
        <stp>OPEN</stp>
        <stp>09/09/2016 4:15:00 PM</stp>
        <stp>09/09/2016 5:15:00 PM</stp>
        <stp>[Andrea New RollM.xlsm]DB!R79C16</stp>
        <stp>BarSz=60</stp>
        <stp>BarTp=T</stp>
        <stp>RecurDaily=True</stp>
        <stp>TZ=London</stp>
        <stp>DTS=H</stp>
        <tr r="P79" s="23"/>
      </tp>
      <tp>
        <v>105.461</v>
        <stp/>
        <stp>##V3_BDHV12</stp>
        <stp>FR0010517417@CBBT Corp</stp>
        <stp>OPEN</stp>
        <stp>09/09/2016 4:15:00 PM</stp>
        <stp>09/09/2016 5:15:00 PM</stp>
        <stp>[Andrea New RollM.xlsm]DB!R15C16</stp>
        <stp>BarSz=60</stp>
        <stp>BarTp=T</stp>
        <stp>RecurDaily=True</stp>
        <stp>TZ=London</stp>
        <stp>DTS=H</stp>
        <tr r="P15" s="23"/>
      </tp>
      <tp>
        <v>55.865705256011019</v>
        <stp/>
        <stp>##V3_BDPV12</stp>
        <stp>IT0004594930 Corp@CBBT Corp</stp>
        <stp>Z_SPRD_MID</stp>
        <stp>[Andrea New RollM.xlsm]CCT!R33C10</stp>
        <tr r="J33" s="27"/>
      </tp>
      <tp>
        <v>43.660058695836376</v>
        <stp/>
        <stp>##V3_BDPV12</stp>
        <stp>IT0005009839 Corp@CBBT Corp</stp>
        <stp>Z_SPRD_MID</stp>
        <stp>[Andrea New RollM.xlsm]CCT!R10C10</stp>
        <tr r="J10" s="27"/>
      </tp>
    </main>
    <main first="marketviewexcelplugin.mkvxp">
      <tp>
        <v>46142</v>
        <stp/>
        <stp>0</stp>
        <stp>EUR.CM_INSTRUMENT.PXE.ES00000127Z9</stp>
        <stp>DateMaturity</stp>
        <tr r="D209" s="23"/>
      </tp>
      <tp>
        <v>45777</v>
        <stp/>
        <stp>0</stp>
        <stp>EUR.CM_INSTRUMENT.PXE.ES00000126Z1</stp>
        <stp>DateMaturity</stp>
        <tr r="D206" s="23"/>
      </tp>
      <tp>
        <v>-5.2999999999999999E-2</v>
        <stp/>
        <stp>0</stp>
        <stp>EUR.PRICING_MAIN.PXE.ES00000121O6</stp>
        <stp>MidYield</stp>
        <tr r="K194" s="23"/>
      </tp>
    </main>
    <main first="bloomberg.rtd">
      <tp>
        <v>100</v>
        <stp/>
        <stp>##V3_BDPV12</stp>
        <stp>IT0004716319 Corp</stp>
        <stp>FLT_SPREAD</stp>
        <stp>[Andrea New RollM.xlsm]CCT!R8C5</stp>
        <tr r="E8" s="27"/>
      </tp>
    </main>
    <main first="bloomberg.rtd">
      <tp>
        <v>129.46199999999999</v>
        <stp/>
        <stp>##V3_BDHV12</stp>
        <stp>IT0004644735@CBBT Corp</stp>
        <stp>OPEN</stp>
        <stp>09/09/2016 4:15:00 PM</stp>
        <stp>09/09/2016 5:15:00 PM</stp>
        <stp>[Andrea New RollM.xlsm]DB!R87C16</stp>
        <stp>BarSz=60</stp>
        <stp>BarTp=T</stp>
        <stp>RecurDaily=True</stp>
        <stp>TZ=London</stp>
        <stp>DTS=H</stp>
        <tr r="P87" s="23"/>
      </tp>
      <tp>
        <v>128.94300000000001</v>
        <stp/>
        <stp>##V3_BDHV12</stp>
        <stp>IT0004801541@CBBT Corp</stp>
        <stp>OPEN</stp>
        <stp>04/10/2016 4:15:00 PM</stp>
        <stp>04/10/2016 5:15:00 PM</stp>
        <stp>[Andrea New RollM.xlsm]DB!R66C15</stp>
        <stp>BarSz=60</stp>
        <stp>BarTp=T</stp>
        <stp>RecurDaily=True</stp>
        <stp>TZ=London</stp>
        <stp>DTS=H</stp>
        <tr r="O66" s="23"/>
      </tp>
      <tp>
        <v>112.45699999999999</v>
        <stp/>
        <stp>##V3_BDHV12</stp>
        <stp>IT0004489610@CBBT Corp</stp>
        <stp>OPEN</stp>
        <stp>09/09/2016 4:15:00 PM</stp>
        <stp>09/09/2016 5:15:00 PM</stp>
        <stp>[Andrea New RollM.xlsm]DB!R37C16</stp>
        <stp>BarSz=60</stp>
        <stp>BarTp=T</stp>
        <stp>RecurDaily=True</stp>
        <stp>TZ=London</stp>
        <stp>DTS=H</stp>
        <tr r="P37" s="23"/>
      </tp>
      <tp>
        <v>100.55200000000001</v>
        <stp/>
        <stp>##V3_BDHV12</stp>
        <stp>IT0005106049@CBBT Corp</stp>
        <stp>OPEN</stp>
        <stp>09/09/2016 4:15:00 PM</stp>
        <stp>09/09/2016 5:15:00 PM</stp>
        <stp>[Andrea New RollM.xlsm]DB!R21C16</stp>
        <stp>BarSz=60</stp>
        <stp>BarTp=T</stp>
        <stp>RecurDaily=True</stp>
        <stp>TZ=London</stp>
        <stp>DTS=H</stp>
        <tr r="P21" s="23"/>
      </tp>
      <tp>
        <v>105.83199999999999</v>
        <stp/>
        <stp>##V3_BDHV12</stp>
        <stp>IT0004907843@CBBT Corp</stp>
        <stp>OPEN</stp>
        <stp>11/10/2016 4:15:00 PM</stp>
        <stp>11/10/2016 5:15:00 PM</stp>
        <stp>[Andrea New RollM.xlsm]DB!R23C14</stp>
        <stp>BarSz=60</stp>
        <stp>BarTp=T</stp>
        <stp>RecurDaily=True</stp>
        <stp>TZ=London</stp>
        <stp>DTS=H</stp>
        <tr r="N23" s="23"/>
      </tp>
      <tp>
        <v>100.92700000000001</v>
        <stp/>
        <stp>##V3_BDHV12</stp>
        <stp>IT0005023459@CBBT Corp</stp>
        <stp>OPEN</stp>
        <stp>09/09/2016 4:15:00 PM</stp>
        <stp>09/09/2016 5:15:00 PM</stp>
        <stp>[Andrea New RollM.xlsm]DB!R12C16</stp>
        <stp>BarSz=60</stp>
        <stp>BarTp=T</stp>
        <stp>RecurDaily=True</stp>
        <stp>TZ=London</stp>
        <stp>DTS=H</stp>
        <tr r="P12" s="23"/>
      </tp>
      <tp>
        <v>112.361</v>
        <stp/>
        <stp>##V3_BDHV12</stp>
        <stp>FR0010949651@CBBT Corp</stp>
        <stp>OPEN</stp>
        <stp>04/10/2016 4:15:00 PM</stp>
        <stp>04/10/2016 5:15:00 PM</stp>
        <stp>[Andrea New RollM.xlsm]DB!R48C15</stp>
        <stp>BarSz=60</stp>
        <stp>BarTp=T</stp>
        <stp>RecurDaily=True</stp>
        <stp>TZ=London</stp>
        <stp>DTS=H</stp>
        <tr r="O48" s="23"/>
      </tp>
      <tp>
        <v>118.014</v>
        <stp/>
        <stp>##V3_BDHV12</stp>
        <stp>FR0011619436@CBBT Corp</stp>
        <stp>OPEN</stp>
        <stp>09/09/2016 4:15:00 PM</stp>
        <stp>09/09/2016 5:15:00 PM</stp>
        <stp>[Andrea New RollM.xlsm]DB!R78C16</stp>
        <stp>BarSz=60</stp>
        <stp>BarTp=T</stp>
        <stp>RecurDaily=True</stp>
        <stp>TZ=London</stp>
        <stp>DTS=H</stp>
        <tr r="P78" s="23"/>
      </tp>
      <tp>
        <v>102.035</v>
        <stp/>
        <stp>##V3_BDHV12</stp>
        <stp>IT0005142143@CBBT Corp</stp>
        <stp>OPEN</stp>
        <stp>09/09/2016 4:15:00 PM</stp>
        <stp>09/09/2016 5:15:00 PM</stp>
        <stp>[Andrea New RollM.xlsm]DB!R49C16</stp>
        <stp>BarSz=60</stp>
        <stp>BarTp=T</stp>
        <stp>RecurDaily=True</stp>
        <stp>TZ=London</stp>
        <stp>DTS=H</stp>
        <tr r="P49" s="23"/>
      </tp>
      <tp>
        <v>110.252</v>
        <stp/>
        <stp>##V3_BDHV12</stp>
        <stp>FR0010670737@CBBT Corp</stp>
        <stp>OPEN</stp>
        <stp>09/09/2016 4:15:00 PM</stp>
        <stp>09/09/2016 5:15:00 PM</stp>
        <stp>[Andrea New RollM.xlsm]DB!R26C16</stp>
        <stp>BarSz=60</stp>
        <stp>BarTp=T</stp>
        <stp>RecurDaily=True</stp>
        <stp>TZ=London</stp>
        <stp>DTS=H</stp>
        <tr r="P26" s="23"/>
      </tp>
      <tp>
        <v>102.035</v>
        <stp/>
        <stp>##V3_BDHV12</stp>
        <stp>IT0005142143@CBBT Corp</stp>
        <stp>OPEN</stp>
        <stp>09/09/2016 4:15:00 PM</stp>
        <stp>09/09/2016 5:15:00 PM</stp>
        <stp>[Andrea New RollM.xlsm]DB!R50C16</stp>
        <stp>BarSz=60</stp>
        <stp>BarTp=T</stp>
        <stp>RecurDaily=True</stp>
        <stp>TZ=London</stp>
        <stp>DTS=H</stp>
        <tr r="P50" s="23"/>
      </tp>
      <tp>
        <v>105.253</v>
        <stp/>
        <stp>##V3_BDHV12</stp>
        <stp>IT0005135840@CBBT Corp</stp>
        <stp>OPEN</stp>
        <stp>09/09/2016 4:15:00 PM</stp>
        <stp>09/09/2016 5:15:00 PM</stp>
        <stp>[Andrea New RollM.xlsm]DB!R67C16</stp>
        <stp>BarSz=60</stp>
        <stp>BarTp=T</stp>
        <stp>RecurDaily=True</stp>
        <stp>TZ=London</stp>
        <stp>DTS=H</stp>
        <tr r="P67" s="23"/>
      </tp>
      <tp>
        <v>115.637</v>
        <stp/>
        <stp>##V3_BDHV12</stp>
        <stp>IT0004634132@CBBT Corp</stp>
        <stp>OPEN</stp>
        <stp>09/09/2016 4:15:00 PM</stp>
        <stp>09/09/2016 5:15:00 PM</stp>
        <stp>[Andrea New RollM.xlsm]DB!R52C16</stp>
        <stp>BarSz=60</stp>
        <stp>BarTp=T</stp>
        <stp>RecurDaily=True</stp>
        <stp>TZ=London</stp>
        <stp>DTS=H</stp>
        <tr r="P52" s="23"/>
      </tp>
      <tp>
        <v>97.16016853515373</v>
        <stp/>
        <stp>##V3_BDPV12</stp>
        <stp>IT0004356843 Corp@CBBT Corp</stp>
        <stp>Z_SPRD_MID</stp>
        <stp>[Andrea New RollM.xlsm]CCT!R39C10</stp>
        <tr r="J39" s="27"/>
      </tp>
      <tp>
        <v>93.262967895949373</v>
        <stp/>
        <stp>##V3_BDPV12</stp>
        <stp>IT0004848831 Corp@CBBT Corp</stp>
        <stp>Z_SPRD_MID</stp>
        <stp>[Andrea New RollM.xlsm]CCT!R37C10</stp>
        <tr r="J37" s="27"/>
      </tp>
    </main>
    <main first="marketviewexcelplugin.mkvxp">
      <tp>
        <v>1.954</v>
        <stp/>
        <stp>0</stp>
        <stp>EUR.PRICING_MAIN.PXE.ES00000120N0</stp>
        <stp>MidYield</stp>
        <tr r="K217" s="23"/>
      </tp>
    </main>
    <main first="marketviewexcelplugin.mkvxp">
      <tp>
        <v>5.6489000000000003</v>
        <stp/>
        <stp>0</stp>
        <stp>EUR.PRICING_MAIN.PXE.IT0005104473</stp>
        <stp>MDuration</stp>
        <tr r="U12" s="27"/>
      </tp>
    </main>
    <main first="bloomberg.rtd">
      <tp>
        <v>103.98</v>
        <stp/>
        <stp>##V3_BDHV12</stp>
        <stp>IT0004867070@CBBT Corp</stp>
        <stp>OPEN</stp>
        <stp>04/10/2016 4:15:00 PM</stp>
        <stp>04/10/2016 5:15:00 PM</stp>
        <stp>[Andrea New RollM.xlsm]DB!R16C15</stp>
        <stp>BarSz=60</stp>
        <stp>BarTp=T</stp>
        <stp>RecurDaily=True</stp>
        <stp>TZ=London</stp>
        <stp>DTS=H</stp>
        <tr r="O16" s="23"/>
      </tp>
      <tp>
        <v>107.59</v>
        <stp/>
        <stp>##V3_BDHV12</stp>
        <stp>IT0004957574@CBBT Corp</stp>
        <stp>OPEN</stp>
        <stp>11/10/2016 4:15:00 PM</stp>
        <stp>11/10/2016 5:15:00 PM</stp>
        <stp>[Andrea New RollM.xlsm]DB!R28C14</stp>
        <stp>BarSz=60</stp>
        <stp>BarTp=T</stp>
        <stp>RecurDaily=True</stp>
        <stp>TZ=London</stp>
        <stp>DTS=H</stp>
        <tr r="N28" s="23"/>
      </tp>
      <tp>
        <v>107.15600000000001</v>
        <stp/>
        <stp>##V3_BDHV12</stp>
        <stp>FR0010604983@CBBT Corp</stp>
        <stp>OPEN</stp>
        <stp>11/10/2016 4:15:00 PM</stp>
        <stp>11/10/2016 5:15:00 PM</stp>
        <stp>[Andrea New RollM.xlsm]DB!R20C14</stp>
        <stp>BarSz=60</stp>
        <stp>BarTp=T</stp>
        <stp>RecurDaily=True</stp>
        <stp>TZ=London</stp>
        <stp>DTS=H</stp>
        <tr r="N20" s="23"/>
      </tp>
      <tp>
        <v>115.29</v>
        <stp/>
        <stp>##V3_BDHV12</stp>
        <stp>IT0004594930@CBBT Corp</stp>
        <stp>OPEN</stp>
        <stp>09/09/2016 4:15:00 PM</stp>
        <stp>09/09/2016 5:15:00 PM</stp>
        <stp>[Andrea New RollM.xlsm]DB!R47C16</stp>
        <stp>BarSz=60</stp>
        <stp>BarTp=T</stp>
        <stp>RecurDaily=True</stp>
        <stp>TZ=London</stp>
        <stp>DTS=H</stp>
        <tr r="P47" s="23"/>
      </tp>
      <tp>
        <v>125.746</v>
        <stp/>
        <stp>##V3_BDHV12</stp>
        <stp>FR0011883966@CBBT Corp</stp>
        <stp>OPEN</stp>
        <stp>11/10/2016 4:15:00 PM</stp>
        <stp>11/10/2016 5:15:00 PM</stp>
        <stp>[Andrea New RollM.xlsm]DB!R99C14</stp>
        <stp>BarSz=60</stp>
        <stp>BarTp=T</stp>
        <stp>RecurDaily=True</stp>
        <stp>TZ=London</stp>
        <stp>DTS=H</stp>
        <tr r="N99" s="23"/>
      </tp>
      <tp>
        <v>104.29900000000001</v>
        <stp/>
        <stp>##V3_BDHV12</stp>
        <stp>FR0011708080@CBBT Corp</stp>
        <stp>OPEN</stp>
        <stp>04/10/2016 4:15:00 PM</stp>
        <stp>04/10/2016 5:15:00 PM</stp>
        <stp>[Andrea New RollM.xlsm]DB!R35C15</stp>
        <stp>BarSz=60</stp>
        <stp>BarTp=T</stp>
        <stp>RecurDaily=True</stp>
        <stp>TZ=London</stp>
        <stp>DTS=H</stp>
        <tr r="O35" s="23"/>
      </tp>
      <tp>
        <v>102.446</v>
        <stp/>
        <stp>##V3_BDHV12</stp>
        <stp>FR0013131877@CBBT Corp</stp>
        <stp>OPEN</stp>
        <stp>09/09/2016 4:15:00 PM</stp>
        <stp>09/09/2016 5:15:00 PM</stp>
        <stp>[Andrea New RollM.xlsm]DB!R89C16</stp>
        <stp>BarSz=60</stp>
        <stp>BarTp=T</stp>
        <stp>RecurDaily=True</stp>
        <stp>TZ=London</stp>
        <stp>DTS=H</stp>
        <tr r="P89" s="23"/>
      </tp>
      <tp>
        <v>103.29</v>
        <stp/>
        <stp>##V3_BDHV12</stp>
        <stp>FR0011993179@CBBT Corp</stp>
        <stp>OPEN</stp>
        <stp>11/10/2016 4:15:00 PM</stp>
        <stp>11/10/2016 5:15:00 PM</stp>
        <stp>[Andrea New RollM.xlsm]DB!R40C14</stp>
        <stp>BarSz=60</stp>
        <stp>BarTp=T</stp>
        <stp>RecurDaily=True</stp>
        <stp>TZ=London</stp>
        <stp>DTS=H</stp>
        <tr r="N40" s="23"/>
      </tp>
      <tp t="s">
        <v>#N/A N/A</v>
        <stp/>
        <stp>##V3_BDHV12</stp>
        <stp>IT0005215246@CBBT Corp</stp>
        <stp>OPEN</stp>
        <stp>09/09/2016 4:15:00 PM</stp>
        <stp>09/09/2016 5:15:00 PM</stp>
        <stp>[Andrea New RollM.xlsm]DB!R74C16</stp>
        <stp>BarSz=60</stp>
        <stp>BarTp=T</stp>
        <stp>RecurDaily=True</stp>
        <stp>TZ=London</stp>
        <stp>DTS=H</stp>
        <tr r="P74" s="23"/>
      </tp>
      <tp>
        <v>104.82299999999999</v>
        <stp/>
        <stp>##V3_BDHV12</stp>
        <stp>IT0003242747@CBBT Corp</stp>
        <stp>OPEN</stp>
        <stp>09/09/2016 4:15:00 PM</stp>
        <stp>09/09/2016 5:15:00 PM</stp>
        <stp>[Andrea New RollM.xlsm]DB!R14C16</stp>
        <stp>BarSz=60</stp>
        <stp>BarTp=T</stp>
        <stp>RecurDaily=True</stp>
        <stp>TZ=London</stp>
        <stp>DTS=H</stp>
        <tr r="P14" s="23"/>
      </tp>
      <tp>
        <v>100.21299999999999</v>
        <stp/>
        <stp>##V3_BDHV12</stp>
        <stp>IT0005177271@CBBT Corp</stp>
        <stp>OPEN</stp>
        <stp>09/09/2016 4:15:00 PM</stp>
        <stp>09/09/2016 5:15:00 PM</stp>
        <stp>[Andrea New RollM.xlsm]DB!R33C16</stp>
        <stp>BarSz=60</stp>
        <stp>BarTp=T</stp>
        <stp>RecurDaily=True</stp>
        <stp>TZ=London</stp>
        <stp>DTS=H</stp>
        <tr r="P33" s="23"/>
      </tp>
      <tp>
        <v>156.785</v>
        <stp/>
        <stp>##V3_BDHV12</stp>
        <stp>IT0000366655@CBBT Corp</stp>
        <stp>OPEN</stp>
        <stp>09/09/2016 4:15:00 PM</stp>
        <stp>09/09/2016 5:15:00 PM</stp>
        <stp>[Andrea New RollM.xlsm]DB!R76C16</stp>
        <stp>BarSz=60</stp>
        <stp>BarTp=T</stp>
        <stp>RecurDaily=True</stp>
        <stp>TZ=London</stp>
        <stp>DTS=H</stp>
        <tr r="P76" s="23"/>
      </tp>
      <tp>
        <v>101.17</v>
        <stp/>
        <stp>##V3_BDHV12</stp>
        <stp>IT0005058463@CBBT Corp</stp>
        <stp>OPEN</stp>
        <stp>09/09/2016 4:15:00 PM</stp>
        <stp>09/09/2016 5:15:00 PM</stp>
        <stp>[Andrea New RollM.xlsm]DB!R17C16</stp>
        <stp>BarSz=60</stp>
        <stp>BarTp=T</stp>
        <stp>RecurDaily=True</stp>
        <stp>TZ=London</stp>
        <stp>DTS=H</stp>
        <tr r="P17" s="23"/>
      </tp>
      <tp>
        <v>156.81</v>
        <stp/>
        <stp>##V3_BDHV12</stp>
        <stp>IT0001086567@CBBT Corp</stp>
        <stp>OPEN</stp>
        <stp>09/09/2016 4:15:00 PM</stp>
        <stp>09/09/2016 5:15:00 PM</stp>
        <stp>[Andrea New RollM.xlsm]DB!R91C16</stp>
        <stp>BarSz=60</stp>
        <stp>BarTp=T</stp>
        <stp>RecurDaily=True</stp>
        <stp>TZ=London</stp>
        <stp>DTS=H</stp>
        <tr r="P91" s="23"/>
      </tp>
    </main>
    <main first="marketviewexcelplugin.mkvxp">
      <tp>
        <v>45230</v>
        <stp/>
        <stp>0</stp>
        <stp>EUR.CM_INSTRUMENT.PXE.ES00000123X3</stp>
        <stp>DateMaturity</stp>
        <tr r="D202" s="23"/>
      </tp>
      <tp>
        <v>1.0106999999999999</v>
        <stp/>
        <stp>0</stp>
        <stp>EUR.PRICING_MAIN.PXE.IT0004652175</stp>
        <stp>MDuration</stp>
        <tr r="U7" s="27"/>
      </tp>
    </main>
    <main first="bloomberg.rtd">
      <tp>
        <v>131.71700000000001</v>
        <stp/>
        <stp>##V3_BDHV12</stp>
        <stp>FR0010466938@CBBT Corp</stp>
        <stp>OPEN</stp>
        <stp>09/09/2016 4:15:00 PM</stp>
        <stp>09/09/2016 5:15:00 PM</stp>
        <stp>[Andrea New RollM.xlsm]DB!R75C16</stp>
        <stp>BarSz=60</stp>
        <stp>BarTp=T</stp>
        <stp>RecurDaily=True</stp>
        <stp>TZ=London</stp>
        <stp>DTS=H</stp>
        <tr r="P75" s="23"/>
      </tp>
      <tp>
        <v>127.21</v>
        <stp/>
        <stp>##V3_BDHV12</stp>
        <stp>FR0011883966@CBBT Corp</stp>
        <stp>OPEN</stp>
        <stp>04/10/2016 4:15:00 PM</stp>
        <stp>04/10/2016 5:15:00 PM</stp>
        <stp>[Andrea New RollM.xlsm]DB!R99C15</stp>
        <stp>BarSz=60</stp>
        <stp>BarTp=T</stp>
        <stp>RecurDaily=True</stp>
        <stp>TZ=London</stp>
        <stp>DTS=H</stp>
        <tr r="O99" s="23"/>
      </tp>
      <tp>
        <v>104.175</v>
        <stp/>
        <stp>##V3_BDHV12</stp>
        <stp>FR0011708080@CBBT Corp</stp>
        <stp>OPEN</stp>
        <stp>11/10/2016 4:15:00 PM</stp>
        <stp>11/10/2016 5:15:00 PM</stp>
        <stp>[Andrea New RollM.xlsm]DB!R35C14</stp>
        <stp>BarSz=60</stp>
        <stp>BarTp=T</stp>
        <stp>RecurDaily=True</stp>
        <stp>TZ=London</stp>
        <stp>DTS=H</stp>
        <tr r="N35" s="23"/>
      </tp>
      <tp>
        <v>99.512</v>
        <stp/>
        <stp>##V3_BDHV12</stp>
        <stp>IT0005210650@CBBT Corp</stp>
        <stp>OPEN</stp>
        <stp>09/09/2016 4:15:00 PM</stp>
        <stp>09/09/2016 5:15:00 PM</stp>
        <stp>[Andrea New RollM.xlsm]DB!R93C16</stp>
        <stp>BarSz=60</stp>
        <stp>BarTp=T</stp>
        <stp>RecurDaily=True</stp>
        <stp>TZ=London</stp>
        <stp>DTS=H</stp>
        <tr r="P93" s="23"/>
      </tp>
      <tp>
        <v>103.431</v>
        <stp/>
        <stp>##V3_BDHV12</stp>
        <stp>FR0011993179@CBBT Corp</stp>
        <stp>OPEN</stp>
        <stp>04/10/2016 4:15:00 PM</stp>
        <stp>04/10/2016 5:15:00 PM</stp>
        <stp>[Andrea New RollM.xlsm]DB!R40C15</stp>
        <stp>BarSz=60</stp>
        <stp>BarTp=T</stp>
        <stp>RecurDaily=True</stp>
        <stp>TZ=London</stp>
        <stp>DTS=H</stp>
        <tr r="O40" s="23"/>
      </tp>
      <tp>
        <v>103.89700000000001</v>
        <stp/>
        <stp>##V3_BDHV12</stp>
        <stp>IT0004867070@CBBT Corp</stp>
        <stp>OPEN</stp>
        <stp>11/10/2016 4:15:00 PM</stp>
        <stp>11/10/2016 5:15:00 PM</stp>
        <stp>[Andrea New RollM.xlsm]DB!R16C14</stp>
        <stp>BarSz=60</stp>
        <stp>BarTp=T</stp>
        <stp>RecurDaily=True</stp>
        <stp>TZ=London</stp>
        <stp>DTS=H</stp>
        <tr r="N16" s="23"/>
      </tp>
      <tp>
        <v>111.69</v>
        <stp/>
        <stp>##V3_BDHV12</stp>
        <stp>IT0005045270@CBBT Corp</stp>
        <stp>OPEN</stp>
        <stp>09/09/2016 4:15:00 PM</stp>
        <stp>09/09/2016 5:15:00 PM</stp>
        <stp>[Andrea New RollM.xlsm]DB!R81C16</stp>
        <stp>BarSz=60</stp>
        <stp>BarTp=T</stp>
        <stp>RecurDaily=True</stp>
        <stp>TZ=London</stp>
        <stp>DTS=H</stp>
        <tr r="P81" s="23"/>
      </tp>
      <tp>
        <v>107.7</v>
        <stp/>
        <stp>##V3_BDHV12</stp>
        <stp>IT0004957574@CBBT Corp</stp>
        <stp>OPEN</stp>
        <stp>04/10/2016 4:15:00 PM</stp>
        <stp>04/10/2016 5:15:00 PM</stp>
        <stp>[Andrea New RollM.xlsm]DB!R28C15</stp>
        <stp>BarSz=60</stp>
        <stp>BarTp=T</stp>
        <stp>RecurDaily=True</stp>
        <stp>TZ=London</stp>
        <stp>DTS=H</stp>
        <tr r="O28" s="23"/>
      </tp>
      <tp>
        <v>102.718</v>
        <stp/>
        <stp>##V3_BDHV12</stp>
        <stp>FR0011394345@CBBT Corp</stp>
        <stp>OPEN</stp>
        <stp>09/09/2016 4:15:00 PM</stp>
        <stp>09/09/2016 5:15:00 PM</stp>
        <stp>[Andrea New RollM.xlsm]DB!R22C16</stp>
        <stp>BarSz=60</stp>
        <stp>BarTp=T</stp>
        <stp>RecurDaily=True</stp>
        <stp>TZ=London</stp>
        <stp>DTS=H</stp>
        <tr r="P22" s="23"/>
      </tp>
      <tp>
        <v>103.505</v>
        <stp/>
        <stp>##V3_BDHV12</stp>
        <stp>FR0012517027@CBBT Corp</stp>
        <stp>OPEN</stp>
        <stp>09/09/2016 4:15:00 PM</stp>
        <stp>09/09/2016 5:15:00 PM</stp>
        <stp>[Andrea New RollM.xlsm]DB!R83C16</stp>
        <stp>BarSz=60</stp>
        <stp>BarTp=T</stp>
        <stp>RecurDaily=True</stp>
        <stp>TZ=London</stp>
        <stp>DTS=H</stp>
        <tr r="P83" s="23"/>
      </tp>
      <tp>
        <v>107.264</v>
        <stp/>
        <stp>##V3_BDHV12</stp>
        <stp>FR0010604983@CBBT Corp</stp>
        <stp>OPEN</stp>
        <stp>04/10/2016 4:15:00 PM</stp>
        <stp>04/10/2016 5:15:00 PM</stp>
        <stp>[Andrea New RollM.xlsm]DB!R20C15</stp>
        <stp>BarSz=60</stp>
        <stp>BarTp=T</stp>
        <stp>RecurDaily=True</stp>
        <stp>TZ=London</stp>
        <stp>DTS=H</stp>
        <tr r="O20" s="23"/>
      </tp>
      <tp>
        <v>102.703</v>
        <stp/>
        <stp>##V3_BDHV12</stp>
        <stp>FR0010415331@CBBT Corp</stp>
        <stp>OPEN</stp>
        <stp>09/09/2016 4:15:00 PM</stp>
        <stp>09/09/2016 5:15:00 PM</stp>
        <stp>[Andrea New RollM.xlsm]DB!R10C16</stp>
        <stp>BarSz=60</stp>
        <stp>BarTp=T</stp>
        <stp>RecurDaily=True</stp>
        <stp>TZ=London</stp>
        <stp>DTS=H</stp>
        <tr r="P10" s="23"/>
      </tp>
      <tp>
        <v>127.25</v>
        <stp/>
        <stp>##V3_BDHV12</stp>
        <stp>IT0004356843@CBBT Corp</stp>
        <stp>OPEN</stp>
        <stp>09/09/2016 4:15:00 PM</stp>
        <stp>09/09/2016 5:15:00 PM</stp>
        <stp>[Andrea New RollM.xlsm]DB!R73C16</stp>
        <stp>BarSz=60</stp>
        <stp>BarTp=T</stp>
        <stp>RecurDaily=True</stp>
        <stp>TZ=London</stp>
        <stp>DTS=H</stp>
        <tr r="P73" s="23"/>
      </tp>
      <tp>
        <v>101.322</v>
        <stp/>
        <stp>##V3_BDHV12</stp>
        <stp>FR0013101466@CBBT Corp</stp>
        <stp>OPEN</stp>
        <stp>09/09/2016 4:15:00 PM</stp>
        <stp>09/09/2016 5:15:00 PM</stp>
        <stp>[Andrea New RollM.xlsm]DB!R30C16</stp>
        <stp>BarSz=60</stp>
        <stp>BarTp=T</stp>
        <stp>RecurDaily=True</stp>
        <stp>TZ=London</stp>
        <stp>DTS=H</stp>
        <tr r="P30" s="23"/>
      </tp>
      <tp>
        <v>108.55200000000001</v>
        <stp/>
        <stp>##V3_BDHV12</stp>
        <stp>IT0004361041@CBBT Corp</stp>
        <stp>OPEN</stp>
        <stp>09/09/2016 4:15:00 PM</stp>
        <stp>09/09/2016 5:15:00 PM</stp>
        <stp>[Andrea New RollM.xlsm]DB!R24C16</stp>
        <stp>BarSz=60</stp>
        <stp>BarTp=T</stp>
        <stp>RecurDaily=True</stp>
        <stp>TZ=London</stp>
        <stp>DTS=H</stp>
        <tr r="P24" s="23"/>
      </tp>
      <tp>
        <v>116.69</v>
        <stp/>
        <stp>##V3_BDHV12</stp>
        <stp>IT0004009673@CBBT Corp</stp>
        <stp>OPEN</stp>
        <stp>09/09/2016 4:15:00 PM</stp>
        <stp>09/09/2016 5:15:00 PM</stp>
        <stp>[Andrea New RollM.xlsm]DB!R58C16</stp>
        <stp>BarSz=60</stp>
        <stp>BarTp=T</stp>
        <stp>RecurDaily=True</stp>
        <stp>TZ=London</stp>
        <stp>DTS=H</stp>
        <tr r="P58" s="23"/>
      </tp>
      <tp>
        <v>32.740979763251161</v>
        <stp/>
        <stp>##V3_BDPV12</stp>
        <stp>IT0005009839 Corp@CBBT Corp</stp>
        <stp>ASSET_SWAP_SPD_MID</stp>
        <stp>[Andrea New RollM.xlsm]CCT!R10C11</stp>
        <tr r="K10" s="27"/>
      </tp>
    </main>
    <main first="marketviewexcelplugin.mkvxp">
      <tp>
        <v>-0.08</v>
        <stp/>
        <stp>0</stp>
        <stp>EUR.PRICING_MAIN.PXE.ES00000121L2</stp>
        <stp>MidYield</stp>
        <tr r="K193" s="23"/>
      </tp>
      <tp>
        <v>1.986</v>
        <stp/>
        <stp>0</stp>
        <stp>EUR.PRICING_MAIN.PXE.ES00000121S7</stp>
        <stp>MidYield</stp>
        <tr r="K218" s="23"/>
      </tp>
    </main>
    <main first="marketviewexcelplugin.mkvxp">
      <tp>
        <v>18.0776</v>
        <stp/>
        <stp>0</stp>
        <stp>EUR.PRICERISK.PXE.IT0003256820</stp>
        <stp>EffPV1Basis</stp>
        <tr r="W64" s="7"/>
      </tp>
    </main>
    <main first="marketviewexcelplugin.mkvxp">
      <tp>
        <v>102.10000000000001</v>
        <stp/>
        <stp>0</stp>
        <stp>EUR.PRICING_MAIN.PXE.IT0005170839</stp>
        <stp>MidAssetSwap</stp>
        <tr r="Q55" s="7"/>
      </tp>
      <tp t="s">
        <v>OK</v>
        <stp/>
        <stp>4</stp>
        <stp>EUR.CM_DEPTH.XLS_ANDREA.FR0010773192</stp>
        <stp>XLS_ANDREA</stp>
        <tr r="H113" s="23"/>
      </tp>
      <tp t="s">
        <v>OK</v>
        <stp/>
        <stp>4</stp>
        <stp>EUR.CM_DEPTH.XLS_ANDREA.FR0011993179</stp>
        <stp>XLS_ANDREA</stp>
        <tr r="H40" s="23"/>
      </tp>
      <tp t="s">
        <v>OK</v>
        <stp/>
        <stp>4</stp>
        <stp>EUR.CM_DEPTH.XLS_ANDREA.FR0012993103</stp>
        <stp>XLS_ANDREA</stp>
        <tr r="H101" s="23"/>
      </tp>
      <tp t="s">
        <v>OK</v>
        <stp/>
        <stp>4</stp>
        <stp>EUR.CM_DEPTH.XLS_ANDREA.FR0011523257</stp>
        <stp>XLS_ANDREA</stp>
        <tr r="H27" s="23"/>
      </tp>
      <tp t="s">
        <v>OK</v>
        <stp/>
        <stp>4</stp>
        <stp>EUR.CM_DEPTH.XLS_ANDREA.ES0000011868</stp>
        <stp>XLS_ANDREA</stp>
        <tr r="H213" s="23"/>
      </tp>
      <tp t="s">
        <v>OK</v>
        <stp/>
        <stp>4</stp>
        <stp>EUR.CM_DEPTH.XLS_ANDREA.FR0011883966</stp>
        <stp>XLS_ANDREA</stp>
        <tr r="H99" s="23"/>
      </tp>
    </main>
    <main first="bloomberg.rtd">
      <tp t="s">
        <v>01/11/2018</v>
        <stp/>
        <stp>##V3_BDPV12</stp>
        <stp>IT0004922909 Corp</stp>
        <stp>Maturity</stp>
        <stp>[Andrea New RollM.xlsm]CCT!R9C4</stp>
        <tr r="D9" s="27"/>
      </tp>
    </main>
    <main first="marketviewexcelplugin.mkvxp">
      <tp>
        <v>45961</v>
        <stp/>
        <stp>0</stp>
        <stp>EUR.CM_INSTRUMENT.PXE.ES00000127G9</stp>
        <stp>DateMaturity</stp>
        <tr r="D208" s="23"/>
      </tp>
      <tp>
        <v>45322</v>
        <stp/>
        <stp>0</stp>
        <stp>EUR.CM_INSTRUMENT.PXE.ES00000121G2</stp>
        <stp>DateMaturity</stp>
        <tr r="D203" s="23"/>
      </tp>
      <tp>
        <v>43026</v>
        <stp/>
        <stp>0</stp>
        <stp>EUR.CM_INSTRUMENT.PXE.IE00B8DLLB38</stp>
        <stp>DateMaturity</stp>
        <tr r="D237" s="23"/>
      </tp>
      <tp>
        <v>119.60000000000001</v>
        <stp/>
        <stp>0</stp>
        <stp>EUR.PRICING_MAIN.PXE.IT0005024234</stp>
        <stp>MidAssetSwap</stp>
        <tr r="Q61" s="7"/>
      </tp>
      <tp>
        <v>132.6</v>
        <stp/>
        <stp>0</stp>
        <stp>EUR.PRICING_MAIN.PXE.IT0001278511</stp>
        <stp>MidAssetSwap</stp>
        <tr r="Q60" s="7"/>
      </tp>
      <tp>
        <v>71.600000000000009</v>
        <stp/>
        <stp>0</stp>
        <stp>EUR.PRICING_MAIN.PXE.IT0005172322</stp>
        <stp>MidAssetSwap</stp>
        <tr r="Q43" s="7"/>
      </tp>
      <tp>
        <v>157.30000000000001</v>
        <stp/>
        <stp>0</stp>
        <stp>EUR.PRICING_MAIN.PXE.IT0005162828</stp>
        <stp>MidAssetSwap</stp>
        <tr r="Q72" s="7"/>
      </tp>
      <tp>
        <v>144.70000000000002</v>
        <stp/>
        <stp>0</stp>
        <stp>EUR.PRICING_MAIN.PXE.IT0001444378</stp>
        <stp>MidAssetSwap</stp>
        <tr r="Q62" s="7"/>
      </tp>
      <tp t="s">
        <v>OK</v>
        <stp/>
        <stp>4</stp>
        <stp>EUR.CM_DEPTH.XLS_ANDREA.FR0011962398</stp>
        <stp>XLS_ANDREA</stp>
        <tr r="H80" s="23"/>
      </tp>
      <tp t="s">
        <v>OK</v>
        <stp/>
        <stp>4</stp>
        <stp>EUR.CM_DEPTH.XLS_ANDREA.FR0010192997</stp>
        <stp>XLS_ANDREA</stp>
        <tr r="H53" s="23"/>
      </tp>
      <tp t="s">
        <v>OK</v>
        <stp/>
        <stp>4</stp>
        <stp>EUR.CM_DEPTH.XLS_ANDREA.DE0001141703</stp>
        <stp>XLS_ANDREA</stp>
        <tr r="H145" s="23"/>
      </tp>
      <tp t="s">
        <v>OK</v>
        <stp/>
        <stp>4</stp>
        <stp>EUR.CM_DEPTH.XLS_ANDREA.DE0001141711</stp>
        <stp>XLS_ANDREA</stp>
        <tr r="H147" s="23"/>
      </tp>
      <tp t="s">
        <v>OK</v>
        <stp/>
        <stp>4</stp>
        <stp>EUR.CM_DEPTH.XLS_ANDREA.DE0001141729</stp>
        <stp>XLS_ANDREA</stp>
        <tr r="H150" s="23"/>
      </tp>
      <tp t="s">
        <v>OK</v>
        <stp/>
        <stp>4</stp>
        <stp>EUR.CM_DEPTH.XLS_ANDREA.DE0001141737</stp>
        <stp>XLS_ANDREA</stp>
        <tr r="H152" s="23"/>
      </tp>
      <tp t="s">
        <v>OK</v>
        <stp/>
        <stp>4</stp>
        <stp>EUR.CM_DEPTH.XLS_ANDREA.DE0001141745</stp>
        <stp>XLS_ANDREA</stp>
        <tr r="H155" s="23"/>
      </tp>
      <tp t="s">
        <v>OK</v>
        <stp/>
        <stp>4</stp>
        <stp>EUR.CM_DEPTH.XLS_ANDREA.DE0001141687</stp>
        <stp>XLS_ANDREA</stp>
        <tr r="H142" s="23"/>
      </tp>
      <tp t="s">
        <v>OK</v>
        <stp/>
        <stp>4</stp>
        <stp>EUR.CM_DEPTH.XLS_ANDREA.DE0001141695</stp>
        <stp>XLS_ANDREA</stp>
        <tr r="H143" s="23"/>
      </tp>
      <tp t="s">
        <v>OK</v>
        <stp/>
        <stp>4</stp>
        <stp>EUR.CM_DEPTH.XLS_ANDREA.DE0001141612</stp>
        <stp>XLS_ANDREA</stp>
        <tr r="H123" s="23"/>
      </tp>
      <tp t="s">
        <v>OK</v>
        <stp/>
        <stp>4</stp>
        <stp>EUR.CM_DEPTH.XLS_ANDREA.DE0001141620</stp>
        <stp>XLS_ANDREA</stp>
        <tr r="H125" s="23"/>
      </tp>
      <tp t="s">
        <v>OK</v>
        <stp/>
        <stp>4</stp>
        <stp>EUR.CM_DEPTH.XLS_ANDREA.DE0001141638</stp>
        <stp>XLS_ANDREA</stp>
        <tr r="H127" s="23"/>
      </tp>
      <tp t="s">
        <v>OK</v>
        <stp/>
        <stp>4</stp>
        <stp>EUR.CM_DEPTH.XLS_ANDREA.DE0001141646</stp>
        <stp>XLS_ANDREA</stp>
        <tr r="H131" s="23"/>
      </tp>
      <tp t="s">
        <v>OK</v>
        <stp/>
        <stp>4</stp>
        <stp>EUR.CM_DEPTH.XLS_ANDREA.DE0001141653</stp>
        <stp>XLS_ANDREA</stp>
        <tr r="H134" s="23"/>
      </tp>
      <tp t="s">
        <v>OK</v>
        <stp/>
        <stp>4</stp>
        <stp>EUR.CM_DEPTH.XLS_ANDREA.DE0001141661</stp>
        <stp>XLS_ANDREA</stp>
        <tr r="H136" s="23"/>
      </tp>
      <tp t="s">
        <v>OK</v>
        <stp/>
        <stp>4</stp>
        <stp>EUR.CM_DEPTH.XLS_ANDREA.DE0001141679</stp>
        <stp>XLS_ANDREA</stp>
        <tr r="H140" s="23"/>
      </tp>
    </main>
    <main first="marketviewexcelplugin.mkvxp">
      <tp>
        <v>0.16900000000000001</v>
        <stp/>
        <stp>0</stp>
        <stp>EUR.PRICING_MAIN.PXE.IE00B6X95T99</stp>
        <stp>MidYield</stp>
        <tr r="K245" s="23"/>
      </tp>
      <tp>
        <v>-0.23700000000000002</v>
        <stp/>
        <stp>0</stp>
        <stp>EUR.PRICING_MAIN.PXE.ES00000123Q7</stp>
        <stp>MidYield</stp>
        <tr r="K187" s="23"/>
      </tp>
      <tp>
        <v>43220</v>
        <stp/>
        <stp>0</stp>
        <stp>EUR.CM_INSTRUMENT.PXE.ES00000127D6</stp>
        <stp>DateMaturity</stp>
        <tr r="D188" s="23"/>
      </tp>
      <tp>
        <v>43951</v>
        <stp/>
        <stp>0</stp>
        <stp>EUR.CM_INSTRUMENT.PXE.ES00000122D7</stp>
        <stp>DateMaturity</stp>
        <tr r="D196" s="23"/>
      </tp>
    </main>
    <main first="marketviewexcelplugin.mkvxp">
      <tp>
        <v>55.1</v>
        <stp/>
        <stp>0</stp>
        <stp>EUR.PRICING_MAIN.PXE.IT0005028003</stp>
        <stp>MidAssetSwap</stp>
        <tr r="Q37" s="7"/>
      </tp>
      <tp>
        <v>136.5</v>
        <stp/>
        <stp>0</stp>
        <stp>EUR.PRICING_MAIN.PXE.IT0001174611</stp>
        <stp>MidAssetSwap</stp>
        <tr r="Q58" s="7"/>
      </tp>
      <tp>
        <v>66.100000000000009</v>
        <stp/>
        <stp>0</stp>
        <stp>EUR.PRICING_MAIN.PXE.IT0004759673</stp>
        <stp>MidAssetSwap</stp>
        <tr r="Q38" s="7"/>
      </tp>
      <tp>
        <v>25.6</v>
        <stp/>
        <stp>0</stp>
        <stp>EUR.PRICING_MAIN.PXE.IT0005030504</stp>
        <stp>MidAssetSwap</stp>
        <tr r="Q22" s="7"/>
      </tp>
      <tp>
        <v>152.80000000000001</v>
        <stp/>
        <stp>0</stp>
        <stp>EUR.PRICING_MAIN.PXE.IT0003535157</stp>
        <stp>MidAssetSwap</stp>
        <tr r="Q65" s="7"/>
      </tp>
      <tp>
        <v>150.5</v>
        <stp/>
        <stp>0</stp>
        <stp>EUR.PRICING_MAIN.PXE.IT0003256820</stp>
        <stp>MidAssetSwap</stp>
        <tr r="Q64" s="7"/>
      </tp>
      <tp>
        <v>191.8</v>
        <stp/>
        <stp>0</stp>
        <stp>EUR.PRICING_MAIN.PXE.IT0004923998</stp>
        <stp>MidAssetSwap</stp>
        <tr r="Q70" s="7"/>
      </tp>
      <tp>
        <v>184.10000000000002</v>
        <stp/>
        <stp>0</stp>
        <stp>EUR.PRICING_MAIN.PXE.IT0004532559</stp>
        <stp>MidAssetSwap</stp>
        <tr r="Q69" s="7"/>
      </tp>
      <tp>
        <v>27.200000000000003</v>
        <stp/>
        <stp>0</stp>
        <stp>EUR.PRICING_MAIN.PXE.IT0005217929</stp>
        <stp>MidAssetSwap</stp>
        <tr r="Q24" s="7"/>
      </tp>
      <tp>
        <v>-8.2000000000000011</v>
        <stp/>
        <stp>0</stp>
        <stp>EUR.PRICING_MAIN.PXE.IT0004987191</stp>
        <stp>MidAssetSwap</stp>
        <tr r="Q4" s="7"/>
      </tp>
      <tp>
        <v>-14.5</v>
        <stp/>
        <stp>0</stp>
        <stp>EUR.PRICING_MAIN.PXE.IT0004793474</stp>
        <stp>MidAssetSwap</stp>
        <tr r="Q6" s="7"/>
      </tp>
      <tp>
        <v>31.8</v>
        <stp/>
        <stp>0</stp>
        <stp>EUR.PRICING_MAIN.PXE.IT0003644769</stp>
        <stp>MidAssetSwap</stp>
        <tr r="Q26" s="7"/>
      </tp>
      <tp t="s">
        <v>OK</v>
        <stp/>
        <stp>4</stp>
        <stp>EUR.CM_DEPTH.XLS_ANDREA.FR0011461037</stp>
        <stp>XLS_ANDREA</stp>
        <tr r="H115" s="23"/>
      </tp>
      <tp t="s">
        <v>OK</v>
        <stp/>
        <stp>4</stp>
        <stp>EUR.CM_DEPTH.XLS_ANDREA.FR0010371401</stp>
        <stp>XLS_ANDREA</stp>
        <tr r="H110" s="23"/>
      </tp>
      <tp t="s">
        <v>OK</v>
        <stp/>
        <stp>4</stp>
        <stp>EUR.CM_DEPTH.XLS_ANDREA.FR0013101466</stp>
        <stp>XLS_ANDREA</stp>
        <tr r="H30" s="23"/>
      </tp>
      <tp t="s">
        <v>OK</v>
        <stp/>
        <stp>4</stp>
        <stp>EUR.CM_DEPTH.XLS_ANDREA.FR0010171975</stp>
        <stp>XLS_ANDREA</stp>
        <tr r="H119" s="23"/>
      </tp>
      <tp t="s">
        <v>OK</v>
        <stp/>
        <stp>4</stp>
        <stp>EUR.CM_DEPTH.XLS_ANDREA.FR0013131877</stp>
        <stp>XLS_ANDREA</stp>
        <tr r="H89" s="23"/>
      </tp>
      <tp t="s">
        <v>OK</v>
        <stp/>
        <stp>4</stp>
        <stp>EUR.CM_DEPTH.XLS_ANDREA.DE0001102408</stp>
        <stp>XLS_ANDREA</stp>
        <tr r="H169" s="23"/>
      </tp>
      <tp t="s">
        <v>OK</v>
        <stp/>
        <stp>4</stp>
        <stp>EUR.CM_DEPTH.XLS_ANDREA.DE0001102382</stp>
        <stp>XLS_ANDREA</stp>
        <tr r="H167" s="23"/>
      </tp>
      <tp t="s">
        <v>OK</v>
        <stp/>
        <stp>4</stp>
        <stp>EUR.CM_DEPTH.XLS_ANDREA.DE0001102390</stp>
        <stp>XLS_ANDREA</stp>
        <tr r="H168" s="23"/>
      </tp>
      <tp t="s">
        <v>OK</v>
        <stp/>
        <stp>4</stp>
        <stp>EUR.CM_DEPTH.XLS_ANDREA.DE0001102309</stp>
        <stp>XLS_ANDREA</stp>
        <tr r="H159" s="23"/>
      </tp>
      <tp t="s">
        <v>OK</v>
        <stp/>
        <stp>4</stp>
        <stp>EUR.CM_DEPTH.XLS_ANDREA.DE0001102317</stp>
        <stp>XLS_ANDREA</stp>
        <tr r="H160" s="23"/>
      </tp>
      <tp t="s">
        <v>OK</v>
        <stp/>
        <stp>4</stp>
        <stp>EUR.CM_DEPTH.XLS_ANDREA.DE0001102325</stp>
        <stp>XLS_ANDREA</stp>
        <tr r="H161" s="23"/>
      </tp>
      <tp t="s">
        <v>OK</v>
        <stp/>
        <stp>4</stp>
        <stp>EUR.CM_DEPTH.XLS_ANDREA.DE0001102333</stp>
        <stp>XLS_ANDREA</stp>
        <tr r="H163" s="23"/>
      </tp>
      <tp t="s">
        <v>OK</v>
        <stp/>
        <stp>4</stp>
        <stp>EUR.CM_DEPTH.XLS_ANDREA.DE0001102341</stp>
        <stp>XLS_ANDREA</stp>
        <tr r="H181" s="23"/>
      </tp>
      <tp t="s">
        <v>OK</v>
        <stp/>
        <stp>4</stp>
        <stp>EUR.CM_DEPTH.XLS_ANDREA.DE0001102358</stp>
        <stp>XLS_ANDREA</stp>
        <tr r="H164" s="23"/>
      </tp>
      <tp t="s">
        <v>OK</v>
        <stp/>
        <stp>4</stp>
        <stp>EUR.CM_DEPTH.XLS_ANDREA.DE0001102366</stp>
        <stp>XLS_ANDREA</stp>
        <tr r="H165" s="23"/>
      </tp>
      <tp t="s">
        <v>OK</v>
        <stp/>
        <stp>4</stp>
        <stp>EUR.CM_DEPTH.XLS_ANDREA.DE0001102374</stp>
        <stp>XLS_ANDREA</stp>
        <tr r="H166" s="23"/>
      </tp>
    </main>
    <main first="marketviewexcelplugin.mkvxp">
      <tp t="s">
        <v>OK</v>
        <stp/>
        <stp>4</stp>
        <stp>EUR.CM_DEPTH.XLS_ANDREA.IE00B8DLLB38</stp>
        <stp>XLS_ANDREA</stp>
        <tr r="H237" s="23"/>
      </tp>
    </main>
    <main first="bloomberg.rtd">
      <tp t="s">
        <v>15/04/2018</v>
        <stp/>
        <stp>##V3_BDPV12</stp>
        <stp>IT0004716319 Corp</stp>
        <stp>Maturity</stp>
        <stp>[Andrea New RollM.xlsm]CCT!R8C4</stp>
        <tr r="D8" s="27"/>
      </tp>
    </main>
    <main first="marketviewexcelplugin.mkvxp">
      <tp>
        <v>60843</v>
        <stp/>
        <stp>0</stp>
        <stp>EUR.CM_INSTRUMENT.PXE.ES00000128E2</stp>
        <stp>DateMaturity</stp>
        <tr r="D221" s="23"/>
      </tp>
      <tp>
        <v>45868</v>
        <stp/>
        <stp>0</stp>
        <stp>EUR.CM_INSTRUMENT.PXE.ES00000122E5</stp>
        <stp>DateMaturity</stp>
        <tr r="D207" s="23"/>
      </tp>
    </main>
    <main first="marketviewexcelplugin.mkvxp">
      <tp>
        <v>109.80000000000001</v>
        <stp/>
        <stp>0</stp>
        <stp>EUR.PRICING_MAIN.PXE.IT0004513641</stp>
        <stp>MidAssetSwap</stp>
        <tr r="Q51" s="7"/>
      </tp>
      <tp>
        <v>21.200000000000003</v>
        <stp/>
        <stp>0</stp>
        <stp>EUR.PRICING_MAIN.PXE.IT0003493258</stp>
        <stp>MidAssetSwap</stp>
        <tr r="Q18" s="7"/>
      </tp>
      <tp>
        <v>94.800000000000011</v>
        <stp/>
        <stp>0</stp>
        <stp>EUR.PRICING_MAIN.PXE.IT0005090318</stp>
        <stp>MidAssetSwap</stp>
        <tr r="Q52" s="7"/>
      </tp>
      <tp>
        <v>20.6</v>
        <stp/>
        <stp>0</stp>
        <stp>EUR.PRICING_MAIN.PXE.IT0004423957</stp>
        <stp>MidAssetSwap</stp>
        <tr r="Q19" s="7"/>
      </tp>
      <tp>
        <v>31.6</v>
        <stp/>
        <stp>0</stp>
        <stp>EUR.PRICING_MAIN.PXE.IT0004536949</stp>
        <stp>MidAssetSwap</stp>
        <tr r="Q27" s="7"/>
      </tp>
      <tp>
        <v>0.371</v>
        <stp/>
        <stp>0</stp>
        <stp>EUR.PRICING_MAIN.PXE.IE00B4TV0D44</stp>
        <stp>MidYield</stp>
        <tr r="K246" s="23"/>
      </tp>
      <tp>
        <v>28.700000000000003</v>
        <stp/>
        <stp>0</stp>
        <stp>EUR.PRICING_MAIN.PXE.IT0005107708</stp>
        <stp>MidAssetSwap</stp>
        <tr r="Q28" s="7"/>
      </tp>
      <tp>
        <v>121.9</v>
        <stp/>
        <stp>0</stp>
        <stp>EUR.PRICING_MAIN.PXE.IT0005177909</stp>
        <stp>MidAssetSwap</stp>
        <tr r="Q66" s="7"/>
      </tp>
      <tp>
        <v>53.1</v>
        <stp/>
        <stp>0</stp>
        <stp>EUR.PRICING_MAIN.PXE.IT0004695075</stp>
        <stp>MidAssetSwap</stp>
        <tr r="Q35" s="7"/>
      </tp>
      <tp t="s">
        <v>OK</v>
        <stp/>
        <stp>4</stp>
        <stp>EUR.CM_DEPTH.XLS_ANDREA.ES00000120J8</stp>
        <stp>XLS_ANDREA</stp>
        <tr r="H183" s="23"/>
      </tp>
      <tp t="s">
        <v>OK</v>
        <stp/>
        <stp>4</stp>
        <stp>EUR.CM_DEPTH.XLS_ANDREA.ES00000120N0</stp>
        <stp>XLS_ANDREA</stp>
        <tr r="H217" s="23"/>
      </tp>
      <tp t="s">
        <v>OK</v>
        <stp/>
        <stp>4</stp>
        <stp>EUR.CM_DEPTH.XLS_ANDREA.ES00000121L2</stp>
        <stp>XLS_ANDREA</stp>
        <tr r="H193" s="23"/>
      </tp>
      <tp t="s">
        <v>OK</v>
        <stp/>
        <stp>4</stp>
        <stp>EUR.CM_DEPTH.XLS_ANDREA.ES00000121O6</stp>
        <stp>XLS_ANDREA</stp>
        <tr r="H194" s="23"/>
      </tp>
      <tp t="s">
        <v>OK</v>
        <stp/>
        <stp>4</stp>
        <stp>EUR.CM_DEPTH.XLS_ANDREA.ES00000121A5</stp>
        <stp>XLS_ANDREA</stp>
        <tr r="H189" s="23"/>
      </tp>
      <tp t="s">
        <v>OK</v>
        <stp/>
        <stp>4</stp>
        <stp>EUR.CM_DEPTH.XLS_ANDREA.ES00000121G2</stp>
        <stp>XLS_ANDREA</stp>
        <tr r="H203" s="23"/>
      </tp>
      <tp t="s">
        <v>OK</v>
        <stp/>
        <stp>4</stp>
        <stp>EUR.CM_DEPTH.XLS_ANDREA.ES00000121S7</stp>
        <stp>XLS_ANDREA</stp>
        <tr r="H218" s="23"/>
      </tp>
      <tp t="s">
        <v>OK</v>
        <stp/>
        <stp>4</stp>
        <stp>EUR.CM_DEPTH.XLS_ANDREA.FR0010070060</stp>
        <stp>XLS_ANDREA</stp>
        <tr r="H106" s="23"/>
      </tp>
      <tp t="s">
        <v>OK</v>
        <stp/>
        <stp>4</stp>
        <stp>EUR.CM_DEPTH.XLS_ANDREA.ES00000122E5</stp>
        <stp>XLS_ANDREA</stp>
        <tr r="H207" s="23"/>
      </tp>
      <tp t="s">
        <v>OK</v>
        <stp/>
        <stp>4</stp>
        <stp>EUR.CM_DEPTH.XLS_ANDREA.ES00000122D7</stp>
        <stp>XLS_ANDREA</stp>
        <tr r="H196" s="23"/>
      </tp>
      <tp t="s">
        <v>OK</v>
        <stp/>
        <stp>4</stp>
        <stp>EUR.CM_DEPTH.XLS_ANDREA.ES00000122T3</stp>
        <stp>XLS_ANDREA</stp>
        <tr r="H198" s="23"/>
      </tp>
      <tp t="s">
        <v>OK</v>
        <stp/>
        <stp>4</stp>
        <stp>EUR.CM_DEPTH.XLS_ANDREA.ES00000123K0</stp>
        <stp>XLS_ANDREA</stp>
        <tr r="H200" s="23"/>
      </tp>
      <tp t="s">
        <v>OK</v>
        <stp/>
        <stp>4</stp>
        <stp>EUR.CM_DEPTH.XLS_ANDREA.ES00000123J2</stp>
        <stp>XLS_ANDREA</stp>
        <tr r="H182" s="23"/>
      </tp>
      <tp t="s">
        <v>OK</v>
        <stp/>
        <stp>4</stp>
        <stp>EUR.CM_DEPTH.XLS_ANDREA.ES00000123C7</stp>
        <stp>XLS_ANDREA</stp>
        <tr r="H210" s="23"/>
      </tp>
      <tp t="s">
        <v>OK</v>
        <stp/>
        <stp>4</stp>
        <stp>EUR.CM_DEPTH.XLS_ANDREA.ES00000123B9</stp>
        <stp>XLS_ANDREA</stp>
        <tr r="H199" s="23"/>
      </tp>
      <tp t="s">
        <v>OK</v>
        <stp/>
        <stp>4</stp>
        <stp>EUR.CM_DEPTH.XLS_ANDREA.ES00000123X3</stp>
        <stp>XLS_ANDREA</stp>
        <tr r="H202" s="23"/>
      </tp>
      <tp t="s">
        <v>OK</v>
        <stp/>
        <stp>4</stp>
        <stp>EUR.CM_DEPTH.XLS_ANDREA.ES00000123Q7</stp>
        <stp>XLS_ANDREA</stp>
        <tr r="H187" s="23"/>
      </tp>
      <tp t="s">
        <v>OK</v>
        <stp/>
        <stp>4</stp>
        <stp>EUR.CM_DEPTH.XLS_ANDREA.ES00000123U9</stp>
        <stp>XLS_ANDREA</stp>
        <tr r="H201" s="23"/>
      </tp>
      <tp t="s">
        <v>OK</v>
        <stp/>
        <stp>4</stp>
        <stp>EUR.CM_DEPTH.XLS_ANDREA.ES00000124I2</stp>
        <stp>XLS_ANDREA</stp>
        <tr r="H184" s="23"/>
      </tp>
      <tp t="s">
        <v>OK</v>
        <stp/>
        <stp>4</stp>
        <stp>EUR.CM_DEPTH.XLS_ANDREA.ES00000124H4</stp>
        <stp>XLS_ANDREA</stp>
        <tr r="H219" s="23"/>
      </tp>
      <tp t="s">
        <v>OK</v>
        <stp/>
        <stp>4</stp>
        <stp>EUR.CM_DEPTH.XLS_ANDREA.ES00000124C5</stp>
        <stp>XLS_ANDREA</stp>
        <tr r="H212" s="23"/>
      </tp>
      <tp t="s">
        <v>OK</v>
        <stp/>
        <stp>4</stp>
        <stp>EUR.CM_DEPTH.XLS_ANDREA.ES00000124B7</stp>
        <stp>XLS_ANDREA</stp>
        <tr r="H190" s="23"/>
      </tp>
      <tp t="s">
        <v>OK</v>
        <stp/>
        <stp>4</stp>
        <stp>EUR.CM_DEPTH.XLS_ANDREA.ES00000124W3</stp>
        <stp>XLS_ANDREA</stp>
        <tr r="H204" s="23"/>
      </tp>
      <tp t="s">
        <v>OK</v>
        <stp/>
        <stp>4</stp>
        <stp>EUR.CM_DEPTH.XLS_ANDREA.ES00000124V5</stp>
        <stp>XLS_ANDREA</stp>
        <tr r="H192" s="23"/>
      </tp>
      <tp t="s">
        <v>OK</v>
        <stp/>
        <stp>4</stp>
        <stp>EUR.CM_DEPTH.XLS_ANDREA.ES0000012411</stp>
        <stp>XLS_ANDREA</stp>
        <tr r="H215" s="23"/>
      </tp>
      <tp t="s">
        <v>OK</v>
        <stp/>
        <stp>4</stp>
        <stp>EUR.CM_DEPTH.XLS_ANDREA.ES00000126C0</stp>
        <stp>XLS_ANDREA</stp>
        <tr r="H195" s="23"/>
      </tp>
      <tp t="s">
        <v>OK</v>
        <stp/>
        <stp>4</stp>
        <stp>EUR.CM_DEPTH.XLS_ANDREA.ES00000126B2</stp>
        <stp>XLS_ANDREA</stp>
        <tr r="H205" s="23"/>
      </tp>
      <tp t="s">
        <v>OK</v>
        <stp/>
        <stp>4</stp>
        <stp>EUR.CM_DEPTH.XLS_ANDREA.ES00000126Z1</stp>
        <stp>XLS_ANDREA</stp>
        <tr r="H206" s="23"/>
      </tp>
      <tp t="s">
        <v>OK</v>
        <stp/>
        <stp>4</stp>
        <stp>EUR.CM_DEPTH.XLS_ANDREA.ES00000126V0</stp>
        <stp>XLS_ANDREA</stp>
        <tr r="H186" s="23"/>
      </tp>
      <tp t="s">
        <v>OK</v>
        <stp/>
        <stp>4</stp>
        <stp>EUR.CM_DEPTH.XLS_ANDREA.FR0010670737</stp>
        <stp>XLS_ANDREA</stp>
        <tr r="H26" s="23"/>
      </tp>
      <tp t="s">
        <v>OK</v>
        <stp/>
        <stp>4</stp>
        <stp>EUR.CM_DEPTH.XLS_ANDREA.ES00000127H7</stp>
        <stp>XLS_ANDREA</stp>
        <tr r="H197" s="23"/>
      </tp>
      <tp t="s">
        <v>OK</v>
        <stp/>
        <stp>4</stp>
        <stp>EUR.CM_DEPTH.XLS_ANDREA.ES00000127A2</stp>
        <stp>XLS_ANDREA</stp>
        <tr r="H214" s="23"/>
      </tp>
      <tp t="s">
        <v>OK</v>
        <stp/>
        <stp>4</stp>
        <stp>EUR.CM_DEPTH.XLS_ANDREA.ES00000127D6</stp>
        <stp>XLS_ANDREA</stp>
        <tr r="H188" s="23"/>
      </tp>
      <tp t="s">
        <v>OK</v>
        <stp/>
        <stp>4</stp>
        <stp>EUR.CM_DEPTH.XLS_ANDREA.ES00000127G9</stp>
        <stp>XLS_ANDREA</stp>
        <tr r="H208" s="23"/>
      </tp>
      <tp t="s">
        <v>OK</v>
        <stp/>
        <stp>4</stp>
        <stp>EUR.CM_DEPTH.XLS_ANDREA.ES00000127Z9</stp>
        <stp>XLS_ANDREA</stp>
        <tr r="H209" s="23"/>
      </tp>
      <tp t="s">
        <v>OK</v>
        <stp/>
        <stp>4</stp>
        <stp>EUR.CM_DEPTH.XLS_ANDREA.ES0000012783</stp>
        <stp>XLS_ANDREA</stp>
        <tr r="H185" s="23"/>
      </tp>
      <tp t="s">
        <v>OK</v>
        <stp/>
        <stp>4</stp>
        <stp>EUR.CM_DEPTH.XLS_ANDREA.ES00000128H5</stp>
        <stp>XLS_ANDREA</stp>
        <tr r="H211" s="23"/>
      </tp>
      <tp t="s">
        <v>OK</v>
        <stp/>
        <stp>4</stp>
        <stp>EUR.CM_DEPTH.XLS_ANDREA.ES00000128A0</stp>
        <stp>XLS_ANDREA</stp>
        <tr r="H191" s="23"/>
      </tp>
      <tp t="s">
        <v>OK</v>
        <stp/>
        <stp>4</stp>
        <stp>EUR.CM_DEPTH.XLS_ANDREA.ES00000128C6</stp>
        <stp>XLS_ANDREA</stp>
        <tr r="H220" s="23"/>
      </tp>
      <tp t="s">
        <v>OK</v>
        <stp/>
        <stp>4</stp>
        <stp>EUR.CM_DEPTH.XLS_ANDREA.ES00000128B8</stp>
        <stp>XLS_ANDREA</stp>
        <tr r="H57" s="23"/>
      </tp>
      <tp t="s">
        <v>OK</v>
        <stp/>
        <stp>4</stp>
        <stp>EUR.CM_DEPTH.XLS_ANDREA.ES00000128E2</stp>
        <stp>XLS_ANDREA</stp>
        <tr r="H221" s="23"/>
      </tp>
      <tp t="s">
        <v>OK</v>
        <stp/>
        <stp>4</stp>
        <stp>EUR.CM_DEPTH.XLS_ANDREA.FR0010870956</stp>
        <stp>XLS_ANDREA</stp>
        <tr r="H120" s="23"/>
      </tp>
    </main>
    <main first="marketviewexcelplugin.mkvxp">
      <tp t="s">
        <v>OK</v>
        <stp/>
        <stp>4</stp>
        <stp>EUR.CM_DEPTH.XLS_ANDREA.ES0000012932</stp>
        <stp>XLS_ANDREA</stp>
        <tr r="H216" s="23"/>
      </tp>
      <tp t="s">
        <v>OK</v>
        <stp/>
        <stp>4</stp>
        <stp>EUR.CM_DEPTH.XLS_ANDREA.FR0013200813</stp>
        <stp>XLS_ANDREA</stp>
        <tr r="H92" s="23"/>
      </tp>
    </main>
    <main first="bloomberg.rtd">
      <tp t="s">
        <v>15/10/2017</v>
        <stp/>
        <stp>##V3_BDPV12</stp>
        <stp>IT0004652175 Corp</stp>
        <stp>Maturity</stp>
        <stp>[Andrea New RollM.xlsm]CCT!R7C4</stp>
        <tr r="D7" s="27"/>
      </tp>
    </main>
    <main first="marketviewexcelplugin.mkvxp">
      <tp>
        <v>44407</v>
        <stp/>
        <stp>0</stp>
        <stp>EUR.CM_INSTRUMENT.PXE.ES00000128B8</stp>
        <stp>DateMaturity</stp>
        <tr r="D57" s="23"/>
      </tp>
      <tp>
        <v>44316</v>
        <stp/>
        <stp>0</stp>
        <stp>EUR.CM_INSTRUMENT.PXE.ES00000123B9</stp>
        <stp>DateMaturity</stp>
        <tr r="D199" s="23"/>
      </tp>
      <tp>
        <v>0.70499999999999996</v>
        <stp/>
        <stp>0</stp>
        <stp>EUR.PRICING_MAIN.PXE.ES00000124W3</stp>
        <stp>MidYield</stp>
        <tr r="K204" s="23"/>
      </tp>
      <tp>
        <v>45596</v>
        <stp/>
        <stp>0</stp>
        <stp>EUR.CM_INSTRUMENT.PXE.ES00000126B2</stp>
        <stp>DateMaturity</stp>
        <tr r="D205" s="23"/>
      </tp>
      <tp>
        <v>-0.05</v>
        <stp/>
        <stp>0</stp>
        <stp>EUR.PRICING_MAIN.PXE.IE00B4S3JD47</stp>
        <stp>MidYield</stp>
        <tr r="K244" s="23"/>
      </tp>
      <tp>
        <v>43404</v>
        <stp/>
        <stp>0</stp>
        <stp>EUR.CM_INSTRUMENT.PXE.ES00000124B7</stp>
        <stp>DateMaturity</stp>
        <tr r="D190" s="23"/>
      </tp>
      <tp>
        <v>-15.600000000000001</v>
        <stp/>
        <stp>0</stp>
        <stp>EUR.PRICING_MAIN.PXE.IT0003242747</stp>
        <stp>MidAssetSwap</stp>
        <tr r="Q9" s="7"/>
      </tp>
      <tp>
        <v>101.7</v>
        <stp/>
        <stp>0</stp>
        <stp>EUR.PRICING_MAIN.PXE.IT0000366655</stp>
        <stp>MidAssetSwap</stp>
        <tr r="Q47" s="7"/>
      </tp>
      <tp>
        <v>-10.600000000000001</v>
        <stp/>
        <stp>0</stp>
        <stp>EUR.PRICING_MAIN.PXE.IT0004164775</stp>
        <stp>MidAssetSwap</stp>
        <tr r="Q5" s="7"/>
      </tp>
      <tp>
        <v>23.5</v>
        <stp/>
        <stp>0</stp>
        <stp>EUR.PRICING_MAIN.PXE.IT0005177271</stp>
        <stp>MidAssetSwap</stp>
        <tr r="Q20" s="7"/>
      </tp>
      <tp>
        <v>-5.1000000000000005</v>
        <stp/>
        <stp>0</stp>
        <stp>EUR.PRICING_MAIN.PXE.IT0005058463</stp>
        <stp>MidAssetSwap</stp>
        <tr r="Q11" s="7"/>
      </tp>
      <tp>
        <v>74.900000000000006</v>
        <stp/>
        <stp>0</stp>
        <stp>EUR.PRICING_MAIN.PXE.IT0005215246</stp>
        <stp>MidAssetSwap</stp>
        <tr r="Q46" s="7"/>
      </tp>
      <tp>
        <v>35.300000000000004</v>
        <stp/>
        <stp>0</stp>
        <stp>EUR.PRICING_MAIN.PXE.IT0004594930</stp>
        <stp>MidAssetSwap</stp>
        <tr r="Q29" s="7"/>
      </tp>
      <tp>
        <v>134.5</v>
        <stp/>
        <stp>0</stp>
        <stp>EUR.PRICING_MAIN.PXE.IT0001086567</stp>
        <stp>MidAssetSwap</stp>
        <tr r="Q56" s="7"/>
      </tp>
      <tp t="s">
        <v>OK</v>
        <stp/>
        <stp>4</stp>
        <stp>EUR.CM_DEPTH.XLS_ANDREA.IT0005069395</stp>
        <stp>XLS_ANDREA</stp>
        <tr r="H41" s="23"/>
      </tp>
      <tp t="s">
        <v>OK</v>
        <stp/>
        <stp>4</stp>
        <stp>EUR.CM_DEPTH.XLS_ANDREA.IT0005139099</stp>
        <stp>XLS_ANDREA</stp>
        <tr r="H25" s="23"/>
      </tp>
      <tp t="s">
        <v>OK</v>
        <stp/>
        <stp>4</stp>
        <stp>EUR.CM_DEPTH.XLS_ANDREA.FR0013157096</stp>
        <stp>XLS_ANDREA</stp>
        <tr r="H55" s="23"/>
      </tp>
    </main>
    <main first="marketviewexcelplugin.mkvxp">
      <tp t="s">
        <v>OK</v>
        <stp/>
        <stp>4</stp>
        <stp>EUR.CM_DEPTH.XLS_ANDREA.IT0004889033</stp>
        <stp>XLS_ANDREA</stp>
        <tr r="H96" s="23"/>
      </tp>
      <tp t="s">
        <v>OK</v>
        <stp/>
        <stp>4</stp>
        <stp>EUR.CM_DEPTH.XLS_ANDREA.FR0012517027</stp>
        <stp>XLS_ANDREA</stp>
        <tr r="H83" s="23"/>
      </tp>
      <tp t="s">
        <v>OK</v>
        <stp/>
        <stp>4</stp>
        <stp>EUR.CM_DEPTH.XLS_ANDREA.IT0004759673</stp>
        <stp>XLS_ANDREA</stp>
        <tr r="H63" s="23"/>
      </tp>
      <tp t="s">
        <v>OK</v>
        <stp/>
        <stp>4</stp>
        <stp>EUR.CM_DEPTH.XLS_ANDREA.IT0004489610</stp>
        <stp>XLS_ANDREA</stp>
        <tr r="H37" s="23"/>
      </tp>
      <tp t="s">
        <v>OK</v>
        <stp/>
        <stp>4</stp>
        <stp>EUR.CM_DEPTH.XLS_ANDREA.FR0010517417</stp>
        <stp>XLS_ANDREA</stp>
        <tr r="H15" s="23"/>
      </tp>
      <tp t="s">
        <v>OK</v>
        <stp/>
        <stp>4</stp>
        <stp>EUR.CM_DEPTH.XLS_ANDREA.IT0004009673</stp>
        <stp>XLS_ANDREA</stp>
        <tr r="H58" s="23"/>
      </tp>
      <tp t="s">
        <v>OK</v>
        <stp/>
        <stp>4</stp>
        <stp>EUR.CM_DEPTH.XLS_ANDREA.IT0004019581</stp>
        <stp>XLS_ANDREA</stp>
        <tr r="H5" s="23"/>
      </tp>
      <tp t="s">
        <v>OK</v>
        <stp/>
        <stp>4</stp>
        <stp>EUR.CM_DEPTH.XLS_ANDREA.FR0011317783</stp>
        <stp>XLS_ANDREA</stp>
        <tr r="H94" s="23"/>
      </tp>
      <tp t="s">
        <v>OK</v>
        <stp/>
        <stp>4</stp>
        <stp>EUR.CM_DEPTH.XLS_ANDREA.FR0011337880</stp>
        <stp>XLS_ANDREA</stp>
        <tr r="H68" s="23"/>
      </tp>
    </main>
    <main first="marketviewexcelplugin.mkvxp">
      <tp t="s">
        <v>OK</v>
        <stp/>
        <stp>4</stp>
        <stp>EUR.CM_DEPTH.XLS_ANDREA.FR0012557957</stp>
        <stp>XLS_ANDREA</stp>
        <tr r="H46" s="23"/>
      </tp>
      <tp t="s">
        <v>OK</v>
        <stp/>
        <stp>4</stp>
        <stp>EUR.CM_DEPTH.XLS_ANDREA.DE0001104602</stp>
        <stp>XLS_ANDREA</stp>
        <tr r="H128" s="23"/>
      </tp>
      <tp t="s">
        <v>OK</v>
        <stp/>
        <stp>4</stp>
        <stp>EUR.CM_DEPTH.XLS_ANDREA.DE0001104610</stp>
        <stp>XLS_ANDREA</stp>
        <tr r="H130" s="23"/>
      </tp>
      <tp t="s">
        <v>OK</v>
        <stp/>
        <stp>4</stp>
        <stp>EUR.CM_DEPTH.XLS_ANDREA.DE0001104628</stp>
        <stp>XLS_ANDREA</stp>
        <tr r="H132" s="23"/>
      </tp>
      <tp t="s">
        <v>OK</v>
        <stp/>
        <stp>4</stp>
        <stp>EUR.CM_DEPTH.XLS_ANDREA.DE0001104636</stp>
        <stp>XLS_ANDREA</stp>
        <tr r="H135" s="23"/>
      </tp>
      <tp t="s">
        <v>OK</v>
        <stp/>
        <stp>4</stp>
        <stp>EUR.CM_DEPTH.XLS_ANDREA.DE0001104644</stp>
        <stp>XLS_ANDREA</stp>
        <tr r="H137" s="23"/>
      </tp>
      <tp t="s">
        <v>OK</v>
        <stp/>
        <stp>4</stp>
        <stp>EUR.CM_DEPTH.XLS_ANDREA.DE0001104651</stp>
        <stp>XLS_ANDREA</stp>
        <tr r="H139" s="23"/>
      </tp>
    </main>
    <main first="marketviewexcelplugin.mkvxp">
      <tp t="s">
        <v>OK</v>
        <stp/>
        <stp>4</stp>
        <stp>EUR.CM_DEPTH.XLS_ANDREA.DE0001134922</stp>
        <stp>XLS_ANDREA</stp>
        <tr r="H162" s="23"/>
      </tp>
      <tp t="s">
        <v>OK</v>
        <stp/>
        <stp>4</stp>
        <stp>EUR.CM_DEPTH.XLS_ANDREA.IE00B4S3JD47</stp>
        <stp>XLS_ANDREA</stp>
        <tr r="H244" s="23"/>
      </tp>
      <tp>
        <v>43861</v>
        <stp/>
        <stp>0</stp>
        <stp>EUR.CM_INSTRUMENT.PXE.ES00000126C0</stp>
        <stp>DateMaturity</stp>
        <tr r="D195" s="23"/>
      </tp>
    </main>
    <main first="marketviewexcelplugin.mkvxp">
      <tp>
        <v>-0.26400000000000001</v>
        <stp/>
        <stp>0</stp>
        <stp>EUR.PRICING_MAIN.PXE.ES00000126V0</stp>
        <stp>MidYield</stp>
        <tr r="K186" s="23"/>
      </tp>
      <tp>
        <v>47057</v>
        <stp/>
        <stp>0</stp>
        <stp>EUR.CM_INSTRUMENT.PXE.ES00000124C5</stp>
        <stp>DateMaturity</stp>
        <tr r="D212" s="23"/>
      </tp>
      <tp>
        <v>-0.113</v>
        <stp/>
        <stp>0</stp>
        <stp>EUR.PRICING_MAIN.PXE.ES00000124V5</stp>
        <stp>MidYield</stp>
        <tr r="K192" s="23"/>
      </tp>
      <tp>
        <v>53631</v>
        <stp/>
        <stp>0</stp>
        <stp>EUR.CM_INSTRUMENT.PXE.ES00000128C6</stp>
        <stp>DateMaturity</stp>
        <tr r="D220" s="23"/>
      </tp>
      <tp>
        <v>46233</v>
        <stp/>
        <stp>0</stp>
        <stp>EUR.CM_INSTRUMENT.PXE.ES00000123C7</stp>
        <stp>DateMaturity</stp>
        <tr r="D210" s="23"/>
      </tp>
    </main>
    <main first="marketviewexcelplugin.mkvxp">
      <tp>
        <v>49.300000000000004</v>
        <stp/>
        <stp>0</stp>
        <stp>EUR.PRICING_MAIN.PXE.IT0004009673</stp>
        <stp>MidAssetSwap</stp>
        <tr r="Q34" s="7"/>
      </tp>
      <tp>
        <v>100.60000000000001</v>
        <stp/>
        <stp>0</stp>
        <stp>EUR.PRICING_MAIN.PXE.IT0005210650</stp>
        <stp>MidAssetSwap</stp>
        <tr r="Q57" s="7"/>
      </tp>
      <tp>
        <v>81.900000000000006</v>
        <stp/>
        <stp>0</stp>
        <stp>EUR.PRICING_MAIN.PXE.IT0004356843</stp>
        <stp>MidAssetSwap</stp>
        <tr r="Q45" s="7"/>
      </tp>
      <tp>
        <v>12.4</v>
        <stp/>
        <stp>0</stp>
        <stp>EUR.PRICING_MAIN.PXE.IT0004361041</stp>
        <stp>MidAssetSwap</stp>
        <tr r="Q15" s="7"/>
      </tp>
      <tp>
        <v>96.800000000000011</v>
        <stp/>
        <stp>0</stp>
        <stp>EUR.PRICING_MAIN.PXE.IT0005045270</stp>
        <stp>MidAssetSwap</stp>
        <tr r="Q50" s="7"/>
      </tp>
      <tp t="s">
        <v>OK</v>
        <stp/>
        <stp>4</stp>
        <stp>EUR.CM_DEPTH.XLS_ANDREA.FR0010776161</stp>
        <stp>XLS_ANDREA</stp>
        <tr r="H39" s="23"/>
      </tp>
      <tp t="s">
        <v>OK</v>
        <stp/>
        <stp>4</stp>
        <stp>EUR.CM_DEPTH.XLS_ANDREA.FR0011486067</stp>
        <stp>XLS_ANDREA</stp>
        <tr r="H72" s="23"/>
      </tp>
      <tp t="s">
        <v>OK</v>
        <stp/>
        <stp>4</stp>
        <stp>EUR.CM_DEPTH.XLS_ANDREA.IT0005028003</stp>
        <stp>XLS_ANDREA</stp>
        <tr r="H62" s="23"/>
      </tp>
      <tp t="s">
        <v>OK</v>
        <stp/>
        <stp>4</stp>
        <stp>EUR.CM_DEPTH.XLS_ANDREA.IT0004898034</stp>
        <stp>XLS_ANDREA</stp>
        <tr r="H71" s="23"/>
      </tp>
      <tp t="s">
        <v>OK</v>
        <stp/>
        <stp>4</stp>
        <stp>EUR.CM_DEPTH.XLS_ANDREA.IT0001278511</stp>
        <stp>XLS_ANDREA</stp>
        <tr r="H97" s="23"/>
      </tp>
      <tp t="s">
        <v>OK</v>
        <stp/>
        <stp>4</stp>
        <stp>EUR.CM_DEPTH.XLS_ANDREA.IT0005058463</stp>
        <stp>XLS_ANDREA</stp>
        <tr r="H17" s="23"/>
      </tp>
      <tp t="s">
        <v>OK</v>
        <stp/>
        <stp>4</stp>
        <stp>EUR.CM_DEPTH.XLS_ANDREA.FR0000187635</stp>
        <stp>XLS_ANDREA</stp>
        <tr r="H103" s="23"/>
      </tp>
      <tp t="s">
        <v>OK</v>
        <stp/>
        <stp>4</stp>
        <stp>EUR.CM_DEPTH.XLS_ANDREA.FR0010916924</stp>
        <stp>XLS_ANDREA</stp>
        <tr r="H88" s="23"/>
      </tp>
      <tp t="s">
        <v>OK</v>
        <stp/>
        <stp>4</stp>
        <stp>EUR.CM_DEPTH.XLS_ANDREA.FR0011196856</stp>
        <stp>XLS_ANDREA</stp>
        <tr r="H65" s="23"/>
      </tp>
      <tp t="s">
        <v>OK</v>
        <stp/>
        <stp>4</stp>
        <stp>EUR.CM_DEPTH.XLS_ANDREA.FR0010466938</stp>
        <stp>XLS_ANDREA</stp>
        <tr r="H75" s="23"/>
      </tp>
      <tp t="s">
        <v>OK</v>
        <stp/>
        <stp>4</stp>
        <stp>EUR.CM_DEPTH.XLS_ANDREA.IT0004848831</stp>
        <stp>XLS_ANDREA</stp>
        <tr r="H69" s="23"/>
      </tp>
      <tp t="s">
        <v>OK</v>
        <stp/>
        <stp>4</stp>
        <stp>EUR.CM_DEPTH.XLS_ANDREA.DE0001135481</stp>
        <stp>XLS_ANDREA</stp>
        <tr r="H180" s="23"/>
      </tp>
      <tp t="s">
        <v>OK</v>
        <stp/>
        <stp>4</stp>
        <stp>EUR.CM_DEPTH.XLS_ANDREA.DE0001135499</stp>
        <stp>XLS_ANDREA</stp>
        <tr r="H158" s="23"/>
      </tp>
      <tp t="s">
        <v>OK</v>
        <stp/>
        <stp>4</stp>
        <stp>EUR.CM_DEPTH.XLS_ANDREA.DE0001135408</stp>
        <stp>XLS_ANDREA</stp>
        <tr r="H148" s="23"/>
      </tp>
      <tp t="s">
        <v>OK</v>
        <stp/>
        <stp>4</stp>
        <stp>EUR.CM_DEPTH.XLS_ANDREA.DE0001135416</stp>
        <stp>XLS_ANDREA</stp>
        <tr r="H149" s="23"/>
      </tp>
      <tp t="s">
        <v>OK</v>
        <stp/>
        <stp>4</stp>
        <stp>EUR.CM_DEPTH.XLS_ANDREA.DE0001135424</stp>
        <stp>XLS_ANDREA</stp>
        <tr r="H151" s="23"/>
      </tp>
      <tp t="s">
        <v>OK</v>
        <stp/>
        <stp>4</stp>
        <stp>EUR.CM_DEPTH.XLS_ANDREA.DE0001135432</stp>
        <stp>XLS_ANDREA</stp>
        <tr r="H179" s="23"/>
      </tp>
      <tp t="s">
        <v>OK</v>
        <stp/>
        <stp>4</stp>
        <stp>EUR.CM_DEPTH.XLS_ANDREA.DE0001135440</stp>
        <stp>XLS_ANDREA</stp>
        <tr r="H153" s="23"/>
      </tp>
      <tp t="s">
        <v>OK</v>
        <stp/>
        <stp>4</stp>
        <stp>EUR.CM_DEPTH.XLS_ANDREA.DE0001135457</stp>
        <stp>XLS_ANDREA</stp>
        <tr r="H154" s="23"/>
      </tp>
      <tp t="s">
        <v>OK</v>
        <stp/>
        <stp>4</stp>
        <stp>EUR.CM_DEPTH.XLS_ANDREA.DE0001135465</stp>
        <stp>XLS_ANDREA</stp>
        <tr r="H156" s="23"/>
      </tp>
      <tp t="s">
        <v>OK</v>
        <stp/>
        <stp>4</stp>
        <stp>EUR.CM_DEPTH.XLS_ANDREA.DE0001135473</stp>
        <stp>XLS_ANDREA</stp>
        <tr r="H157" s="23"/>
      </tp>
      <tp t="s">
        <v>OK</v>
        <stp/>
        <stp>4</stp>
        <stp>EUR.CM_DEPTH.XLS_ANDREA.DE0001135382</stp>
        <stp>XLS_ANDREA</stp>
        <tr r="H144" s="23"/>
      </tp>
      <tp t="s">
        <v>OK</v>
        <stp/>
        <stp>4</stp>
        <stp>EUR.CM_DEPTH.XLS_ANDREA.DE0001135390</stp>
        <stp>XLS_ANDREA</stp>
        <tr r="H146" s="23"/>
      </tp>
      <tp t="s">
        <v>OK</v>
        <stp/>
        <stp>4</stp>
        <stp>EUR.CM_DEPTH.XLS_ANDREA.DE0001135325</stp>
        <stp>XLS_ANDREA</stp>
        <tr r="H177" s="23"/>
      </tp>
      <tp t="s">
        <v>OK</v>
        <stp/>
        <stp>4</stp>
        <stp>EUR.CM_DEPTH.XLS_ANDREA.DE0001135333</stp>
        <stp>XLS_ANDREA</stp>
        <tr r="H129" s="23"/>
      </tp>
      <tp t="s">
        <v>OK</v>
        <stp/>
        <stp>4</stp>
        <stp>EUR.CM_DEPTH.XLS_ANDREA.DE0001135341</stp>
        <stp>XLS_ANDREA</stp>
        <tr r="H133" s="23"/>
      </tp>
      <tp t="s">
        <v>OK</v>
        <stp/>
        <stp>4</stp>
        <stp>EUR.CM_DEPTH.XLS_ANDREA.DE0001135358</stp>
        <stp>XLS_ANDREA</stp>
        <tr r="H138" s="23"/>
      </tp>
      <tp t="s">
        <v>OK</v>
        <stp/>
        <stp>4</stp>
        <stp>EUR.CM_DEPTH.XLS_ANDREA.DE0001135366</stp>
        <stp>XLS_ANDREA</stp>
        <tr r="H178" s="23"/>
      </tp>
      <tp t="s">
        <v>OK</v>
        <stp/>
        <stp>4</stp>
        <stp>EUR.CM_DEPTH.XLS_ANDREA.DE0001135374</stp>
        <stp>XLS_ANDREA</stp>
        <tr r="H141" s="23"/>
      </tp>
      <tp t="s">
        <v>OK</v>
        <stp/>
        <stp>4</stp>
        <stp>EUR.CM_DEPTH.XLS_ANDREA.DE0001135226</stp>
        <stp>XLS_ANDREA</stp>
        <tr r="H175" s="23"/>
      </tp>
      <tp t="s">
        <v>OK</v>
        <stp/>
        <stp>4</stp>
        <stp>EUR.CM_DEPTH.XLS_ANDREA.DE0001135275</stp>
        <stp>XLS_ANDREA</stp>
        <tr r="H176" s="23"/>
      </tp>
      <tp t="s">
        <v>OK</v>
        <stp/>
        <stp>4</stp>
        <stp>EUR.CM_DEPTH.XLS_ANDREA.DE0001135143</stp>
        <stp>XLS_ANDREA</stp>
        <tr r="H173" s="23"/>
      </tp>
      <tp t="s">
        <v>OK</v>
        <stp/>
        <stp>4</stp>
        <stp>EUR.CM_DEPTH.XLS_ANDREA.DE0001135176</stp>
        <stp>XLS_ANDREA</stp>
        <tr r="H174" s="23"/>
      </tp>
      <tp t="s">
        <v>OK</v>
        <stp/>
        <stp>4</stp>
        <stp>EUR.CM_DEPTH.XLS_ANDREA.DE0001135085</stp>
        <stp>XLS_ANDREA</stp>
        <tr r="H172" s="23"/>
      </tp>
      <tp t="s">
        <v>OK</v>
        <stp/>
        <stp>4</stp>
        <stp>EUR.CM_DEPTH.XLS_ANDREA.DE0001135044</stp>
        <stp>XLS_ANDREA</stp>
        <tr r="H170" s="23"/>
      </tp>
      <tp t="s">
        <v>OK</v>
        <stp/>
        <stp>4</stp>
        <stp>EUR.CM_DEPTH.XLS_ANDREA.DE0001135069</stp>
        <stp>XLS_ANDREA</stp>
        <tr r="H171" s="23"/>
      </tp>
      <tp>
        <v>0.38500000000000001</v>
        <stp/>
        <stp>0</stp>
        <stp>EUR.PRICING_MAIN.PXE.ES00000123U9</stp>
        <stp>MidYield</stp>
        <tr r="K201" s="23"/>
      </tp>
      <tp>
        <v>21.636900000000001</v>
        <stp/>
        <stp>0</stp>
        <stp>EUR.PRICERISK.PXE.IT0005162828</stp>
        <stp>EffPV1Basis</stp>
        <tr r="W72" s="7"/>
      </tp>
      <tp>
        <v>9.0150000000000006</v>
        <stp/>
        <stp>0</stp>
        <stp>EUR.PRICERISK.PXE.IT0005170839</stp>
        <stp>EffPV1Basis</stp>
        <tr r="W55" s="7"/>
      </tp>
      <tp>
        <v>3.6457000000000002</v>
        <stp/>
        <stp>0</stp>
        <stp>EUR.PRICERISK.PXE.IT0004536949</stp>
        <stp>EffPV1Basis</stp>
        <tr r="W27" s="7"/>
      </tp>
      <tp>
        <v>2.5373000000000001</v>
        <stp/>
        <stp>0</stp>
        <stp>EUR.PRICERISK.PXE.IT0004423957</stp>
        <stp>EffPV1Basis</stp>
        <tr r="W19" s="7"/>
      </tp>
    </main>
    <main first="marketviewexcelplugin.mkvxp">
      <tp>
        <v>25.799700000000001</v>
        <stp/>
        <stp>0</stp>
        <stp>EUR.PRICERISK.PXE.IT0004923998</stp>
        <stp>EffPV1Basis</stp>
        <tr r="W70" s="7"/>
      </tp>
    </main>
    <main first="marketviewexcelplugin.mkvxp">
      <tp>
        <v>4.1859999999999999</v>
        <stp/>
        <stp>0</stp>
        <stp>EUR.PRICERISK.PXE.IT0004594930</stp>
        <stp>EffPV1Basis</stp>
        <tr r="W29" s="7"/>
      </tp>
      <tp>
        <v>5.9316000000000004</v>
        <stp/>
        <stp>0</stp>
        <stp>EUR.PRICERISK.PXE.IT0005135840</stp>
        <stp>EffPV1Basis</stp>
        <tr r="W41" s="7"/>
      </tp>
      <tp>
        <v>22.582100000000001</v>
        <stp/>
        <stp>0</stp>
        <stp>EUR.PRICERISK.PXE.IT0004286966</stp>
        <stp>EffPV1Basis</stp>
        <tr r="W68" s="7"/>
      </tp>
      <tp>
        <v>5.5349000000000004</v>
        <stp/>
        <stp>0</stp>
        <stp>EUR.PRICERISK.PXE.IT0005086886</stp>
        <stp>EffPV1Basis</stp>
        <tr r="W39" s="7"/>
      </tp>
      <tp>
        <v>100.7</v>
        <stp/>
        <stp>0</stp>
        <stp>EUR.PRICING_MAIN.PXE.IT0005001547</stp>
        <stp>MidAssetSwap</stp>
        <tr r="Q49" s="7"/>
      </tp>
      <tp>
        <v>178.10000000000002</v>
        <stp/>
        <stp>0</stp>
        <stp>EUR.PRICING_MAIN.PXE.IT0004286966</stp>
        <stp>MidAssetSwap</stp>
        <tr r="Q68" s="7"/>
      </tp>
      <tp t="s">
        <v>OK</v>
        <stp/>
        <stp>4</stp>
        <stp>EUR.CM_DEPTH.XLS_ANDREA.FR0010415331</stp>
        <stp>XLS_ANDREA</stp>
        <tr r="H10" s="23"/>
      </tp>
      <tp>
        <v>3.5000000000000003E-2</v>
        <stp/>
        <stp>0</stp>
        <stp>EUR.PRICING_MAIN.PXE.ES00000122T3</stp>
        <stp>MidYield</stp>
        <tr r="K198" s="23"/>
      </tp>
      <tp>
        <v>43496</v>
        <stp/>
        <stp>0</stp>
        <stp>EUR.CM_INSTRUMENT.PXE.ES00000128A0</stp>
        <stp>DateMaturity</stp>
        <tr r="D191" s="23"/>
      </tp>
      <tp>
        <v>47694</v>
        <stp/>
        <stp>0</stp>
        <stp>EUR.CM_INSTRUMENT.PXE.ES00000127A2</stp>
        <stp>DateMaturity</stp>
        <tr r="D214" s="23"/>
      </tp>
      <tp>
        <v>43311</v>
        <stp/>
        <stp>0</stp>
        <stp>EUR.CM_INSTRUMENT.PXE.ES00000121A5</stp>
        <stp>DateMaturity</stp>
        <tr r="D189" s="23"/>
      </tp>
    </main>
    <main first="marketviewexcelplugin.mkvxp">
      <tp>
        <v>16.258400000000002</v>
        <stp/>
        <stp>0</stp>
        <stp>EUR.PRICERISK.PXE.IT0005177909</stp>
        <stp>EffPV1Basis</stp>
        <tr r="W66" s="7"/>
      </tp>
      <tp>
        <v>2.9885999999999999</v>
        <stp/>
        <stp>0</stp>
        <stp>EUR.PRICERISK.PXE.IT0005217929</stp>
        <stp>EffPV1Basis</stp>
        <tr r="W24" s="7"/>
      </tp>
      <tp>
        <v>7.5217999999999998</v>
        <stp/>
        <stp>0</stp>
        <stp>EUR.PRICERISK.PXE.IT0004356843</stp>
        <stp>EffPV1Basis</stp>
        <tr r="W45" s="7"/>
      </tp>
      <tp>
        <v>8.8200000000000001E-2</v>
        <stp/>
        <stp>0</stp>
        <stp>EUR.PRICERISK.PXE.IT0004960826</stp>
        <stp>EffPV1Basis</stp>
        <tr r="W3" s="7"/>
      </tp>
      <tp>
        <v>6.8182999999999998</v>
        <stp/>
        <stp>0</stp>
        <stp>EUR.PRICERISK.PXE.IT0004848831</stp>
        <stp>EffPV1Basis</stp>
        <tr r="W42" s="7"/>
      </tp>
      <tp>
        <v>1.6955</v>
        <stp/>
        <stp>0</stp>
        <stp>EUR.PRICERISK.PXE.IT0004907843</stp>
        <stp>EffPV1Basis</stp>
        <tr r="W14" s="7"/>
      </tp>
      <tp>
        <v>64.5</v>
        <stp/>
        <stp>0</stp>
        <stp>EUR.PRICING_MAIN.PXE.IT0005135840</stp>
        <stp>MidAssetSwap</stp>
        <tr r="Q41" s="7"/>
      </tp>
      <tp>
        <v>117.80000000000001</v>
        <stp/>
        <stp>0</stp>
        <stp>EUR.PRICING_MAIN.PXE.IT0004644735</stp>
        <stp>MidAssetSwap</stp>
        <tr r="Q54" s="7"/>
      </tp>
      <tp>
        <v>41.300000000000004</v>
        <stp/>
        <stp>0</stp>
        <stp>EUR.PRICING_MAIN.PXE.IT0004634132</stp>
        <stp>MidAssetSwap</stp>
        <tr r="Q31" s="7"/>
      </tp>
      <tp>
        <v>33.1</v>
        <stp/>
        <stp>0</stp>
        <stp>EUR.PRICING_MAIN.PXE.IT0005142143</stp>
        <stp>MidAssetSwap</stp>
        <tr r="Q30" s="7"/>
      </tp>
    </main>
    <main first="marketviewexcelplugin.mkvxp">
      <tp>
        <v>-0.47100000000000003</v>
        <stp/>
        <stp>0</stp>
        <stp>EUR.PRICING_MAIN.PXE.IE00B2QTFG59</stp>
        <stp>MidYield</stp>
        <tr r="K239" s="23"/>
      </tp>
      <tp>
        <v>-13.5</v>
        <stp/>
        <stp>0</stp>
        <stp>EUR.PRICING_MAIN.PXE.IT0005023459</stp>
        <stp>MidAssetSwap</stp>
        <tr r="Q7" s="7"/>
      </tp>
      <tp>
        <v>27</v>
        <stp/>
        <stp>0</stp>
        <stp>EUR.PRICING_MAIN.PXE.IT0004489610</stp>
        <stp>MidAssetSwap</stp>
        <tr r="Q23" s="7"/>
      </tp>
      <tp>
        <v>5.8000000000000007</v>
        <stp/>
        <stp>0</stp>
        <stp>EUR.PRICING_MAIN.PXE.IT0005106049</stp>
        <stp>MidAssetSwap</stp>
        <tr r="Q13" s="7"/>
      </tp>
      <tp>
        <v>166</v>
        <stp/>
        <stp>0</stp>
        <stp>EUR.PRICING_MAIN.PXE.IT0005083057</stp>
        <stp>MidAssetSwap</stp>
        <tr r="Q71" s="7"/>
      </tp>
      <tp t="s">
        <v>OK</v>
        <stp/>
        <stp>4</stp>
        <stp>EUR.CM_DEPTH.XLS_ANDREA.FR0010854182</stp>
        <stp>XLS_ANDREA</stp>
        <tr r="H44" s="23"/>
      </tp>
      <tp t="s">
        <v>OK</v>
        <stp/>
        <stp>4</stp>
        <stp>EUR.CM_DEPTH.XLS_ANDREA.FR0013154028</stp>
        <stp>XLS_ANDREA</stp>
        <tr r="H121" s="23"/>
      </tp>
      <tp t="s">
        <v>OK</v>
        <stp/>
        <stp>4</stp>
        <stp>EUR.CM_DEPTH.XLS_ANDREA.FR0013154044</stp>
        <stp>XLS_ANDREA</stp>
        <tr r="H107" s="23"/>
      </tp>
      <tp t="s">
        <v>OK</v>
        <stp/>
        <stp>4</stp>
        <stp>EUR.CM_DEPTH.XLS_ANDREA.FR0011394345</stp>
        <stp>XLS_ANDREA</stp>
        <tr r="H22" s="23"/>
      </tp>
      <tp t="s">
        <v>OK</v>
        <stp/>
        <stp>4</stp>
        <stp>EUR.CM_DEPTH.XLS_ANDREA.FR0012634558</stp>
        <stp>XLS_ANDREA</stp>
        <tr r="H19" s="23"/>
      </tp>
      <tp t="s">
        <v>OK</v>
        <stp/>
        <stp>4</stp>
        <stp>EUR.CM_DEPTH.XLS_ANDREA.FR0010604983</stp>
        <stp>XLS_ANDREA</stp>
        <tr r="H20" s="23"/>
      </tp>
      <tp t="s">
        <v>OK</v>
        <stp/>
        <stp>4</stp>
        <stp>EUR.CM_DEPTH.XLS_ANDREA.DE0001137487</stp>
        <stp>XLS_ANDREA</stp>
        <tr r="H124" s="23"/>
      </tp>
      <tp t="s">
        <v>OK</v>
        <stp/>
        <stp>4</stp>
        <stp>EUR.CM_DEPTH.XLS_ANDREA.DE0001137495</stp>
        <stp>XLS_ANDREA</stp>
        <tr r="H126" s="23"/>
      </tp>
      <tp t="s">
        <v>OK</v>
        <stp/>
        <stp>4</stp>
        <stp>EUR.CM_DEPTH.XLS_ANDREA.DE0001137479</stp>
        <stp>XLS_ANDREA</stp>
        <tr r="H122" s="23"/>
      </tp>
    </main>
    <main first="marketviewexcelplugin.mkvxp">
      <tp>
        <v>51347</v>
        <stp/>
        <stp>0</stp>
        <stp>EUR.CM_INSTRUMENT.PXE.ES00000120N0</stp>
        <stp>DateMaturity</stp>
        <tr r="D217" s="23"/>
      </tp>
    </main>
    <main first="bloomberg.rtd">
      <tp t="b">
        <v>0</v>
        <stp/>
        <stp>##V3_BCURVEINTV12</stp>
        <stp>[Andrea New RollM.xlsm]SPF!R36C8</stp>
        <stp>EUR.OIS:BLOOMBERG DC 272086</stp>
        <stp>Zc.Mid</stp>
        <stp>20321014</stp>
        <stp>Frequency=Annual</stp>
        <stp>DayCount=D30_360_EOMC</stp>
        <tr r="H36" s="4"/>
      </tp>
      <tp t="b">
        <v>0</v>
        <stp/>
        <stp>##V3_BCURVEINTV12</stp>
        <stp>[Andrea New RollM.xlsm]SPF!R23C8</stp>
        <stp>EUR.OIS:BLOOMBERG DC 272086</stp>
        <stp>Zc.Mid</stp>
        <stp>20260414</stp>
        <stp>Frequency=Annual</stp>
        <stp>DayCount=D30_360_EOMC</stp>
        <tr r="H23" s="4"/>
      </tp>
      <tp t="b">
        <v>0</v>
        <stp/>
        <stp>##V3_BCURVEINTV12</stp>
        <stp>[Andrea New RollM.xlsm]SPF!R34C8</stp>
        <stp>EUR.OIS:BLOOMBERG DC 272086</stp>
        <stp>Zc.Mid</stp>
        <stp>20311014</stp>
        <stp>Frequency=Annual</stp>
        <stp>DayCount=D30_360_EOMC</stp>
        <tr r="H34" s="4"/>
      </tp>
      <tp t="b">
        <v>0</v>
        <stp/>
        <stp>##V3_BCURVEINTV12</stp>
        <stp>[Andrea New RollM.xlsm]SPF!R21C8</stp>
        <stp>EUR.OIS:BLOOMBERG DC 272086</stp>
        <stp>Zc.Mid</stp>
        <stp>20250414</stp>
        <stp>Frequency=Annual</stp>
        <stp>DayCount=D30_360_EOMC</stp>
        <tr r="H21" s="4"/>
      </tp>
    </main>
    <main first="marketviewexcelplugin.mkvxp">
      <tp>
        <v>9.2277000000000005</v>
        <stp/>
        <stp>0</stp>
        <stp>EUR.PRICERISK.PXE.IT0005210650</stp>
        <stp>EffPV1Basis</stp>
        <tr r="W57" s="7"/>
      </tp>
    </main>
    <main first="bloomberg.rtd">
      <tp t="b">
        <v>0</v>
        <stp/>
        <stp>##V3_BCURVEINTV12</stp>
        <stp>[Andrea New RollM.xlsm]SPF!R32C8</stp>
        <stp>EUR.OIS:BLOOMBERG DC 272086</stp>
        <stp>Zc.Mid</stp>
        <stp>20301014</stp>
        <stp>Frequency=Annual</stp>
        <stp>DayCount=D30_360_EOMC</stp>
        <tr r="H32" s="4"/>
      </tp>
    </main>
    <main first="marketviewexcelplugin.mkvxp">
      <tp>
        <v>0.30559999999999998</v>
        <stp/>
        <stp>0</stp>
        <stp>EUR.PRICERISK.PXE.IT0004164775</stp>
        <stp>EffPV1Basis</stp>
        <tr r="W5" s="7"/>
      </tp>
    </main>
    <main first="bloomberg.rtd">
      <tp t="b">
        <v>0</v>
        <stp/>
        <stp>##V3_BCURVEINTV12</stp>
        <stp>[Andrea New RollM.xlsm]SPF!R27C8</stp>
        <stp>EUR.OIS:BLOOMBERG DC 272086</stp>
        <stp>Zc.Mid</stp>
        <stp>20280418</stp>
        <stp>Frequency=Annual</stp>
        <stp>DayCount=D30_360_EOMC</stp>
        <tr r="H27" s="4"/>
      </tp>
    </main>
    <main first="marketviewexcelplugin.mkvxp">
      <tp>
        <v>10.050599999999999</v>
        <stp/>
        <stp>0</stp>
        <stp>EUR.PRICERISK.PXE.IT0004644735</stp>
        <stp>EffPV1Basis</stp>
        <tr r="W54" s="7"/>
      </tp>
    </main>
    <main first="bloomberg.rtd">
      <tp t="b">
        <v>0</v>
        <stp/>
        <stp>##V3_BCURVEINTV12</stp>
        <stp>[Andrea New RollM.xlsm]SPF!R30C8</stp>
        <stp>EUR.OIS:BLOOMBERG DC 272086</stp>
        <stp>Zc.Mid</stp>
        <stp>20291015</stp>
        <stp>Frequency=Annual</stp>
        <stp>DayCount=D30_360_EOMC</stp>
        <tr r="H30" s="4"/>
      </tp>
      <tp t="b">
        <v>0</v>
        <stp/>
        <stp>##V3_BCURVEINTV12</stp>
        <stp>[Andrea New RollM.xlsm]SPF!R25C8</stp>
        <stp>EUR.OIS:BLOOMBERG DC 272086</stp>
        <stp>Zc.Mid</stp>
        <stp>20270414</stp>
        <stp>Frequency=Annual</stp>
        <stp>DayCount=D30_360_EOMC</stp>
        <tr r="H25" s="4"/>
      </tp>
      <tp t="b">
        <v>0</v>
        <stp/>
        <stp>##V3_BCURVEINTV12</stp>
        <stp>[Andrea New RollM.xlsm]SPF!R29C8</stp>
        <stp>EUR.OIS:BLOOMBERG DC 272086</stp>
        <stp>Zc.Mid</stp>
        <stp>20290416</stp>
        <stp>Frequency=Annual</stp>
        <stp>DayCount=D30_360_EOMC</stp>
        <tr r="H29" s="4"/>
      </tp>
      <tp t="b">
        <v>0</v>
        <stp/>
        <stp>##V3_BCURVEINTV12</stp>
        <stp>[Andrea New RollM.xlsm]SPF!R38C8</stp>
        <stp>EUR.OIS:BLOOMBERG DC 272086</stp>
        <stp>Zc.Mid</stp>
        <stp>20331014</stp>
        <stp>Frequency=Annual</stp>
        <stp>DayCount=D30_360_EOMC</stp>
        <tr r="H38" s="4"/>
      </tp>
    </main>
    <main first="marketviewexcelplugin.mkvxp">
      <tp>
        <v>-15.3</v>
        <stp/>
        <stp>0</stp>
        <stp>EUR.PRICING_MAIN.PXE.IT0004820426</stp>
        <stp>MidAssetSwap</stp>
        <tr r="Q8" s="7"/>
      </tp>
      <tp t="s">
        <v>OK</v>
        <stp/>
        <stp>4</stp>
        <stp>EUR.CM_DEPTH.XLS_ANDREA.IT0005045270</stp>
        <stp>XLS_ANDREA</stp>
        <tr r="H81" s="23"/>
      </tp>
      <tp t="s">
        <v>OK</v>
        <stp/>
        <stp>4</stp>
        <stp>EUR.CM_DEPTH.XLS_ANDREA.IT0005215246</stp>
        <stp>XLS_ANDREA</stp>
        <tr r="H74" s="23"/>
      </tp>
      <tp t="s">
        <v>OK</v>
        <stp/>
        <stp>4</stp>
        <stp>EUR.CM_DEPTH.XLS_ANDREA.IT0004695075</stp>
        <stp>XLS_ANDREA</stp>
        <tr r="H59" s="23"/>
      </tp>
      <tp t="s">
        <v>OK</v>
        <stp/>
        <stp>4</stp>
        <stp>EUR.CM_DEPTH.XLS_ANDREA.IT0003535157</stp>
        <stp>XLS_ANDREA</stp>
        <tr r="H105" s="23"/>
      </tp>
      <tp t="s">
        <v>OK</v>
        <stp/>
        <stp>4</stp>
        <stp>EUR.CM_DEPTH.XLS_ANDREA.IT0005175598</stp>
        <stp>XLS_ANDREA</stp>
        <tr r="H56" s="23"/>
      </tp>
    </main>
    <main first="marketviewexcelplugin.mkvxp">
      <tp t="s">
        <v>OK</v>
        <stp/>
        <stp>4</stp>
        <stp>EUR.CM_DEPTH.XLS_ANDREA.IT0005135840</stp>
        <stp>XLS_ANDREA</stp>
        <tr r="H67" s="23"/>
      </tp>
      <tp t="s">
        <v>OK</v>
        <stp/>
        <stp>4</stp>
        <stp>EUR.CM_DEPTH.XLS_ANDREA.IE00B2QTFG59</stp>
        <stp>XLS_ANDREA</stp>
        <tr r="H239" s="23"/>
      </tp>
      <tp>
        <v>1.0549999999999999</v>
        <stp/>
        <stp>0</stp>
        <stp>EUR.PRICING_MAIN.PXE.ES00000127Z9</stp>
        <stp>MidYield</stp>
        <tr r="K209" s="23"/>
      </tp>
      <tp>
        <v>0.877</v>
        <stp/>
        <stp>0</stp>
        <stp>EUR.PRICING_MAIN.PXE.ES00000126Z1</stp>
        <stp>MidYield</stp>
        <tr r="K206" s="23"/>
      </tp>
      <tp>
        <v>43769</v>
        <stp/>
        <stp>0</stp>
        <stp>EUR.CM_INSTRUMENT.PXE.ES00000121O6</stp>
        <stp>DateMaturity</stp>
        <tr r="D194" s="23"/>
      </tp>
      <tp>
        <v>16.485600000000002</v>
        <stp/>
        <stp>0</stp>
        <stp>EUR.PRICERISK.PXE.IT0001444378</stp>
        <stp>EffPV1Basis</stp>
        <tr r="W62" s="7"/>
      </tp>
    </main>
    <main first="bloomberg.rtd">
      <tp t="b">
        <v>0</v>
        <stp/>
        <stp>##V3_BCURVEINTV12</stp>
        <stp>[Andrea New RollM.xlsm]SPF!R26C8</stp>
        <stp>EUR.OIS:BLOOMBERG DC 272086</stp>
        <stp>Zc.Mid</stp>
        <stp>20271014</stp>
        <stp>Frequency=Annual</stp>
        <stp>DayCount=D30_360_EOMC</stp>
        <tr r="H26" s="4"/>
      </tp>
      <tp>
        <v>18.041181940562939</v>
        <stp/>
        <stp>##V3_BDPV12</stp>
        <stp>IT0004867070 Corp</stp>
        <stp>YAS_ZSPREAD</stp>
        <stp>[Andrea New RollM.xlsm]Ita!R10C18</stp>
        <stp>YAS_BOND_PX</stp>
        <stp>103.894000000000005</stp>
        <tr r="R10" s="7"/>
      </tp>
      <tp t="b">
        <v>0</v>
        <stp/>
        <stp>##V3_BCURVEINTV12</stp>
        <stp>[Andrea New RollM.xlsm]SPF!R33C8</stp>
        <stp>EUR.OIS:BLOOMBERG DC 272086</stp>
        <stp>Zc.Mid</stp>
        <stp>20310415</stp>
        <stp>Frequency=Annual</stp>
        <stp>DayCount=D30_360_EOMC</stp>
        <tr r="H33" s="4"/>
      </tp>
    </main>
    <main first="marketviewexcelplugin.mkvxp">
      <tp>
        <v>3.5880000000000001</v>
        <stp/>
        <stp>0</stp>
        <stp>EUR.PRICERISK.PXE.IT0005107708</stp>
        <stp>EffPV1Basis</stp>
        <tr r="W28" s="7"/>
      </tp>
      <tp>
        <v>9.2403999999999993</v>
        <stp/>
        <stp>0</stp>
        <stp>EUR.PRICERISK.PXE.IT0004513641</stp>
        <stp>EffPV1Basis</stp>
        <tr r="W51" s="7"/>
      </tp>
    </main>
    <main first="bloomberg.rtd">
      <tp t="b">
        <v>0</v>
        <stp/>
        <stp>##V3_BCURVEINTV12</stp>
        <stp>[Andrea New RollM.xlsm]SPF!R24C8</stp>
        <stp>EUR.OIS:BLOOMBERG DC 272086</stp>
        <stp>Zc.Mid</stp>
        <stp>20261014</stp>
        <stp>Frequency=Annual</stp>
        <stp>DayCount=D30_360_EOMC</stp>
        <tr r="H24" s="4"/>
      </tp>
    </main>
    <main first="marketviewexcelplugin.mkvxp">
      <tp>
        <v>18.5319</v>
        <stp/>
        <stp>0</stp>
        <stp>EUR.PRICERISK.PXE.IT0003535157</stp>
        <stp>EffPV1Basis</stp>
        <tr r="W65" s="7"/>
      </tp>
      <tp>
        <v>5.9718999999999998</v>
        <stp/>
        <stp>0</stp>
        <stp>EUR.PRICERISK.PXE.IT0004759673</stp>
        <stp>EffPV1Basis</stp>
        <tr r="W38" s="7"/>
      </tp>
    </main>
    <main first="bloomberg.rtd">
      <tp t="b">
        <v>0</v>
        <stp/>
        <stp>##V3_BCURVEINTV12</stp>
        <stp>[Andrea New RollM.xlsm]SPF!R31C8</stp>
        <stp>EUR.OIS:BLOOMBERG DC 272086</stp>
        <stp>Zc.Mid</stp>
        <stp>20300415</stp>
        <stp>Frequency=Annual</stp>
        <stp>DayCount=D30_360_EOMC</stp>
        <tr r="H31" s="4"/>
      </tp>
    </main>
    <main first="marketviewexcelplugin.mkvxp">
      <tp>
        <v>5.1712999999999996</v>
        <stp/>
        <stp>0</stp>
        <stp>EUR.PRICERISK.PXE.IT0004009673</stp>
        <stp>EffPV1Basis</stp>
        <tr r="W34" s="7"/>
      </tp>
    </main>
    <main first="bloomberg.rtd">
      <tp t="b">
        <v>0</v>
        <stp/>
        <stp>##V3_BCURVEINTV12</stp>
        <stp>[Andrea New RollM.xlsm]SPF!R22C8</stp>
        <stp>EUR.OIS:BLOOMBERG DC 272086</stp>
        <stp>Zc.Mid</stp>
        <stp>20251014</stp>
        <stp>Frequency=Annual</stp>
        <stp>DayCount=D30_360_EOMC</stp>
        <tr r="H22" s="4"/>
      </tp>
      <tp t="b">
        <v>0</v>
        <stp/>
        <stp>##V3_BCURVEINTV12</stp>
        <stp>[Andrea New RollM.xlsm]SPF!R37C8</stp>
        <stp>EUR.OIS:BLOOMBERG DC 272086</stp>
        <stp>Zc.Mid</stp>
        <stp>20330414</stp>
        <stp>Frequency=Annual</stp>
        <stp>DayCount=D30_360_EOMC</stp>
        <tr r="H37" s="4"/>
      </tp>
    </main>
    <main first="marketviewexcelplugin.mkvxp">
      <tp>
        <v>3.0859000000000001</v>
        <stp/>
        <stp>0</stp>
        <stp>EUR.PRICERISK.PXE.IT0004489610</stp>
        <stp>EffPV1Basis</stp>
        <tr r="W23" s="7"/>
      </tp>
    </main>
    <main first="bloomberg.rtd">
      <tp t="b">
        <v>0</v>
        <stp/>
        <stp>##V3_BCURVEINTV12</stp>
        <stp>[Andrea New RollM.xlsm]SPF!R20C8</stp>
        <stp>EUR.OIS:BLOOMBERG DC 272086</stp>
        <stp>Zc.Mid</stp>
        <stp>20241014</stp>
        <stp>Frequency=Annual</stp>
        <stp>DayCount=D30_360_EOMC</stp>
        <tr r="H20" s="4"/>
      </tp>
      <tp t="b">
        <v>0</v>
        <stp/>
        <stp>##V3_BCURVEINTV12</stp>
        <stp>[Andrea New RollM.xlsm]SPF!R35C8</stp>
        <stp>EUR.OIS:BLOOMBERG DC 272086</stp>
        <stp>Zc.Mid</stp>
        <stp>20320414</stp>
        <stp>Frequency=Annual</stp>
        <stp>DayCount=D30_360_EOMC</stp>
        <tr r="H35" s="4"/>
      </tp>
      <tp t="b">
        <v>0</v>
        <stp/>
        <stp>##V3_BCURVEINTV12</stp>
        <stp>[Andrea New RollM.xlsm]SPF!R39C8</stp>
        <stp>EUR.OIS:BLOOMBERG DC 272086</stp>
        <stp>Zc.Mid</stp>
        <stp>20340414</stp>
        <stp>Frequency=Annual</stp>
        <stp>DayCount=D30_360_EOMC</stp>
        <tr r="H39" s="4"/>
      </tp>
      <tp t="b">
        <v>0</v>
        <stp/>
        <stp>##V3_BCURVEINTV12</stp>
        <stp>[Andrea New RollM.xlsm]SPF!R28C8</stp>
        <stp>EUR.OIS:BLOOMBERG DC 272086</stp>
        <stp>Zc.Mid</stp>
        <stp>20281016</stp>
        <stp>Frequency=Annual</stp>
        <stp>DayCount=D30_360_EOMC</stp>
        <tr r="H28" s="4"/>
      </tp>
    </main>
    <main first="marketviewexcelplugin.mkvxp">
      <tp>
        <v>7.7</v>
        <stp/>
        <stp>0</stp>
        <stp>EUR.PRICING_MAIN.PXE.IT0004960826</stp>
        <stp>MidAssetSwap</stp>
        <tr r="Q3" s="7"/>
      </tp>
      <tp>
        <v>50.1</v>
        <stp/>
        <stp>0</stp>
        <stp>EUR.PRICING_MAIN.PXE.IT0005216491</stp>
        <stp>MidAssetSwap</stp>
        <tr r="Q36" s="7"/>
      </tp>
      <tp>
        <v>199.5</v>
        <stp/>
        <stp>0</stp>
        <stp>EUR.PRICING_MAIN.PXE.IT0005217390</stp>
        <stp>MidAssetSwap</stp>
        <tr r="Q73" s="7"/>
      </tp>
      <tp>
        <v>-3.2</v>
        <stp/>
        <stp>0</stp>
        <stp>EUR.PRICING_MAIN.PXE.IT0004273493</stp>
        <stp>MidAssetSwap</stp>
        <tr r="Q12" s="7"/>
      </tp>
      <tp>
        <v>77.800000000000011</v>
        <stp/>
        <stp>0</stp>
        <stp>EUR.PRICING_MAIN.PXE.IT0004848831</stp>
        <stp>MidAssetSwap</stp>
        <tr r="Q42" s="7"/>
      </tp>
    </main>
    <main first="marketviewexcelplugin.mkvxp">
      <tp>
        <v>126.5</v>
        <stp/>
        <stp>0</stp>
        <stp>EUR.PRICING_MAIN.PXE.IT0004889033</stp>
        <stp>MidAssetSwap</stp>
        <tr r="Q59" s="7"/>
      </tp>
      <tp>
        <v>81.900000000000006</v>
        <stp/>
        <stp>0</stp>
        <stp>EUR.PRICING_MAIN.PXE.IT0004898034</stp>
        <stp>MidAssetSwap</stp>
        <tr r="Q44" s="7"/>
      </tp>
      <tp t="s">
        <v>OK</v>
        <stp/>
        <stp>4</stp>
        <stp>EUR.CM_DEPTH.XLS_ANDREA.IT0001174611</stp>
        <stp>XLS_ANDREA</stp>
        <tr r="H95" s="23"/>
      </tp>
      <tp t="s">
        <v>OK</v>
        <stp/>
        <stp>4</stp>
        <stp>EUR.CM_DEPTH.XLS_ANDREA.IT0005024234</stp>
        <stp>XLS_ANDREA</stp>
        <tr r="H98" s="23"/>
      </tp>
      <tp t="s">
        <v>OK</v>
        <stp/>
        <stp>4</stp>
        <stp>EUR.CM_DEPTH.XLS_ANDREA.IT0005094088</stp>
        <stp>XLS_ANDREA</stp>
        <tr r="H102" s="23"/>
      </tp>
      <tp t="s">
        <v>OK</v>
        <stp/>
        <stp>4</stp>
        <stp>EUR.CM_DEPTH.XLS_ANDREA.IT0003934657</stp>
        <stp>XLS_ANDREA</stp>
        <tr r="H109" s="23"/>
      </tp>
      <tp t="s">
        <v>OK</v>
        <stp/>
        <stp>4</stp>
        <stp>EUR.CM_DEPTH.XLS_ANDREA.IT0004634132</stp>
        <stp>XLS_ANDREA</stp>
        <tr r="H52" s="23"/>
      </tp>
      <tp t="s">
        <v>OK</v>
        <stp/>
        <stp>4</stp>
        <stp>EUR.CM_DEPTH.XLS_ANDREA.IT0003644769</stp>
        <stp>XLS_ANDREA</stp>
        <tr r="H42" s="23"/>
      </tp>
      <tp t="s">
        <v>OK</v>
        <stp/>
        <stp>4</stp>
        <stp>EUR.CM_DEPTH.XLS_ANDREA.IT0004644735</stp>
        <stp>XLS_ANDREA</stp>
        <tr r="H87" s="23"/>
      </tp>
      <tp t="s">
        <v>OK</v>
        <stp/>
        <stp>4</stp>
        <stp>EUR.CM_DEPTH.XLS_ANDREA.IT0004164775</stp>
        <stp>XLS_ANDREA</stp>
        <tr r="H9" s="23"/>
      </tp>
      <tp t="s">
        <v>OK</v>
        <stp/>
        <stp>4</stp>
        <stp>EUR.CM_DEPTH.XLS_ANDREA.IT0001444378</stp>
        <stp>XLS_ANDREA</stp>
        <tr r="H100" s="23"/>
      </tp>
    </main>
    <main first="marketviewexcelplugin.mkvxp">
      <tp t="s">
        <v>OK</v>
        <stp/>
        <stp>4</stp>
        <stp>EUR.CM_DEPTH.XLS_ANDREA.IT0004594930</stp>
        <stp>XLS_ANDREA</stp>
        <tr r="H47" s="23"/>
      </tp>
    </main>
    <main first="bloomberg.rtd">
      <tp t="s">
        <v>01/03/2017</v>
        <stp/>
        <stp>##V3_BDPV12</stp>
        <stp>IT0004584204 Corp</stp>
        <stp>Maturity</stp>
        <stp>[Andrea New RollM.xlsm]CCT!R5C4</stp>
        <tr r="D5" s="27"/>
      </tp>
    </main>
    <main first="marketviewexcelplugin.mkvxp">
      <tp>
        <v>43676</v>
        <stp/>
        <stp>0</stp>
        <stp>EUR.CM_INSTRUMENT.PXE.ES00000121L2</stp>
        <stp>DateMaturity</stp>
        <tr r="D193" s="23"/>
      </tp>
    </main>
    <main first="bloomberg.rtd">
      <tp t="b">
        <v>0</v>
        <stp/>
        <stp>##V3_BCURVEINTV12</stp>
        <stp>[Andrea New RollM.xlsm]SPF!R16C8</stp>
        <stp>EUR.OIS:BLOOMBERG DC 272086</stp>
        <stp>Zc.Mid</stp>
        <stp>20221014</stp>
        <stp>Frequency=Annual</stp>
        <stp>DayCount=D30_360_EOMC</stp>
        <tr r="H16" s="4"/>
      </tp>
    </main>
    <main first="marketviewexcelplugin.mkvxp">
      <tp>
        <v>2.4369000000000001</v>
        <stp/>
        <stp>0</stp>
        <stp>EUR.PRICERISK.PXE.IT0003493258</stp>
        <stp>EffPV1Basis</stp>
        <tr r="W18" s="7"/>
      </tp>
    </main>
    <main first="bloomberg.rtd">
      <tp t="b">
        <v>0</v>
        <stp/>
        <stp>##V3_BCURVEINTV12</stp>
        <stp>[Andrea New RollM.xlsm]SPF!R14C8</stp>
        <stp>EUR.OIS:BLOOMBERG DC 272086</stp>
        <stp>Zc.Mid</stp>
        <stp>20211014</stp>
        <stp>Frequency=Annual</stp>
        <stp>DayCount=D30_360_EOMC</stp>
        <tr r="H14" s="4"/>
      </tp>
    </main>
    <main first="marketviewexcelplugin.mkvxp">
      <tp>
        <v>23.345800000000001</v>
        <stp/>
        <stp>0</stp>
        <stp>EUR.PRICERISK.PXE.IT0004532559</stp>
        <stp>EffPV1Basis</stp>
        <tr r="W69" s="7"/>
      </tp>
    </main>
    <main first="bloomberg.rtd">
      <tp t="b">
        <v>0</v>
        <stp/>
        <stp>##V3_BCURVEINTV12</stp>
        <stp>[Andrea New RollM.xlsm]SPF!R12C8</stp>
        <stp>EUR.OIS:BLOOMBERG DC 272086</stp>
        <stp>Zc.Mid</stp>
        <stp>20201014</stp>
        <stp>Frequency=Annual</stp>
        <stp>DayCount=D30_360_EOMC</stp>
        <tr r="H12" s="4"/>
      </tp>
    </main>
    <main first="marketviewexcelplugin.mkvxp">
      <tp>
        <v>1.2656000000000001</v>
        <stp/>
        <stp>0</stp>
        <stp>EUR.PRICERISK.PXE.IT0005058463</stp>
        <stp>EffPV1Basis</stp>
        <tr r="W11" s="7"/>
      </tp>
    </main>
    <main first="marketviewexcelplugin.mkvxp">
      <tp>
        <v>0.59379999999999999</v>
        <stp/>
        <stp>0</stp>
        <stp>EUR.PRICERISK.PXE.IT0005023459</stp>
        <stp>EffPV1Basis</stp>
        <tr r="W7" s="7"/>
      </tp>
    </main>
    <main first="bloomberg.rtd">
      <tp t="b">
        <v>0</v>
        <stp/>
        <stp>##V3_BCURVEINTV12</stp>
        <stp>[Andrea New RollM.xlsm]SPF!R10C8</stp>
        <stp>EUR.OIS:BLOOMBERG DC 272086</stp>
        <stp>Zc.Mid</stp>
        <stp>20191014</stp>
        <stp>Frequency=Annual</stp>
        <stp>DayCount=D30_360_EOMC</stp>
        <tr r="H10" s="4"/>
      </tp>
    </main>
    <main first="marketviewexcelplugin.mkvxp">
      <tp>
        <v>4.9649999999999999</v>
        <stp/>
        <stp>0</stp>
        <stp>EUR.PRICERISK.PXE.IT0005216491</stp>
        <stp>EffPV1Basis</stp>
        <tr r="W36" s="7"/>
      </tp>
    </main>
    <main first="marketviewexcelplugin.mkvxp">
      <tp>
        <v>2.2391999999999999</v>
        <stp/>
        <stp>0</stp>
        <stp>EUR.PRICERISK.PXE.IT0004957574</stp>
        <stp>EffPV1Basis</stp>
        <tr r="W17" s="7"/>
      </tp>
    </main>
    <main first="bloomberg.rtd">
      <tp t="b">
        <v>0</v>
        <stp/>
        <stp>##V3_BCURVEINTV12</stp>
        <stp>[Andrea New RollM.xlsm]SPF!R18C8</stp>
        <stp>EUR.OIS:BLOOMBERG DC 272086</stp>
        <stp>Zc.Mid</stp>
        <stp>20231016</stp>
        <stp>Frequency=Annual</stp>
        <stp>DayCount=D30_360_EOMC</stp>
        <tr r="H18" s="4"/>
      </tp>
    </main>
    <main first="marketviewexcelplugin.mkvxp">
      <tp>
        <v>6.6395</v>
        <stp/>
        <stp>0</stp>
        <stp>EUR.PRICERISK.PXE.IT0004801541</stp>
        <stp>EffPV1Basis</stp>
        <tr r="W40" s="7"/>
      </tp>
      <tp>
        <v>97</v>
        <stp/>
        <stp>0</stp>
        <stp>EUR.PRICING_MAIN.PXE.IT0004953417</stp>
        <stp>MidAssetSwap</stp>
        <tr r="Q48" s="7"/>
      </tp>
      <tp>
        <v>100.30000000000001</v>
        <stp/>
        <stp>0</stp>
        <stp>EUR.PRICING_MAIN.PXE.IT0005094088</stp>
        <stp>MidAssetSwap</stp>
        <tr r="Q63" s="7"/>
      </tp>
    </main>
    <main first="marketviewexcelplugin.mkvxp">
      <tp>
        <v>16.400000000000002</v>
        <stp/>
        <stp>0</stp>
        <stp>EUR.PRICING_MAIN.PXE.IT0005139099</stp>
        <stp>MidAssetSwap</stp>
        <tr r="Q16" s="7"/>
      </tp>
      <tp>
        <v>59.6</v>
        <stp/>
        <stp>0</stp>
        <stp>EUR.PRICING_MAIN.PXE.IT0005086886</stp>
        <stp>MidAssetSwap</stp>
        <tr r="Q39" s="7"/>
      </tp>
      <tp>
        <v>45</v>
        <stp/>
        <stp>0</stp>
        <stp>EUR.PRICING_MAIN.PXE.IT0005175598</stp>
        <stp>MidAssetSwap</stp>
        <tr r="Q33" s="7"/>
      </tp>
      <tp t="s">
        <v>OK</v>
        <stp/>
        <stp>4</stp>
        <stp>EUR.CM_DEPTH.XLS_ANDREA.FR0011059088</stp>
        <stp>XLS_ANDREA</stp>
        <tr r="H60" s="23"/>
      </tp>
      <tp t="s">
        <v>OK</v>
        <stp/>
        <stp>4</stp>
        <stp>EUR.CM_DEPTH.XLS_ANDREA.IT0005177271</stp>
        <stp>XLS_ANDREA</stp>
        <tr r="H33" s="23"/>
      </tp>
      <tp t="s">
        <v>OK</v>
        <stp/>
        <stp>4</stp>
        <stp>EUR.CM_DEPTH.XLS_ANDREA.IT0005217390</stp>
        <stp>XLS_ANDREA</stp>
        <tr r="H118" s="23"/>
      </tp>
      <tp t="s">
        <v>OK</v>
        <stp/>
        <stp>4</stp>
        <stp>EUR.CM_DEPTH.XLS_ANDREA.IT0005127086</stp>
        <stp>XLS_ANDREA</stp>
        <tr r="H86" s="23"/>
      </tp>
      <tp t="s">
        <v>OK</v>
        <stp/>
        <stp>4</stp>
        <stp>EUR.CM_DEPTH.XLS_ANDREA.IT0004987191</stp>
        <stp>XLS_ANDREA</stp>
        <tr r="H8" s="23"/>
      </tp>
      <tp t="s">
        <v>OK</v>
        <stp/>
        <stp>4</stp>
        <stp>EUR.CM_DEPTH.XLS_ANDREA.IT0004867070</stp>
        <stp>XLS_ANDREA</stp>
        <tr r="H16" s="23"/>
      </tp>
      <tp t="s">
        <v>OK</v>
        <stp/>
        <stp>4</stp>
        <stp>EUR.CM_DEPTH.XLS_ANDREA.FR0011619436</stp>
        <stp>XLS_ANDREA</stp>
        <tr r="H78" s="23"/>
      </tp>
      <tp t="s">
        <v>OK</v>
        <stp/>
        <stp>4</stp>
        <stp>EUR.CM_DEPTH.XLS_ANDREA.IT0005107708</stp>
        <stp>XLS_ANDREA</stp>
        <tr r="H45" s="23"/>
      </tp>
      <tp t="s">
        <v>OK</v>
        <stp/>
        <stp>4</stp>
        <stp>EUR.CM_DEPTH.XLS_ANDREA.IT0004957574</stp>
        <stp>XLS_ANDREA</stp>
        <tr r="H28" s="23"/>
      </tp>
      <tp t="s">
        <v>OK</v>
        <stp/>
        <stp>4</stp>
        <stp>EUR.CM_DEPTH.XLS_ANDREA.FR0010949651</stp>
        <stp>XLS_ANDREA</stp>
        <tr r="H48" s="23"/>
      </tp>
      <tp t="s">
        <v>OK</v>
        <stp/>
        <stp>4</stp>
        <stp>EUR.CM_DEPTH.XLS_ANDREA.IT0004907843</stp>
        <stp>XLS_ANDREA</stp>
        <tr r="H23" s="23"/>
      </tp>
      <tp t="s">
        <v>OK</v>
        <stp/>
        <stp>4</stp>
        <stp>EUR.CM_DEPTH.XLS_ANDREA.IT0005177909</stp>
        <stp>XLS_ANDREA</stp>
        <tr r="H108" s="23"/>
      </tp>
      <tp t="s">
        <v>OK</v>
        <stp/>
        <stp>4</stp>
        <stp>EUR.CM_DEPTH.XLS_ANDREA.IT0005217929</stp>
        <stp>XLS_ANDREA</stp>
        <tr r="H38" s="23"/>
      </tp>
    </main>
    <main first="marketviewexcelplugin.mkvxp">
      <tp t="s">
        <v>OK</v>
        <stp/>
        <stp>4</stp>
        <stp>EUR.CM_DEPTH.XLS_ANDREA.IE0034074488</stp>
        <stp>XLS_ANDREA</stp>
        <tr r="H241" s="23"/>
      </tp>
      <tp>
        <v>0.55200000000000005</v>
        <stp/>
        <stp>0</stp>
        <stp>EUR.PRICING_MAIN.PXE.ES00000123X3</stp>
        <stp>MidYield</stp>
        <tr r="K202" s="23"/>
      </tp>
    </main>
    <main first="bloomberg.rtd">
      <tp t="b">
        <v>0</v>
        <stp/>
        <stp>##V3_BCURVEINTV12</stp>
        <stp>[Andrea New RollM.xlsm]SPF!R13C8</stp>
        <stp>EUR.OIS:BLOOMBERG DC 272086</stp>
        <stp>Zc.Mid</stp>
        <stp>20210414</stp>
        <stp>Frequency=Annual</stp>
        <stp>DayCount=D30_360_EOMC</stp>
        <tr r="H13" s="4"/>
      </tp>
    </main>
    <main first="marketviewexcelplugin.mkvxp">
      <tp>
        <v>0.56889999999999996</v>
        <stp/>
        <stp>0</stp>
        <stp>EUR.PRICERISK.PXE.IT0004793474</stp>
        <stp>EffPV1Basis</stp>
        <tr r="W6" s="7"/>
      </tp>
      <tp>
        <v>2.8633000000000002</v>
        <stp/>
        <stp>0</stp>
        <stp>EUR.PRICERISK.PXE.IT0005030504</stp>
        <stp>EffPV1Basis</stp>
        <tr r="W22" s="7"/>
      </tp>
    </main>
    <main first="bloomberg.rtd">
      <tp t="b">
        <v>0</v>
        <stp/>
        <stp>##V3_BCURVEINTV12</stp>
        <stp>[Andrea New RollM.xlsm]SPF!R11C8</stp>
        <stp>EUR.OIS:BLOOMBERG DC 272086</stp>
        <stp>Zc.Mid</stp>
        <stp>20200414</stp>
        <stp>Frequency=Annual</stp>
        <stp>DayCount=D30_360_EOMC</stp>
        <tr r="H11" s="4"/>
      </tp>
      <tp t="b">
        <v>0</v>
        <stp/>
        <stp>##V3_BCURVEINTV12</stp>
        <stp>[Andrea New RollM.xlsm]SPF!R17C8</stp>
        <stp>EUR.OIS:BLOOMBERG DC 272086</stp>
        <stp>Zc.Mid</stp>
        <stp>20230414</stp>
        <stp>Frequency=Annual</stp>
        <stp>DayCount=D30_360_EOMC</stp>
        <tr r="H17" s="4"/>
      </tp>
    </main>
    <main first="marketviewexcelplugin.mkvxp">
      <tp>
        <v>8.3112999999999992</v>
        <stp/>
        <stp>0</stp>
        <stp>EUR.PRICERISK.PXE.IT0005001547</stp>
        <stp>EffPV1Basis</stp>
        <tr r="W49" s="7"/>
      </tp>
    </main>
    <main first="bloomberg.rtd">
      <tp t="b">
        <v>0</v>
        <stp/>
        <stp>##V3_BCURVEINTV12</stp>
        <stp>[Andrea New RollM.xlsm]SPF!R15C8</stp>
        <stp>EUR.OIS:BLOOMBERG DC 272086</stp>
        <stp>Zc.Mid</stp>
        <stp>20220414</stp>
        <stp>Frequency=Annual</stp>
        <stp>DayCount=D30_360_EOMC</stp>
        <tr r="H15" s="4"/>
      </tp>
    </main>
    <main first="marketviewexcelplugin.mkvxp">
      <tp>
        <v>1.3572</v>
        <stp/>
        <stp>0</stp>
        <stp>EUR.PRICERISK.PXE.IT0004273493</stp>
        <stp>EffPV1Basis</stp>
        <tr r="W12" s="7"/>
      </tp>
      <tp>
        <v>0.65259999999999996</v>
        <stp/>
        <stp>0</stp>
        <stp>EUR.PRICERISK.PXE.IT0004820426</stp>
        <stp>EffPV1Basis</stp>
        <tr r="W8" s="7"/>
      </tp>
    </main>
    <main first="marketviewexcelplugin.mkvxp">
      <tp>
        <v>4.8937999999999997</v>
        <stp/>
        <stp>0</stp>
        <stp>EUR.PRICERISK.PXE.IT0004966401</stp>
        <stp>EffPV1Basis</stp>
        <tr r="W32" s="7"/>
      </tp>
      <tp>
        <v>4.5919999999999996</v>
        <stp/>
        <stp>0</stp>
        <stp>EUR.PRICERISK.PXE.IT0005175598</stp>
        <stp>EffPV1Basis</stp>
        <tr r="W33" s="7"/>
      </tp>
      <tp>
        <v>8.0318000000000005</v>
        <stp/>
        <stp>0</stp>
        <stp>EUR.PRICERISK.PXE.IT0004953417</stp>
        <stp>EffPV1Basis</stp>
        <tr r="W48" s="7"/>
      </tp>
    </main>
    <main first="bloomberg.rtd">
      <tp t="b">
        <v>0</v>
        <stp/>
        <stp>##V3_BCURVEINTV12</stp>
        <stp>[Andrea New RollM.xlsm]SPF!R19C8</stp>
        <stp>EUR.OIS:BLOOMBERG DC 272086</stp>
        <stp>Zc.Mid</stp>
        <stp>20240415</stp>
        <stp>Frequency=Annual</stp>
        <stp>DayCount=D30_360_EOMC</stp>
        <tr r="H19" s="4"/>
      </tp>
    </main>
    <main first="marketviewexcelplugin.mkvxp">
      <tp>
        <v>26.700000000000003</v>
        <stp/>
        <stp>0</stp>
        <stp>EUR.PRICING_MAIN.PXE.IT0005069395</stp>
        <stp>MidAssetSwap</stp>
        <tr r="Q25" s="7"/>
      </tp>
      <tp>
        <v>24.900000000000002</v>
        <stp/>
        <stp>0</stp>
        <stp>EUR.PRICING_MAIN.PXE.IT0004992308</stp>
        <stp>MidAssetSwap</stp>
        <tr r="Q21" s="7"/>
      </tp>
      <tp>
        <v>48.300000000000004</v>
        <stp/>
        <stp>0</stp>
        <stp>EUR.PRICING_MAIN.PXE.IT0004966401</stp>
        <stp>MidAssetSwap</stp>
        <tr r="Q32" s="7"/>
      </tp>
      <tp>
        <v>102.10000000000001</v>
        <stp/>
        <stp>0</stp>
        <stp>EUR.PRICING_MAIN.PXE.IT0005127086</stp>
        <stp>MidAssetSwap</stp>
        <tr r="Q53" s="7"/>
      </tp>
      <tp t="s">
        <v>OK</v>
        <stp/>
        <stp>4</stp>
        <stp>EUR.CM_DEPTH.XLS_ANDREA.FR0012968337</stp>
        <stp>XLS_ANDREA</stp>
        <tr r="H51" s="23"/>
      </tp>
      <tp t="s">
        <v>OK</v>
        <stp/>
        <stp>4</stp>
        <stp>EUR.CM_DEPTH.XLS_ANDREA.FR0011708080</stp>
        <stp>XLS_ANDREA</stp>
        <tr r="H35" s="23"/>
      </tp>
      <tp t="s">
        <v>OK</v>
        <stp/>
        <stp>4</stp>
        <stp>EUR.CM_DEPTH.XLS_ANDREA.FR0000189151</stp>
        <stp>XLS_ANDREA</stp>
        <tr r="H32" s="23"/>
      </tp>
      <tp t="s">
        <v>OK</v>
        <stp/>
        <stp>4</stp>
        <stp>EUR.CM_DEPTH.XLS_ANDREA.IT0000366655</stp>
        <stp>XLS_ANDREA</stp>
        <tr r="H76" s="23"/>
      </tp>
      <tp t="s">
        <v>OK</v>
        <stp/>
        <stp>4</stp>
        <stp>EUR.CM_DEPTH.XLS_ANDREA.FR0012938116</stp>
        <stp>XLS_ANDREA</stp>
        <tr r="H85" s="23"/>
      </tp>
      <tp t="s">
        <v>OK</v>
        <stp/>
        <stp>4</stp>
        <stp>EUR.CM_DEPTH.XLS_ANDREA.IT0005106049</stp>
        <stp>XLS_ANDREA</stp>
        <tr r="H21" s="23"/>
      </tp>
      <tp t="s">
        <v>OK</v>
        <stp/>
        <stp>4</stp>
        <stp>EUR.CM_DEPTH.XLS_ANDREA.IT0001086567</stp>
        <stp>XLS_ANDREA</stp>
        <tr r="H91" s="23"/>
      </tp>
      <tp t="s">
        <v>OK</v>
        <stp/>
        <stp>4</stp>
        <stp>EUR.CM_DEPTH.XLS_ANDREA.IT0005216491</stp>
        <stp>XLS_ANDREA</stp>
        <tr r="H61" s="23"/>
      </tp>
      <tp t="s">
        <v>OK</v>
        <stp/>
        <stp>4</stp>
        <stp>EUR.CM_DEPTH.XLS_ANDREA.IT0004966401</stp>
        <stp>XLS_ANDREA</stp>
        <tr r="H54" s="23"/>
      </tp>
    </main>
    <main first="marketviewexcelplugin.mkvxp">
      <tp t="s">
        <v>OK</v>
        <stp/>
        <stp>4</stp>
        <stp>EUR.CM_DEPTH.XLS_ANDREA.IT0005086886</stp>
        <stp>XLS_ANDREA</stp>
        <tr r="H64" s="23"/>
      </tp>
      <tp t="s">
        <v>OK</v>
        <stp/>
        <stp>4</stp>
        <stp>EUR.CM_DEPTH.XLS_ANDREA.IT0004536949</stp>
        <stp>XLS_ANDREA</stp>
        <tr r="H43" s="23"/>
      </tp>
      <tp t="s">
        <v>OK</v>
        <stp/>
        <stp>4</stp>
        <stp>EUR.CM_DEPTH.XLS_ANDREA.IT0004286966</stp>
        <stp>XLS_ANDREA</stp>
        <tr r="H111" s="23"/>
      </tp>
      <tp t="s">
        <v>OK</v>
        <stp/>
        <stp>4</stp>
        <stp>EUR.CM_DEPTH.XLS_ANDREA.IT0004356843</stp>
        <stp>XLS_ANDREA</stp>
        <tr r="H73" s="23"/>
      </tp>
      <tp t="s">
        <v>OK</v>
        <stp/>
        <stp>4</stp>
        <stp>EUR.CM_DEPTH.XLS_ANDREA.IT0003256820</stp>
        <stp>XLS_ANDREA</stp>
        <tr r="H104" s="23"/>
      </tp>
    </main>
    <main first="bloomberg.rtd">
      <tp t="s">
        <v>15/06/2017</v>
        <stp/>
        <stp>##V3_BDPV12</stp>
        <stp>IT0004809809 Corp</stp>
        <stp>Maturity</stp>
        <stp>[Andrea New RollM.xlsm]CCT!R6C4</stp>
        <tr r="D6" s="27"/>
      </tp>
      <tp t="b">
        <v>0</v>
        <stp/>
        <stp>##V3_BCURVEV12</stp>
        <stp>[Andrea New RollM.xlsm]Crv!R7C6</stp>
        <stp>EUR.OIS</stp>
        <stp>CurveName</stp>
        <stp/>
        <stp>CurveDate</stp>
        <stp>20161012</stp>
        <stp>Output=Mid</stp>
        <stp>View=Rates</stp>
        <tr r="F7" s="1"/>
      </tp>
    </main>
    <main first="marketviewexcelplugin.mkvxp">
      <tp>
        <v>42766</v>
        <stp/>
        <stp>0</stp>
        <stp>EUR.CM_INSTRUMENT.PXE.ES00000120J8</stp>
        <stp>DateMaturity</stp>
        <tr r="D183" s="23"/>
      </tp>
    </main>
    <main first="marketviewexcelplugin.mkvxp">
      <tp>
        <v>42674</v>
        <stp/>
        <stp>0</stp>
        <stp>EUR.CM_INSTRUMENT.PXE.ES00000123J2</stp>
        <stp>DateMaturity</stp>
        <tr r="D182" s="23"/>
      </tp>
      <tp>
        <v>13.2272</v>
        <stp/>
        <stp>0</stp>
        <stp>EUR.PRICERISK.PXE.IT0005024234</stp>
        <stp>EffPV1Basis</stp>
        <tr r="W61" s="7"/>
      </tp>
    </main>
    <main first="bloomberg.rtd">
      <tp t="b">
        <v>0</v>
        <stp/>
        <stp>##V3_BCURVEINTV12</stp>
        <stp>[Andrea New RollM.xlsm]SPF!R63C8</stp>
        <stp>EUR.OIS:BLOOMBERG DC 272086</stp>
        <stp>Zc.Mid</stp>
        <stp>20460416</stp>
        <stp>Frequency=Annual</stp>
        <stp>DayCount=D30_360_EOMC</stp>
        <tr r="H63" s="4"/>
      </tp>
    </main>
    <main first="marketviewexcelplugin.mkvxp">
      <tp>
        <v>12.8598</v>
        <stp/>
        <stp>0</stp>
        <stp>EUR.PRICERISK.PXE.IT0001174611</stp>
        <stp>EffPV1Basis</stp>
        <tr r="W58" s="7"/>
      </tp>
    </main>
    <main first="bloomberg.rtd">
      <tp t="b">
        <v>0</v>
        <stp/>
        <stp>##V3_BCURVEINTV12</stp>
        <stp>[Andrea New RollM.xlsm]SPF!R61C8</stp>
        <stp>EUR.OIS:BLOOMBERG DC 272086</stp>
        <stp>Zc.Mid</stp>
        <stp>20450414</stp>
        <stp>Frequency=Annual</stp>
        <stp>DayCount=D30_360_EOMC</stp>
        <tr r="H61" s="4"/>
      </tp>
    </main>
    <main first="marketviewexcelplugin.mkvxp">
      <tp>
        <v>8.1499000000000006</v>
        <stp/>
        <stp>0</stp>
        <stp>EUR.PRICERISK.PXE.IT0005045270</stp>
        <stp>EffPV1Basis</stp>
        <tr r="W50" s="7"/>
      </tp>
    </main>
    <main first="marketviewexcelplugin.mkvxp">
      <tp>
        <v>6.6989000000000001</v>
        <stp/>
        <stp>0</stp>
        <stp>EUR.PRICERISK.PXE.IT0005215246</stp>
        <stp>EffPV1Basis</stp>
        <tr r="W46" s="7"/>
      </tp>
      <tp>
        <v>2.5034999999999998</v>
        <stp/>
        <stp>0</stp>
        <stp>EUR.PRICERISK.PXE.IT0005177271</stp>
        <stp>EffPV1Basis</stp>
        <tr r="W20" s="7"/>
      </tp>
    </main>
    <main first="bloomberg.rtd">
      <tp t="b">
        <v>0</v>
        <stp/>
        <stp>##V3_BCURVEINTV12</stp>
        <stp>[Andrea New RollM.xlsm]SPF!R67C8</stp>
        <stp>EUR.OIS:BLOOMBERG DC 272086</stp>
        <stp>Zc.Mid</stp>
        <stp>20480414</stp>
        <stp>Frequency=Annual</stp>
        <stp>DayCount=D30_360_EOMC</stp>
        <tr r="H67" s="4"/>
      </tp>
      <tp t="b">
        <v>0</v>
        <stp/>
        <stp>##V3_BCURVEINTV12</stp>
        <stp>[Andrea New RollM.xlsm]SPF!R65C8</stp>
        <stp>EUR.OIS:BLOOMBERG DC 272086</stp>
        <stp>Zc.Mid</stp>
        <stp>20470416</stp>
        <stp>Frequency=Annual</stp>
        <stp>DayCount=D30_360_EOMC</stp>
        <tr r="H65" s="4"/>
      </tp>
    </main>
    <main first="marketviewexcelplugin.mkvxp">
      <tp>
        <v>2.6454</v>
        <stp/>
        <stp>0</stp>
        <stp>EUR.PRICERISK.PXE.IT0004992308</stp>
        <stp>EffPV1Basis</stp>
        <tr r="W21" s="7"/>
      </tp>
    </main>
    <main first="marketviewexcelplugin.mkvxp">
      <tp>
        <v>15.8</v>
        <stp/>
        <stp>0</stp>
        <stp>EUR.PRICING_MAIN.PXE.IT0004957574</stp>
        <stp>MidAssetSwap</stp>
        <tr r="Q17" s="7"/>
      </tp>
      <tp t="s">
        <v>OK</v>
        <stp/>
        <stp>4</stp>
        <stp>EUR.CM_DEPTH.XLS_ANDREA.IT0004361041</stp>
        <stp>XLS_ANDREA</stp>
        <tr r="H24" s="23"/>
      </tp>
      <tp t="s">
        <v>OK</v>
        <stp/>
        <stp>4</stp>
        <stp>EUR.CM_DEPTH.XLS_ANDREA.IT0004801541</stp>
        <stp>XLS_ANDREA</stp>
        <tr r="H66" s="23"/>
      </tp>
      <tp t="s">
        <v>OK</v>
        <stp/>
        <stp>4</stp>
        <stp>EUR.CM_DEPTH.XLS_ANDREA.IT0005001547</stp>
        <stp>XLS_ANDREA</stp>
        <tr r="H79" s="23"/>
      </tp>
      <tp t="s">
        <v>OK</v>
        <stp/>
        <stp>4</stp>
        <stp>EUR.CM_DEPTH.XLS_ANDREA.IT0004761950</stp>
        <stp>XLS_ANDREA</stp>
        <tr r="H6" s="23"/>
      </tp>
      <tp t="s">
        <v>OK</v>
        <stp/>
        <stp>4</stp>
        <stp>EUR.CM_DEPTH.XLS_ANDREA.IE00BJ38CQ36</stp>
        <stp>XLS_ANDREA</stp>
        <tr r="H243" s="23"/>
      </tp>
      <tp t="s">
        <v>OK</v>
        <stp/>
        <stp>4</stp>
        <stp>EUR.CM_DEPTH.XLS_ANDREA.IE00BJ38CR43</stp>
        <stp>XLS_ANDREA</stp>
        <tr r="H248" s="23"/>
      </tp>
      <tp>
        <v>44592</v>
        <stp/>
        <stp>0</stp>
        <stp>EUR.CM_INSTRUMENT.PXE.ES00000123K0</stp>
        <stp>DateMaturity</stp>
        <tr r="D200" s="23"/>
      </tp>
    </main>
    <main first="marketviewexcelplugin.mkvxp">
      <tp>
        <v>6.2678000000000003</v>
        <stp/>
        <stp>0</stp>
        <stp>EUR.PRICERISK.PXE.IT0005172322</stp>
        <stp>EffPV1Basis</stp>
        <tr r="W43" s="7"/>
      </tp>
    </main>
    <main first="bloomberg.rtd">
      <tp t="b">
        <v>0</v>
        <stp/>
        <stp>##V3_BCURVEINTV12</stp>
        <stp>[Andrea New RollM.xlsm]SPF!R66C8</stp>
        <stp>EUR.OIS:BLOOMBERG DC 272086</stp>
        <stp>Zc.Mid</stp>
        <stp>20471014</stp>
        <stp>Frequency=Annual</stp>
        <stp>DayCount=D30_360_EOMC</stp>
        <tr r="H66" s="4"/>
      </tp>
    </main>
    <main first="marketviewexcelplugin.mkvxp">
      <tp>
        <v>8.2258999999999993</v>
        <stp/>
        <stp>0</stp>
        <stp>EUR.PRICERISK.PXE.IT0005090318</stp>
        <stp>EffPV1Basis</stp>
        <tr r="W52" s="7"/>
      </tp>
    </main>
    <main first="bloomberg.rtd">
      <tp t="b">
        <v>0</v>
        <stp/>
        <stp>##V3_BCURVEINTV12</stp>
        <stp>[Andrea New RollM.xlsm]SPF!R64C8</stp>
        <stp>EUR.OIS:BLOOMBERG DC 272086</stp>
        <stp>Zc.Mid</stp>
        <stp>20461015</stp>
        <stp>Frequency=Annual</stp>
        <stp>DayCount=D30_360_EOMC</stp>
        <tr r="H64" s="4"/>
      </tp>
      <tp t="b">
        <v>0</v>
        <stp/>
        <stp>##V3_BCURVEINTV12</stp>
        <stp>[Andrea New RollM.xlsm]SPF!R62C8</stp>
        <stp>EUR.OIS:BLOOMBERG DC 272086</stp>
        <stp>Zc.Mid</stp>
        <stp>20451016</stp>
        <stp>Frequency=Annual</stp>
        <stp>DayCount=D30_360_EOMC</stp>
        <tr r="H62" s="4"/>
      </tp>
    </main>
    <main first="marketviewexcelplugin.mkvxp">
      <tp>
        <v>8.8510000000000009</v>
        <stp/>
        <stp>0</stp>
        <stp>EUR.PRICERISK.PXE.IT0000366655</stp>
        <stp>EffPV1Basis</stp>
        <tr r="W47" s="7"/>
      </tp>
    </main>
    <main first="bloomberg.rtd">
      <tp t="b">
        <v>0</v>
        <stp/>
        <stp>##V3_BCURVEINTV12</stp>
        <stp>[Andrea New RollM.xlsm]SPF!R60C8</stp>
        <stp>EUR.OIS:BLOOMBERG DC 272086</stp>
        <stp>Zc.Mid</stp>
        <stp>20441014</stp>
        <stp>Frequency=Annual</stp>
        <stp>DayCount=D30_360_EOMC</stp>
        <tr r="H60" s="4"/>
      </tp>
    </main>
    <main first="marketviewexcelplugin.mkvxp">
      <tp>
        <v>25.375599999999999</v>
        <stp/>
        <stp>0</stp>
        <stp>EUR.PRICERISK.PXE.IT0005217390</stp>
        <stp>EffPV1Basis</stp>
        <tr r="W73" s="7"/>
      </tp>
    </main>
    <main first="marketviewexcelplugin.mkvxp">
      <tp>
        <v>3.1846000000000001</v>
        <stp/>
        <stp>0</stp>
        <stp>EUR.PRICERISK.PXE.IT0005069395</stp>
        <stp>EffPV1Basis</stp>
        <tr r="W25" s="7"/>
      </tp>
    </main>
    <main first="marketviewexcelplugin.mkvxp">
      <tp>
        <v>-13.200000000000001</v>
        <stp/>
        <stp>0</stp>
        <stp>EUR.PRICING_MAIN.PXE.IT0004867070</stp>
        <stp>MidAssetSwap</stp>
        <tr r="Q10" s="7"/>
      </tp>
      <tp t="s">
        <v>OK</v>
        <stp/>
        <stp>4</stp>
        <stp>EUR.CM_DEPTH.XLS_ANDREA.IT0005090318</stp>
        <stp>XLS_ANDREA</stp>
        <tr r="H84" s="23"/>
      </tp>
      <tp t="s">
        <v>OK</v>
        <stp/>
        <stp>4</stp>
        <stp>EUR.CM_DEPTH.XLS_ANDREA.IT0005210650</stp>
        <stp>XLS_ANDREA</stp>
        <tr r="H93" s="23"/>
      </tp>
      <tp t="s">
        <v>OK</v>
        <stp/>
        <stp>4</stp>
        <stp>EUR.CM_DEPTH.XLS_ANDREA.IT0004820426</stp>
        <stp>XLS_ANDREA</stp>
        <tr r="H13" s="23"/>
      </tp>
      <tp t="s">
        <v>OK</v>
        <stp/>
        <stp>4</stp>
        <stp>EUR.CM_DEPTH.XLS_ANDREA.IT0005030504</stp>
        <stp>XLS_ANDREA</stp>
        <tr r="H36" s="23"/>
      </tp>
      <tp t="s">
        <v>OK</v>
        <stp/>
        <stp>4</stp>
        <stp>EUR.CM_DEPTH.XLS_ANDREA.IT0005170839</stp>
        <stp>XLS_ANDREA</stp>
        <tr r="H90" s="23"/>
      </tp>
      <tp t="s">
        <v>OK</v>
        <stp/>
        <stp>4</stp>
        <stp>EUR.CM_DEPTH.XLS_ANDREA.IT0004960826</stp>
        <stp>XLS_ANDREA</stp>
        <tr r="H7" s="23"/>
      </tp>
    </main>
    <main first="bloomberg.rtd">
      <tp t="b">
        <v>0</v>
        <stp/>
        <stp>##V3_BVIEW</stp>
        <stp>[Andrea New RollM.xlsm]Fwd !R4C7</stp>
        <stp>EUR.OIS:BLOOMBERG DC 225737</stp>
        <stp>Term</stp>
        <tr r="G4" s="3"/>
      </tp>
    </main>
    <main first="marketviewexcelplugin.mkvxp">
      <tp>
        <v>52901</v>
        <stp/>
        <stp>0</stp>
        <stp>EUR.CM_INSTRUMENT.PXE.ES00000124H4</stp>
        <stp>DateMaturity</stp>
        <tr r="D219" s="23"/>
      </tp>
      <tp>
        <v>46326</v>
        <stp/>
        <stp>0</stp>
        <stp>EUR.CM_INSTRUMENT.PXE.ES00000128H5</stp>
        <stp>DateMaturity</stp>
        <tr r="D211" s="23"/>
      </tp>
      <tp>
        <v>44042</v>
        <stp/>
        <stp>0</stp>
        <stp>EUR.CM_INSTRUMENT.PXE.ES00000127H7</stp>
        <stp>DateMaturity</stp>
        <tr r="D197" s="23"/>
      </tp>
    </main>
    <main first="bloomberg.rtd">
      <tp t="b">
        <v>0</v>
        <stp/>
        <stp>##V3_BCURVEINTV12</stp>
        <stp>[Andrea New RollM.xlsm]SPF!R56C8</stp>
        <stp>EUR.OIS:BLOOMBERG DC 272086</stp>
        <stp>Zc.Mid</stp>
        <stp>20421014</stp>
        <stp>Frequency=Annual</stp>
        <stp>DayCount=D30_360_EOMC</stp>
        <tr r="H56" s="4"/>
      </tp>
      <tp t="b">
        <v>0</v>
        <stp/>
        <stp>##V3_BCURVEINTV12</stp>
        <stp>[Andrea New RollM.xlsm]SPF!R43C8</stp>
        <stp>EUR.OIS:BLOOMBERG DC 272086</stp>
        <stp>Zc.Mid</stp>
        <stp>20360415</stp>
        <stp>Frequency=Annual</stp>
        <stp>DayCount=D30_360_EOMC</stp>
        <tr r="H43" s="4"/>
      </tp>
      <tp t="b">
        <v>0</v>
        <stp/>
        <stp>##V3_BCURVEINTV12</stp>
        <stp>[Andrea New RollM.xlsm]SPF!R54C8</stp>
        <stp>EUR.OIS:BLOOMBERG DC 272086</stp>
        <stp>Zc.Mid</stp>
        <stp>20411014</stp>
        <stp>Frequency=Annual</stp>
        <stp>DayCount=D30_360_EOMC</stp>
        <tr r="H54" s="4"/>
      </tp>
    </main>
    <main first="marketviewexcelplugin.mkvxp">
      <tp>
        <v>2.08</v>
        <stp/>
        <stp>0</stp>
        <stp>EUR.PRICERISK.PXE.IT0004987191</stp>
        <stp>EffPV1Basis</stp>
        <tr r="W4" s="7"/>
      </tp>
      <tp>
        <v>5.3311000000000002</v>
        <stp/>
        <stp>0</stp>
        <stp>EUR.PRICERISK.PXE.IT0005028003</stp>
        <stp>EffPV1Basis</stp>
        <tr r="W37" s="7"/>
      </tp>
    </main>
    <main first="bloomberg.rtd">
      <tp t="b">
        <v>0</v>
        <stp/>
        <stp>##V3_BCURVEINTV12</stp>
        <stp>[Andrea New RollM.xlsm]SPF!R41C8</stp>
        <stp>EUR.OIS:BLOOMBERG DC 272086</stp>
        <stp>Zc.Mid</stp>
        <stp>20350416</stp>
        <stp>Frequency=Annual</stp>
        <stp>DayCount=D30_360_EOMC</stp>
        <tr r="H41" s="4"/>
      </tp>
      <tp t="b">
        <v>0</v>
        <stp/>
        <stp>##V3_BCURVEINTV12</stp>
        <stp>[Andrea New RollM.xlsm]SPF!R52C8</stp>
        <stp>EUR.OIS:BLOOMBERG DC 272086</stp>
        <stp>Zc.Mid</stp>
        <stp>20401015</stp>
        <stp>Frequency=Annual</stp>
        <stp>DayCount=D30_360_EOMC</stp>
        <tr r="H52" s="4"/>
      </tp>
      <tp t="b">
        <v>0</v>
        <stp/>
        <stp>##V3_BCURVEINTV12</stp>
        <stp>[Andrea New RollM.xlsm]SPF!R47C8</stp>
        <stp>EUR.OIS:BLOOMBERG DC 272086</stp>
        <stp>Zc.Mid</stp>
        <stp>20380414</stp>
        <stp>Frequency=Annual</stp>
        <stp>DayCount=D30_360_EOMC</stp>
        <tr r="H47" s="4"/>
      </tp>
    </main>
    <main first="marketviewexcelplugin.mkvxp">
      <tp>
        <v>1.5947</v>
        <stp/>
        <stp>0</stp>
        <stp>EUR.PRICERISK.PXE.IT0005106049</stp>
        <stp>EffPV1Basis</stp>
        <tr r="W13" s="7"/>
      </tp>
      <tp>
        <v>23.0776</v>
        <stp/>
        <stp>0</stp>
        <stp>EUR.PRICERISK.PXE.IT0005083057</stp>
        <stp>EffPV1Basis</stp>
        <tr r="W71" s="7"/>
      </tp>
      <tp>
        <v>4.7163000000000004</v>
        <stp/>
        <stp>0</stp>
        <stp>EUR.PRICERISK.PXE.IT0004634132</stp>
        <stp>EffPV1Basis</stp>
        <tr r="W31" s="7"/>
      </tp>
    </main>
    <main first="bloomberg.rtd">
      <tp t="b">
        <v>0</v>
        <stp/>
        <stp>##V3_BCURVEINTV12</stp>
        <stp>[Andrea New RollM.xlsm]SPF!R50C8</stp>
        <stp>EUR.OIS:BLOOMBERG DC 272086</stp>
        <stp>Zc.Mid</stp>
        <stp>20391014</stp>
        <stp>Frequency=Annual</stp>
        <stp>DayCount=D30_360_EOMC</stp>
        <tr r="H50" s="4"/>
      </tp>
      <tp t="b">
        <v>0</v>
        <stp/>
        <stp>##V3_BCURVEINTV12</stp>
        <stp>[Andrea New RollM.xlsm]SPF!R45C8</stp>
        <stp>EUR.OIS:BLOOMBERG DC 272086</stp>
        <stp>Zc.Mid</stp>
        <stp>20370414</stp>
        <stp>Frequency=Annual</stp>
        <stp>DayCount=D30_360_EOMC</stp>
        <tr r="H45" s="4"/>
      </tp>
    </main>
    <main first="marketviewexcelplugin.mkvxp">
      <tp>
        <v>8.7950999999999997</v>
        <stp/>
        <stp>0</stp>
        <stp>EUR.PRICERISK.PXE.IT0005127086</stp>
        <stp>EffPV1Basis</stp>
        <tr r="W53" s="7"/>
      </tp>
      <tp>
        <v>2.0125999999999999</v>
        <stp/>
        <stp>0</stp>
        <stp>EUR.PRICERISK.PXE.IT0005139099</stp>
        <stp>EffPV1Basis</stp>
        <tr r="W16" s="7"/>
      </tp>
      <tp>
        <v>13.1381</v>
        <stp/>
        <stp>0</stp>
        <stp>EUR.PRICERISK.PXE.IT0005094088</stp>
        <stp>EffPV1Basis</stp>
        <tr r="W63" s="7"/>
      </tp>
    </main>
    <main first="bloomberg.rtd">
      <tp t="b">
        <v>0</v>
        <stp/>
        <stp>##V3_BCURVEINTV12</stp>
        <stp>[Andrea New RollM.xlsm]SPF!R49C8</stp>
        <stp>EUR.OIS:BLOOMBERG DC 272086</stp>
        <stp>Zc.Mid</stp>
        <stp>20390414</stp>
        <stp>Frequency=Annual</stp>
        <stp>DayCount=D30_360_EOMC</stp>
        <tr r="H49" s="4"/>
      </tp>
      <tp t="b">
        <v>0</v>
        <stp/>
        <stp>##V3_BCURVEINTV12</stp>
        <stp>[Andrea New RollM.xlsm]SPF!R58C8</stp>
        <stp>EUR.OIS:BLOOMBERG DC 272086</stp>
        <stp>Zc.Mid</stp>
        <stp>20431014</stp>
        <stp>Frequency=Annual</stp>
        <stp>DayCount=D30_360_EOMC</stp>
        <tr r="H58" s="4"/>
      </tp>
    </main>
    <main first="marketviewexcelplugin.mkvxp">
      <tp>
        <v>19.1265</v>
        <stp/>
        <stp>0</stp>
        <stp>EUR.PRICERISK.PXE.IT0003934657</stp>
        <stp>EffPV1Basis</stp>
        <tr r="W67" s="7"/>
      </tp>
      <tp>
        <v>71.7</v>
        <stp/>
        <stp>0</stp>
        <stp>EUR.PRICING_MAIN.PXE.IT0004801541</stp>
        <stp>MidAssetSwap</stp>
        <tr r="Q40" s="7"/>
      </tp>
      <tp>
        <v>149.20000000000002</v>
        <stp/>
        <stp>0</stp>
        <stp>EUR.PRICING_MAIN.PXE.IT0003934657</stp>
        <stp>MidAssetSwap</stp>
        <tr r="Q67" s="7"/>
      </tp>
      <tp t="s">
        <v>OK</v>
        <stp/>
        <stp>4</stp>
        <stp>EUR.CM_DEPTH.XLS_ANDREA.IT0005083057</stp>
        <stp>XLS_ANDREA</stp>
        <tr r="H116" s="23"/>
      </tp>
      <tp t="s">
        <v>OK</v>
        <stp/>
        <stp>4</stp>
        <stp>EUR.CM_DEPTH.XLS_ANDREA.IT0004513641</stp>
        <stp>XLS_ANDREA</stp>
        <tr r="H82" s="23"/>
      </tp>
      <tp t="s">
        <v>OK</v>
        <stp/>
        <stp>4</stp>
        <stp>EUR.CM_DEPTH.XLS_ANDREA.IT0003493258</stp>
        <stp>XLS_ANDREA</stp>
        <tr r="H29" s="23"/>
      </tp>
      <tp t="s">
        <v>OK</v>
        <stp/>
        <stp>4</stp>
        <stp>EUR.CM_DEPTH.XLS_ANDREA.IT0005023459</stp>
        <stp>XLS_ANDREA</stp>
        <tr r="H12" s="23"/>
      </tp>
      <tp t="s">
        <v>OK</v>
        <stp/>
        <stp>4</stp>
        <stp>EUR.CM_DEPTH.XLS_ANDREA.IT0004953417</stp>
        <stp>XLS_ANDREA</stp>
        <tr r="H77" s="23"/>
      </tp>
      <tp t="s">
        <v>OK</v>
        <stp/>
        <stp>4</stp>
        <stp>EUR.CM_DEPTH.XLS_ANDREA.IT0004273493</stp>
        <stp>XLS_ANDREA</stp>
        <tr r="H18" s="23"/>
      </tp>
      <tp t="s">
        <v>OK</v>
        <stp/>
        <stp>4</stp>
        <stp>EUR.CM_DEPTH.XLS_ANDREA.IT0004793474</stp>
        <stp>XLS_ANDREA</stp>
        <tr r="H11" s="23"/>
      </tp>
      <tp t="s">
        <v>OK</v>
        <stp/>
        <stp>4</stp>
        <stp>EUR.CM_DEPTH.XLS_ANDREA.IT0004423957</stp>
        <stp>XLS_ANDREA</stp>
        <tr r="H31" s="23"/>
      </tp>
      <tp t="s">
        <v>OK</v>
        <stp/>
        <stp>4</stp>
        <stp>EUR.CM_DEPTH.XLS_ANDREA.IT0004923998</stp>
        <stp>XLS_ANDREA</stp>
        <tr r="H114" s="23"/>
      </tp>
    </main>
    <main first="marketviewexcelplugin.mkvxp">
      <tp>
        <v>42855</v>
        <stp/>
        <stp>0</stp>
        <stp>EUR.CM_INSTRUMENT.PXE.ES00000124I2</stp>
        <stp>DateMaturity</stp>
        <tr r="D184" s="23"/>
      </tp>
      <tp>
        <v>14.2804</v>
        <stp/>
        <stp>0</stp>
        <stp>EUR.PRICERISK.PXE.IT0001278511</stp>
        <stp>EffPV1Basis</stp>
        <tr r="W60" s="7"/>
      </tp>
    </main>
    <main first="bloomberg.rtd">
      <tp t="b">
        <v>0</v>
        <stp/>
        <stp>##V3_BCURVEINTV12</stp>
        <stp>[Andrea New RollM.xlsm]SPF!R46C8</stp>
        <stp>EUR.OIS:BLOOMBERG DC 272086</stp>
        <stp>Zc.Mid</stp>
        <stp>20371014</stp>
        <stp>Frequency=Annual</stp>
        <stp>DayCount=D30_360_EOMC</stp>
        <tr r="H46" s="4"/>
      </tp>
      <tp t="b">
        <v>0</v>
        <stp/>
        <stp>##V3_BCURVEINTV12</stp>
        <stp>[Andrea New RollM.xlsm]SPF!R53C8</stp>
        <stp>EUR.OIS:BLOOMBERG DC 272086</stp>
        <stp>Zc.Mid</stp>
        <stp>20410415</stp>
        <stp>Frequency=Annual</stp>
        <stp>DayCount=D30_360_EOMC</stp>
        <tr r="H53" s="4"/>
      </tp>
    </main>
    <main first="marketviewexcelplugin.mkvxp">
      <tp>
        <v>5.3841000000000001</v>
        <stp/>
        <stp>0</stp>
        <stp>EUR.PRICERISK.PXE.IT0004695075</stp>
        <stp>EffPV1Basis</stp>
        <tr r="W35" s="7"/>
      </tp>
    </main>
    <main first="bloomberg.rtd">
      <tp t="b">
        <v>0</v>
        <stp/>
        <stp>##V3_BCURVEINTV12</stp>
        <stp>[Andrea New RollM.xlsm]SPF!R44C8</stp>
        <stp>EUR.OIS:BLOOMBERG DC 272086</stp>
        <stp>Zc.Mid</stp>
        <stp>20361014</stp>
        <stp>Frequency=Annual</stp>
        <stp>DayCount=D30_360_EOMC</stp>
        <tr r="H44" s="4"/>
      </tp>
    </main>
    <main first="marketviewexcelplugin.mkvxp">
      <tp>
        <v>3.5707</v>
        <stp/>
        <stp>0</stp>
        <stp>EUR.PRICERISK.PXE.IT0003644769</stp>
        <stp>EffPV1Basis</stp>
        <tr r="W26" s="7"/>
      </tp>
    </main>
    <main first="bloomberg.rtd">
      <tp t="b">
        <v>0</v>
        <stp/>
        <stp>##V3_BCURVEINTV12</stp>
        <stp>[Andrea New RollM.xlsm]SPF!R51C8</stp>
        <stp>EUR.OIS:BLOOMBERG DC 272086</stp>
        <stp>Zc.Mid</stp>
        <stp>20400416</stp>
        <stp>Frequency=Annual</stp>
        <stp>DayCount=D30_360_EOMC</stp>
        <tr r="H51" s="4"/>
      </tp>
    </main>
    <main first="marketviewexcelplugin.mkvxp">
      <tp>
        <v>1.8962000000000001</v>
        <stp/>
        <stp>0</stp>
        <stp>EUR.PRICERISK.PXE.IT0004361041</stp>
        <stp>EffPV1Basis</stp>
        <tr r="W15" s="7"/>
      </tp>
    </main>
    <main first="bloomberg.rtd">
      <tp t="b">
        <v>0</v>
        <stp/>
        <stp>##V3_BCURVEINTV12</stp>
        <stp>[Andrea New RollM.xlsm]SPF!R42C8</stp>
        <stp>EUR.OIS:BLOOMBERG DC 272086</stp>
        <stp>Zc.Mid</stp>
        <stp>20351015</stp>
        <stp>Frequency=Annual</stp>
        <stp>DayCount=D30_360_EOMC</stp>
        <tr r="H42" s="4"/>
      </tp>
    </main>
    <main first="marketviewexcelplugin.mkvxp">
      <tp>
        <v>12.0669</v>
        <stp/>
        <stp>0</stp>
        <stp>EUR.PRICERISK.PXE.IT0001086567</stp>
        <stp>EffPV1Basis</stp>
        <tr r="W56" s="7"/>
      </tp>
      <tp>
        <v>0.83189999999999997</v>
        <stp/>
        <stp>0</stp>
        <stp>EUR.PRICERISK.PXE.IT0003242747</stp>
        <stp>EffPV1Basis</stp>
        <tr r="W9" s="7"/>
      </tp>
    </main>
    <main first="bloomberg.rtd">
      <tp t="b">
        <v>0</v>
        <stp/>
        <stp>##V3_BCURVEINTV12</stp>
        <stp>[Andrea New RollM.xlsm]SPF!R57C8</stp>
        <stp>EUR.OIS:BLOOMBERG DC 272086</stp>
        <stp>Zc.Mid</stp>
        <stp>20430414</stp>
        <stp>Frequency=Annual</stp>
        <stp>DayCount=D30_360_EOMC</stp>
        <tr r="H57" s="4"/>
      </tp>
    </main>
    <main first="marketviewexcelplugin.mkvxp">
      <tp>
        <v>4.0712999999999999</v>
        <stp/>
        <stp>0</stp>
        <stp>EUR.PRICERISK.PXE.IT0005142143</stp>
        <stp>EffPV1Basis</stp>
        <tr r="W30" s="7"/>
      </tp>
    </main>
    <main first="bloomberg.rtd">
      <tp t="b">
        <v>0</v>
        <stp/>
        <stp>##V3_BCURVEINTV12</stp>
        <stp>[Andrea New RollM.xlsm]SPF!R40C8</stp>
        <stp>EUR.OIS:BLOOMBERG DC 272086</stp>
        <stp>Zc.Mid</stp>
        <stp>20341016</stp>
        <stp>Frequency=Annual</stp>
        <stp>DayCount=D30_360_EOMC</stp>
        <tr r="H40" s="4"/>
      </tp>
      <tp t="b">
        <v>0</v>
        <stp/>
        <stp>##V3_BCURVEINTV12</stp>
        <stp>[Andrea New RollM.xlsm]SPF!R55C8</stp>
        <stp>EUR.OIS:BLOOMBERG DC 272086</stp>
        <stp>Zc.Mid</stp>
        <stp>20420414</stp>
        <stp>Frequency=Annual</stp>
        <stp>DayCount=D30_360_EOMC</stp>
        <tr r="H55" s="4"/>
      </tp>
    </main>
    <main first="marketviewexcelplugin.mkvxp">
      <tp>
        <v>12.7126</v>
        <stp/>
        <stp>0</stp>
        <stp>EUR.PRICERISK.PXE.IT0004889033</stp>
        <stp>EffPV1Basis</stp>
        <tr r="W59" s="7"/>
      </tp>
      <tp>
        <v>7.1740000000000004</v>
        <stp/>
        <stp>0</stp>
        <stp>EUR.PRICERISK.PXE.IT0004898034</stp>
        <stp>EffPV1Basis</stp>
        <tr r="W44" s="7"/>
      </tp>
    </main>
    <main first="bloomberg.rtd">
      <tp t="b">
        <v>0</v>
        <stp/>
        <stp>##V3_BCURVEINTV12</stp>
        <stp>[Andrea New RollM.xlsm]SPF!R59C8</stp>
        <stp>EUR.OIS:BLOOMBERG DC 272086</stp>
        <stp>Zc.Mid</stp>
        <stp>20440414</stp>
        <stp>Frequency=Annual</stp>
        <stp>DayCount=D30_360_EOMC</stp>
        <tr r="H59" s="4"/>
      </tp>
    </main>
    <main first="marketviewexcelplugin.mkvxp">
      <tp>
        <v>1.0824</v>
        <stp/>
        <stp>0</stp>
        <stp>EUR.PRICERISK.PXE.IT0004867070</stp>
        <stp>EffPV1Basis</stp>
        <tr r="W10" s="7"/>
      </tp>
    </main>
    <main first="bloomberg.rtd">
      <tp t="b">
        <v>0</v>
        <stp/>
        <stp>##V3_BCURVEINTV12</stp>
        <stp>[Andrea New RollM.xlsm]SPF!R48C8</stp>
        <stp>EUR.OIS:BLOOMBERG DC 272086</stp>
        <stp>Zc.Mid</stp>
        <stp>20381014</stp>
        <stp>Frequency=Annual</stp>
        <stp>DayCount=D30_360_EOMC</stp>
        <tr r="H48" s="4"/>
      </tp>
    </main>
    <main first="marketviewexcelplugin.mkvxp">
      <tp>
        <v>9.5</v>
        <stp/>
        <stp>0</stp>
        <stp>EUR.PRICING_MAIN.PXE.IT0004907843</stp>
        <stp>MidAssetSwap</stp>
        <tr r="Q14" s="7"/>
      </tp>
      <tp t="s">
        <v>OK</v>
        <stp/>
        <stp>4</stp>
        <stp>EUR.CM_DEPTH.XLS_ANDREA.IT0004992308</stp>
        <stp>XLS_ANDREA</stp>
        <tr r="H34" s="23"/>
      </tp>
      <tp t="s">
        <v>OK</v>
        <stp/>
        <stp>4</stp>
        <stp>EUR.CM_DEPTH.XLS_ANDREA.IT0005172322</stp>
        <stp>XLS_ANDREA</stp>
        <tr r="H70" s="23"/>
      </tp>
      <tp t="s">
        <v>OK</v>
        <stp/>
        <stp>4</stp>
        <stp>EUR.CM_DEPTH.XLS_ANDREA.IT0005142143</stp>
        <stp>XLS_ANDREA</stp>
        <tr r="H49" s="23"/>
        <tr r="H50" s="23"/>
      </tp>
      <tp t="s">
        <v>OK</v>
        <stp/>
        <stp>4</stp>
        <stp>EUR.CM_DEPTH.XLS_ANDREA.IT0003242747</stp>
        <stp>XLS_ANDREA</stp>
        <tr r="H14" s="23"/>
      </tp>
      <tp t="s">
        <v>OK</v>
        <stp/>
        <stp>4</stp>
        <stp>EUR.CM_DEPTH.XLS_ANDREA.IT0004532559</stp>
        <stp>XLS_ANDREA</stp>
        <tr r="H112" s="23"/>
      </tp>
      <tp t="s">
        <v>OK</v>
        <stp/>
        <stp>4</stp>
        <stp>EUR.CM_DEPTH.XLS_ANDREA.IT0005162828</stp>
        <stp>XLS_ANDREA</stp>
        <tr r="H117" s="23"/>
      </tp>
    </main>
    <main first="bloomberg.rtd">
      <tp>
        <v>-0.125</v>
        <stp/>
        <stp>##V3_BDPV12</stp>
        <stp>IT0004273493@CBBT Corp</stp>
        <stp>YAS_BOND_YLD</stp>
        <stp>[Andrea New RollM.xlsm]DB!R18C18</stp>
        <stp>SETTLE_DT=20161004</stp>
        <stp>YAS_BOND_PX=106.14</stp>
        <tr r="R18" s="23"/>
      </tp>
      <tp>
        <v>-0.51100000000000001</v>
        <stp/>
        <stp>##V3_BDPV12</stp>
        <stp>FR0010776161@CBBT Corp</stp>
        <stp>YAS_BOND_YLD</stp>
        <stp>[Andrea New RollM.xlsm]DB!R39C19</stp>
        <stp>SETTLE_DT=20160909</stp>
        <stp>YAS_BOND_PX=113.46</stp>
        <tr r="S39" s="23"/>
      </tp>
      <tp>
        <v>-0.08</v>
        <stp/>
        <stp>##V3_BDPV12</stp>
        <stp>IT0004273493@CBBT Corp</stp>
        <stp>YAS_BOND_YLD</stp>
        <stp>[Andrea New RollM.xlsm]DB!R18C19</stp>
        <stp>SETTLE_DT=20160909</stp>
        <stp>YAS_BOND_PX=106.39</stp>
        <tr r="S18" s="23"/>
      </tp>
      <tp>
        <v>-6.4000000000000001E-2</v>
        <stp/>
        <stp>##V3_BDPV12</stp>
        <stp>IT0004361041@CBBT Corp</stp>
        <stp>YAS_BOND_YLD</stp>
        <stp>[Andrea New RollM.xlsm]DB!R24C18</stp>
        <stp>SETTLE_DT=20161004</stp>
        <stp>YAS_BOND_PX=108.34</stp>
        <tr r="R24" s="23"/>
      </tp>
      <tp>
        <v>1E-3</v>
        <stp/>
        <stp>##V3_BDPV12</stp>
        <stp>IT0005177271@CBBT Corp</stp>
        <stp>YAS_BOND_YLD</stp>
        <stp>[Andrea New RollM.xlsm]DB!R33C18</stp>
        <stp>SETTLE_DT=20161004</stp>
        <stp>YAS_BOND_PX=100.25</stp>
        <tr r="R33" s="23"/>
      </tp>
      <tp>
        <v>0.34799999999999998</v>
        <stp/>
        <stp>##V3_BDPV12</stp>
        <stp>IT0005175598@CBBT Corp</stp>
        <stp>YAS_BOND_YLD</stp>
        <stp>[Andrea New RollM.xlsm]DB!R56C17</stp>
        <stp>SETTLE_DT=20161011</stp>
        <stp>YAS_BOND_PX=100.47</stp>
        <tr r="Q56" s="23"/>
      </tp>
    </main>
    <main first="marketviewexcelplugin.mkvxp">
      <tp>
        <v>44075</v>
        <stp/>
        <stp>0</stp>
        <stp>EUR.CM_INSTRUMENT.PXE.IT0004594930</stp>
        <stp>DateMaturity</stp>
        <tr r="D47" s="23"/>
      </tp>
      <tp>
        <v>47149</v>
        <stp/>
        <stp>0</stp>
        <stp>EUR.CM_INSTRUMENT.PXE.ES0000011868</stp>
        <stp>DateMaturity</stp>
        <tr r="D213" s="23"/>
      </tp>
      <tp t="e">
        <v>#REF!</v>
        <stp/>
        <stp>0</stp>
        <stp>EUR.CM_INSTRUMENT.PXE.DE0001137479</stp>
        <stp>DateMaturity</stp>
        <tr r="D122" s="23"/>
      </tp>
      <tp>
        <v>43385</v>
        <stp/>
        <stp>0</stp>
        <stp>EUR.CM_INSTRUMENT.PXE.DE0001141679</stp>
        <stp>DateMaturity</stp>
        <tr r="D140" s="23"/>
      </tp>
      <tp>
        <v>46327</v>
        <stp/>
        <stp>0</stp>
        <stp>EUR.CM_INSTRUMENT.PXE.IT0001086567</stp>
        <stp>DateMaturity</stp>
        <tr r="D91" s="23"/>
      </tp>
      <tp>
        <v>44746</v>
        <stp/>
        <stp>0</stp>
        <stp>EUR.CM_INSTRUMENT.PXE.DE0001135473</stp>
        <stp>DateMaturity</stp>
        <tr r="D157" s="23"/>
      </tp>
      <tp>
        <v>42767</v>
        <stp/>
        <stp>0</stp>
        <stp>EUR.CM_INSTRUMENT.PXE.IT0004164775</stp>
        <stp>DateMaturity</stp>
        <tr r="D9" s="23"/>
      </tp>
      <tp>
        <v>45231</v>
        <stp/>
        <stp>0</stp>
        <stp>EUR.CM_INSTRUMENT.PXE.IT0000366655</stp>
        <stp>DateMaturity</stp>
        <tr r="D76" s="23"/>
      </tp>
      <tp>
        <v>42948</v>
        <stp/>
        <stp>0</stp>
        <stp>EUR.CM_INSTRUMENT.PXE.IT0003242747</stp>
        <stp>DateMaturity</stp>
        <tr r="D14" s="23"/>
      </tp>
      <tp>
        <v>56729</v>
        <stp/>
        <stp>0</stp>
        <stp>EUR.CM_INSTRUMENT.PXE.FR0010171975</stp>
        <stp>DateMaturity</stp>
        <tr r="D119" s="23"/>
      </tp>
      <tp>
        <v>47852</v>
        <stp/>
        <stp>0</stp>
        <stp>EUR.CM_INSTRUMENT.PXE.DE0001135176</stp>
        <stp>DateMaturity</stp>
        <tr r="D174" s="23"/>
      </tp>
      <tp>
        <v>45703</v>
        <stp/>
        <stp>0</stp>
        <stp>EUR.CM_INSTRUMENT.PXE.DE0001102374</stp>
        <stp>DateMaturity</stp>
        <tr r="D166" s="23"/>
      </tp>
      <tp>
        <v>46167</v>
        <stp/>
        <stp>0</stp>
        <stp>EUR.CM_INSTRUMENT.PXE.FR0013131877</stp>
        <stp>DateMaturity</stp>
        <tr r="D89" s="23"/>
      </tp>
      <tp>
        <v>45214</v>
        <stp/>
        <stp>0</stp>
        <stp>EUR.CM_INSTRUMENT.PXE.IT0005215246</stp>
        <stp>DateMaturity</stp>
        <tr r="D74" s="23"/>
      </tp>
      <tp>
        <v>49424</v>
        <stp/>
        <stp>0</stp>
        <stp>EUR.CM_INSTRUMENT.PXE.FR0010070060</stp>
        <stp>DateMaturity</stp>
        <tr r="D106" s="23"/>
      </tp>
      <tp>
        <v>43469</v>
        <stp/>
        <stp>0</stp>
        <stp>EUR.CM_INSTRUMENT.PXE.DE0001135374</stp>
        <stp>DateMaturity</stp>
        <tr r="D141" s="23"/>
      </tp>
    </main>
    <main first="bloomberg.rtd">
      <tp t="s">
        <v>15/07/2016</v>
        <stp/>
        <stp>##V3_BDPV12</stp>
        <stp>IT0005185456 Corp</stp>
        <stp>PREV_CPN_DT</stp>
        <stp>[Andrea New RollM.xlsm]CCT!R14C24</stp>
        <tr r="X14" s="27"/>
      </tp>
    </main>
    <main first="marketviewexcelplugin.mkvxp">
      <tp>
        <v>43570</v>
        <stp/>
        <stp>0</stp>
        <stp>EUR.CM_INSTRUMENT.PXE.IT0005177271</stp>
        <stp>DateMaturity</stp>
        <tr r="D33" s="23"/>
      </tp>
      <tp>
        <v>50044</v>
        <stp/>
        <stp>0</stp>
        <stp>EUR.CM_INSTRUMENT.PXE.DE0001135275</stp>
        <stp>DateMaturity</stp>
        <tr r="D176" s="23"/>
      </tp>
      <tp>
        <v>43115</v>
        <stp/>
        <stp>0</stp>
        <stp>EUR.CM_INSTRUMENT.PXE.IT0005058463</stp>
        <stp>DateMaturity</stp>
        <tr r="D17" s="23"/>
      </tp>
    </main>
    <main first="bloomberg.rtd">
      <tp>
        <v>5.5E-2</v>
        <stp/>
        <stp>##V3_BDPV12</stp>
        <stp>IT0004489610@CBBT Corp</stp>
        <stp>YAS_BOND_YLD</stp>
        <stp>[Andrea New RollM.xlsm]DB!R37C17</stp>
        <stp>SETTLE_DT=20161011</stp>
        <stp>YAS_BOND_PX=112.11</stp>
        <tr r="Q37" s="23"/>
      </tp>
      <tp>
        <v>-8.7999999999999995E-2</v>
        <stp/>
        <stp>##V3_BDPV12</stp>
        <stp>IT0005106049@CBBT Corp</stp>
        <stp>YAS_BOND_YLD</stp>
        <stp>[Andrea New RollM.xlsm]DB!R21C17</stp>
        <stp>SETTLE_DT=20161011</stp>
        <stp>YAS_BOND_PX=100.54</stp>
        <tr r="Q21" s="23"/>
      </tp>
    </main>
    <main first="marketviewexcelplugin.mkvxp">
      <tp>
        <v>47618</v>
        <stp/>
        <stp>0</stp>
        <stp>EUR.CM_INSTRUMENT.PXE.IE00BJ38CR43</stp>
        <stp>DateMaturity</stp>
        <tr r="D248" s="23"/>
      </tp>
      <tp>
        <v>46756</v>
        <stp/>
        <stp>0</stp>
        <stp>EUR.CM_INSTRUMENT.PXE.DE0001135069</stp>
        <stp>DateMaturity</stp>
        <tr r="D171" s="23"/>
      </tp>
      <tp>
        <v>43245</v>
        <stp/>
        <stp>0</stp>
        <stp>EUR.CM_INSTRUMENT.PXE.FR0011394345</stp>
        <stp>DateMaturity</stp>
        <tr r="D22" s="23"/>
      </tp>
      <tp>
        <v>45224</v>
        <stp/>
        <stp>0</stp>
        <stp>EUR.CM_INSTRUMENT.PXE.FR0010466938</stp>
        <stp>DateMaturity</stp>
        <tr r="D75" s="23"/>
      </tp>
      <tp>
        <v>46357</v>
        <stp/>
        <stp>0</stp>
        <stp>EUR.CM_INSTRUMENT.PXE.IT0005210650</stp>
        <stp>DateMaturity</stp>
        <tr r="D93" s="23"/>
      </tp>
      <tp>
        <v>53107</v>
        <stp/>
        <stp>0</stp>
        <stp>EUR.CM_INSTRUMENT.PXE.FR0011461037</stp>
        <stp>DateMaturity</stp>
        <tr r="D115" s="23"/>
      </tp>
      <tp>
        <v>42850</v>
        <stp/>
        <stp>0</stp>
        <stp>EUR.CM_INSTRUMENT.PXE.FR0010415331</stp>
        <stp>DateMaturity</stp>
        <tr r="D10" s="23"/>
      </tp>
      <tp>
        <v>44409</v>
        <stp/>
        <stp>0</stp>
        <stp>EUR.CM_INSTRUMENT.PXE.IT0004009673</stp>
        <stp>DateMaturity</stp>
        <tr r="D58" s="23"/>
      </tp>
      <tp>
        <v>43203</v>
        <stp/>
        <stp>0</stp>
        <stp>EUR.CM_INSTRUMENT.PXE.DE0001141661</stp>
        <stp>DateMaturity</stp>
        <tr r="D136" s="23"/>
      </tp>
      <tp>
        <v>51321</v>
        <stp/>
        <stp>0</stp>
        <stp>EUR.CM_INSTRUMENT.PXE.DE0001135366</stp>
        <stp>DateMaturity</stp>
        <tr r="D178" s="23"/>
      </tp>
      <tp>
        <v>45627</v>
        <stp/>
        <stp>0</stp>
        <stp>EUR.CM_INSTRUMENT.PXE.IT0005045270</stp>
        <stp>DateMaturity</stp>
        <tr r="D81" s="23"/>
      </tp>
      <tp>
        <v>43313</v>
        <stp/>
        <stp>0</stp>
        <stp>EUR.CM_INSTRUMENT.PXE.IT0004361041</stp>
        <stp>DateMaturity</stp>
        <tr r="D24" s="23"/>
      </tp>
    </main>
    <main first="bloomberg.rtd">
      <tp t="s">
        <v>15/06/2016</v>
        <stp/>
        <stp>##V3_BDPV12</stp>
        <stp>IT0005104473 Corp</stp>
        <stp>PREV_CPN_DT</stp>
        <stp>[Andrea New RollM.xlsm]CCT!R12C24</stp>
        <tr r="X12" s="27"/>
      </tp>
    </main>
    <main first="marketviewexcelplugin.mkvxp">
      <tp>
        <v>45139</v>
        <stp/>
        <stp>0</stp>
        <stp>EUR.CM_INSTRUMENT.PXE.IT0004356843</stp>
        <stp>DateMaturity</stp>
        <tr r="D73" s="23"/>
      </tp>
      <tp>
        <v>45519</v>
        <stp/>
        <stp>0</stp>
        <stp>EUR.CM_INSTRUMENT.PXE.DE0001102366</stp>
        <stp>DateMaturity</stp>
        <tr r="D165" s="23"/>
      </tp>
      <tp>
        <v>43521</v>
        <stp/>
        <stp>0</stp>
        <stp>EUR.CM_INSTRUMENT.PXE.FR0013101466</stp>
        <stp>DateMaturity</stp>
        <tr r="D30" s="23"/>
      </tp>
      <tp>
        <v>44565</v>
        <stp/>
        <stp>0</stp>
        <stp>EUR.CM_INSTRUMENT.PXE.DE0001135465</stp>
        <stp>DateMaturity</stp>
        <tr r="D156" s="23"/>
      </tp>
      <tp>
        <v>45802</v>
        <stp/>
        <stp>0</stp>
        <stp>EUR.CM_INSTRUMENT.PXE.FR0012517027</stp>
        <stp>DateMaturity</stp>
        <tr r="D83" s="23"/>
      </tp>
    </main>
    <main first="bloomberg.rtd">
      <tp>
        <v>-0.193</v>
        <stp/>
        <stp>##V3_BDPV12</stp>
        <stp>IT0004867070@CBBT Corp</stp>
        <stp>YAS_BOND_YLD</stp>
        <stp>[Andrea New RollM.xlsm]DB!R16C18</stp>
        <stp>SETTLE_DT=20161004</stp>
        <stp>YAS_BOND_PX=103.98</stp>
        <tr r="R16" s="23"/>
      </tp>
      <tp>
        <v>0.55100000000000005</v>
        <stp/>
        <stp>##V3_BDPV12</stp>
        <stp>IT0004801541@CBBT Corp</stp>
        <stp>YAS_BOND_YLD</stp>
        <stp>[Andrea New RollM.xlsm]DB!R66C19</stp>
        <stp>SETTLE_DT=20160909</stp>
        <stp>YAS_BOND_PX=129.07</stp>
        <tr r="S66" s="23"/>
      </tp>
      <tp>
        <v>-0.64</v>
        <stp/>
        <stp>##V3_BDPV12</stp>
        <stp>FR0011523257@CBBT Corp</stp>
        <stp>YAS_BOND_YLD</stp>
        <stp>[Andrea New RollM.xlsm]DB!R27C18</stp>
        <stp>SETTLE_DT=20161004</stp>
        <stp>YAS_BOND_PX=103.55</stp>
        <tr r="R27" s="23"/>
      </tp>
      <tp>
        <v>0.41299999999999998</v>
        <stp/>
        <stp>##V3_BDPV12</stp>
        <stp>IT0005028003@CBBT Corp</stp>
        <stp>YAS_BOND_YLD</stp>
        <stp>[Andrea New RollM.xlsm]DB!R62C19</stp>
        <stp>SETTLE_DT=20160909</stp>
        <stp>YAS_BOND_PX=109.04</stp>
        <tr r="S62" s="23"/>
      </tp>
      <tp>
        <v>-0.55100000000000005</v>
        <stp/>
        <stp>##V3_BDPV12</stp>
        <stp>FR0011523257@CBBT Corp</stp>
        <stp>YAS_BOND_YLD</stp>
        <stp>[Andrea New RollM.xlsm]DB!R27C19</stp>
        <stp>SETTLE_DT=20160909</stp>
        <stp>YAS_BOND_PX=103.46</stp>
        <tr r="S27" s="23"/>
      </tp>
      <tp>
        <v>-0.11700000000000001</v>
        <stp/>
        <stp>##V3_BDPV12</stp>
        <stp>IT0005058463@CBBT Corp</stp>
        <stp>YAS_BOND_YLD</stp>
        <stp>[Andrea New RollM.xlsm]DB!R17C19</stp>
        <stp>SETTLE_DT=20160909</stp>
        <stp>YAS_BOND_PX=101.17</stp>
        <tr r="S17" s="23"/>
      </tp>
      <tp t="s">
        <v>15/01/2017</v>
        <stp/>
        <stp>##V3_BDPV12</stp>
        <stp>IT0005185456 Corp</stp>
        <stp>NXT_CPN_DT</stp>
        <stp>[Andrea New RollM.xlsm]CCT!R14C23</stp>
        <tr r="W14" s="27"/>
      </tp>
    </main>
    <main first="marketviewexcelplugin.mkvxp">
      <tp>
        <v>43580</v>
        <stp/>
        <stp>0</stp>
        <stp>EUR.CM_INSTRUMENT.PXE.FR0000189151</stp>
        <stp>DateMaturity</stp>
        <tr r="D32" s="23"/>
      </tp>
      <tp>
        <v>45427</v>
        <stp/>
        <stp>0</stp>
        <stp>EUR.CM_INSTRUMENT.PXE.DE0001102358</stp>
        <stp>DateMaturity</stp>
        <tr r="D164" s="23"/>
      </tp>
      <tp>
        <v>43285</v>
        <stp/>
        <stp>0</stp>
        <stp>EUR.CM_INSTRUMENT.PXE.DE0001135358</stp>
        <stp>DateMaturity</stp>
        <tr r="D138" s="23"/>
      </tp>
      <tp>
        <v>44676</v>
        <stp/>
        <stp>0</stp>
        <stp>EUR.CM_INSTRUMENT.PXE.FR0011196856</stp>
        <stp>DateMaturity</stp>
        <tr r="D65" s="23"/>
      </tp>
      <tp>
        <v>50983</v>
        <stp/>
        <stp>0</stp>
        <stp>EUR.CM_INSTRUMENT.PXE.IT0004286966</stp>
        <stp>DateMaturity</stp>
        <tr r="D111" s="23"/>
      </tp>
      <tp>
        <v>43357</v>
        <stp/>
        <stp>0</stp>
        <stp>EUR.CM_INSTRUMENT.PXE.DE0001104651</stp>
        <stp>DateMaturity</stp>
        <tr r="D139" s="23"/>
      </tp>
    </main>
    <main first="bloomberg.rtd">
      <tp t="s">
        <v>15/06/2016</v>
        <stp/>
        <stp>##V3_BDPV12</stp>
        <stp>IT0005137614 Corp</stp>
        <stp>PREV_CPN_DT</stp>
        <stp>[Andrea New RollM.xlsm]CCT!R13C24</stp>
        <tr r="X13" s="27"/>
      </tp>
    </main>
    <main first="marketviewexcelplugin.mkvxp">
      <tp>
        <v>44443</v>
        <stp/>
        <stp>0</stp>
        <stp>EUR.CM_INSTRUMENT.PXE.DE0001135457</stp>
        <stp>DateMaturity</stp>
        <tr r="D154" s="23"/>
      </tp>
      <tp>
        <v>45536</v>
        <stp/>
        <stp>0</stp>
        <stp>EUR.CM_INSTRUMENT.PXE.IT0005001547</stp>
        <stp>DateMaturity</stp>
        <tr r="D79" s="23"/>
      </tp>
      <tp>
        <v>43154</v>
        <stp/>
        <stp>0</stp>
        <stp>EUR.CM_INSTRUMENT.PXE.DE0001141653</stp>
        <stp>DateMaturity</stp>
        <tr r="D134" s="23"/>
      </tp>
      <tp>
        <v>43033</v>
        <stp/>
        <stp>0</stp>
        <stp>EUR.CM_INSTRUMENT.PXE.FR0010517417</stp>
        <stp>DateMaturity</stp>
        <tr r="D15" s="23"/>
      </tp>
    </main>
    <main first="bloomberg.rtd">
      <tp>
        <v>0.311</v>
        <stp/>
        <stp>##V3_BDPV12</stp>
        <stp>IT0004009673@CBBT Corp</stp>
        <stp>YAS_BOND_YLD</stp>
        <stp>[Andrea New RollM.xlsm]DB!R58C19</stp>
        <stp>SETTLE_DT=20160909</stp>
        <stp>YAS_BOND_PX=116.69</stp>
        <tr r="S58" s="23"/>
      </tp>
      <tp>
        <v>1.268</v>
        <stp/>
        <stp>##V3_BDPV12</stp>
        <stp>IT0001086567@CBBT Corp</stp>
        <stp>YAS_BOND_YLD</stp>
        <stp>[Andrea New RollM.xlsm]DB!R91C19</stp>
        <stp>SETTLE_DT=20160909</stp>
        <stp>YAS_BOND_PX=156.81</stp>
        <tr r="S91" s="23"/>
      </tp>
    </main>
    <main first="marketviewexcelplugin.mkvxp">
      <tp>
        <v>43235</v>
        <stp/>
        <stp>0</stp>
        <stp>EUR.CM_INSTRUMENT.PXE.IT0005106049</stp>
        <stp>DateMaturity</stp>
        <tr r="D21" s="23"/>
      </tp>
      <tp>
        <v>43709</v>
        <stp/>
        <stp>0</stp>
        <stp>EUR.CM_INSTRUMENT.PXE.IT0004489610</stp>
        <stp>DateMaturity</stp>
        <tr r="D37" s="23"/>
      </tp>
      <tp>
        <v>42870</v>
        <stp/>
        <stp>0</stp>
        <stp>EUR.CM_INSTRUMENT.PXE.IT0005023459</stp>
        <stp>DateMaturity</stp>
        <tr r="D12" s="23"/>
      </tp>
      <tp>
        <v>53571</v>
        <stp/>
        <stp>0</stp>
        <stp>EUR.CM_INSTRUMENT.PXE.IT0005083057</stp>
        <stp>DateMaturity</stp>
        <tr r="D116" s="23"/>
      </tp>
      <tp>
        <v>46082</v>
        <stp/>
        <stp>0</stp>
        <stp>EUR.CM_INSTRUMENT.PXE.IT0004644735</stp>
        <stp>DateMaturity</stp>
        <tr r="D87" s="23"/>
      </tp>
      <tp>
        <v>44256</v>
        <stp/>
        <stp>0</stp>
        <stp>EUR.CM_INSTRUMENT.PXE.IT0004634132</stp>
        <stp>DateMaturity</stp>
        <tr r="D52" s="23"/>
      </tp>
      <tp>
        <v>44477</v>
        <stp/>
        <stp>0</stp>
        <stp>EUR.CM_INSTRUMENT.PXE.DE0001141745</stp>
        <stp>DateMaturity</stp>
        <tr r="D155" s="23"/>
      </tp>
      <tp>
        <v>53554</v>
        <stp/>
        <stp>0</stp>
        <stp>EUR.CM_INSTRUMENT.PXE.DE0001102341</stp>
        <stp>DateMaturity</stp>
        <tr r="D181" s="23"/>
      </tp>
      <tp>
        <v>49820</v>
        <stp/>
        <stp>0</stp>
        <stp>EUR.CM_INSTRUMENT.PXE.FR0013154044</stp>
        <stp>DateMaturity</stp>
        <tr r="D107" s="23"/>
      </tp>
      <tp>
        <v>43398</v>
        <stp/>
        <stp>0</stp>
        <stp>EUR.CM_INSTRUMENT.PXE.FR0010670737</stp>
        <stp>DateMaturity</stp>
        <tr r="D26" s="23"/>
      </tp>
      <tp>
        <v>47487</v>
        <stp/>
        <stp>0</stp>
        <stp>EUR.CM_INSTRUMENT.PXE.DE0001135143</stp>
        <stp>DateMaturity</stp>
        <tr r="D173" s="23"/>
      </tp>
      <tp>
        <v>44819</v>
        <stp/>
        <stp>0</stp>
        <stp>EUR.CM_INSTRUMENT.PXE.IT0005135840</stp>
        <stp>DateMaturity</stp>
        <tr r="D67" s="23"/>
      </tp>
      <tp>
        <v>44381</v>
        <stp/>
        <stp>0</stp>
        <stp>EUR.CM_INSTRUMENT.PXE.DE0001135440</stp>
        <stp>DateMaturity</stp>
        <tr r="D153" s="23"/>
      </tp>
      <tp>
        <v>43021</v>
        <stp/>
        <stp>0</stp>
        <stp>EUR.CM_INSTRUMENT.PXE.DE0001141646</stp>
        <stp>DateMaturity</stp>
        <tr r="D131" s="23"/>
      </tp>
      <tp>
        <v>43104</v>
        <stp/>
        <stp>0</stp>
        <stp>EUR.CM_INSTRUMENT.PXE.DE0001135341</stp>
        <stp>DateMaturity</stp>
        <tr r="D133" s="23"/>
      </tp>
      <tp>
        <v>43266</v>
        <stp/>
        <stp>0</stp>
        <stp>EUR.CM_INSTRUMENT.PXE.DE0001104644</stp>
        <stp>DateMaturity</stp>
        <tr r="D137" s="23"/>
      </tp>
    </main>
    <main first="bloomberg.rtd">
      <tp t="s">
        <v>15/06/2016</v>
        <stp/>
        <stp>##V3_BDPV12</stp>
        <stp>IT0005056541 Corp</stp>
        <stp>PREV_CPN_DT</stp>
        <stp>[Andrea New RollM.xlsm]CCT!R11C24</stp>
        <tr r="X11" s="27"/>
      </tp>
    </main>
    <main first="marketviewexcelplugin.mkvxp">
      <tp>
        <v>45437</v>
        <stp/>
        <stp>0</stp>
        <stp>EUR.CM_INSTRUMENT.PXE.FR0011619436</stp>
        <stp>DateMaturity</stp>
        <tr r="D78" s="23"/>
      </tp>
      <tp>
        <v>44136</v>
        <stp/>
        <stp>0</stp>
        <stp>EUR.CM_INSTRUMENT.PXE.IT0005142143</stp>
        <stp>DateMaturity</stp>
        <tr r="D49" s="23"/>
        <tr r="D50" s="23"/>
      </tp>
      <tp>
        <v>46572</v>
        <stp/>
        <stp>0</stp>
        <stp>EUR.CM_INSTRUMENT.PXE.DE0001135044</stp>
        <stp>DateMaturity</stp>
        <tr r="D170" s="23"/>
      </tp>
    </main>
    <main first="bloomberg.rtd">
      <tp>
        <v>32.390823948873233</v>
        <stp/>
        <stp>##V3_BDPV12</stp>
        <stp>IT0004652175 Corp@CBBT Corp</stp>
        <stp>Z_SPRD_MID</stp>
        <stp>[Andrea New RollM.xlsm]CCT!R7C10</stp>
        <tr r="J7" s="27"/>
      </tp>
    </main>
    <main first="bloomberg.rtd">
      <tp>
        <v>36.673423550065301</v>
        <stp/>
        <stp>##V3_BDPV12</stp>
        <stp>IT0004922909 Corp@CBBT Corp</stp>
        <stp>Z_SPRD_MID</stp>
        <stp>[Andrea New RollM.xlsm]CCT!R9C10</stp>
        <tr r="J9" s="27"/>
      </tp>
      <tp>
        <v>0.11600000000000001</v>
        <stp/>
        <stp>##V3_BDPV12</stp>
        <stp>IT0004536949@CBBT Corp</stp>
        <stp>YAS_BOND_YLD</stp>
        <stp>[Andrea New RollM.xlsm]DB!R43C17</stp>
        <stp>SETTLE_DT=20161011</stp>
        <stp>YAS_BOND_PX=113.98</stp>
        <tr r="Q43" s="23"/>
      </tp>
      <tp>
        <v>0.69599999999999995</v>
        <stp/>
        <stp>##V3_BDPV12</stp>
        <stp>IT0004356843@CBBT Corp</stp>
        <stp>YAS_BOND_YLD</stp>
        <stp>[Andrea New RollM.xlsm]DB!R73C19</stp>
        <stp>SETTLE_DT=20160909</stp>
        <stp>YAS_BOND_PX=127.25</stp>
        <tr r="S73" s="23"/>
      </tp>
    </main>
    <main first="marketviewexcelplugin.mkvxp">
      <tp>
        <v>43997</v>
        <stp/>
        <stp>0</stp>
        <stp>EUR.CM_INSTRUMENT.PXE.PTOTECOE0029</stp>
        <stp>DateMaturity</stp>
        <tr r="D226" s="23"/>
      </tp>
      <tp>
        <v>53008</v>
        <stp/>
        <stp>0</stp>
        <stp>EUR.CM_INSTRUMENT.PXE.PTOTEBOE0020</stp>
        <stp>DateMaturity</stp>
        <tr r="D233" s="23"/>
        <tr r="D236" s="23"/>
      </tp>
      <tp>
        <v>45224</v>
        <stp/>
        <stp>0</stp>
        <stp>EUR.CM_INSTRUMENT.PXE.PTOTEAOE0021</stp>
        <stp>DateMaturity</stp>
        <tr r="D229" s="23"/>
      </tp>
      <tp>
        <v>43630</v>
        <stp/>
        <stp>0</stp>
        <stp>EUR.CM_INSTRUMENT.PXE.PTOTEMOE0027</stp>
        <stp>DateMaturity</stp>
        <tr r="D225" s="23"/>
      </tp>
      <tp>
        <v>48512</v>
        <stp/>
        <stp>0</stp>
        <stp>EUR.CM_INSTRUMENT.PXE.FR0000187635</stp>
        <stp>DateMaturity</stp>
        <tr r="D103" s="23"/>
      </tp>
      <tp>
        <v>42832</v>
        <stp/>
        <stp>0</stp>
        <stp>EUR.CM_INSTRUMENT.PXE.DE0001141638</stp>
        <stp>DateMaturity</stp>
        <tr r="D127" s="23"/>
      </tp>
      <tp>
        <v>45071</v>
        <stp/>
        <stp>0</stp>
        <stp>EUR.CM_INSTRUMENT.PXE.FR0011486067</stp>
        <stp>DateMaturity</stp>
        <tr r="D72" s="23"/>
      </tp>
      <tp>
        <v>46174</v>
        <stp/>
        <stp>0</stp>
        <stp>EUR.CM_INSTRUMENT.PXE.IT0005170839</stp>
        <stp>DateMaturity</stp>
        <tr r="D90" s="23"/>
      </tp>
      <tp>
        <v>52051</v>
        <stp/>
        <stp>0</stp>
        <stp>EUR.CM_INSTRUMENT.PXE.DE0001135432</stp>
        <stp>DateMaturity</stp>
        <tr r="D179" s="23"/>
      </tp>
      <tp>
        <v>42920</v>
        <stp/>
        <stp>0</stp>
        <stp>EUR.CM_INSTRUMENT.PXE.DE0001135333</stp>
        <stp>DateMaturity</stp>
        <tr r="D129" s="23"/>
      </tp>
      <tp>
        <v>44295</v>
        <stp/>
        <stp>0</stp>
        <stp>EUR.CM_INSTRUMENT.PXE.DE0001141737</stp>
        <stp>DateMaturity</stp>
        <tr r="D152" s="23"/>
      </tp>
      <tp>
        <v>45337</v>
        <stp/>
        <stp>0</stp>
        <stp>EUR.CM_INSTRUMENT.PXE.DE0001102333</stp>
        <stp>DateMaturity</stp>
        <tr r="D163" s="23"/>
      </tp>
      <tp t="e">
        <v>#REF!</v>
        <stp/>
        <stp>0</stp>
        <stp>EUR.CM_INSTRUMENT.PXE.IT0004761950</stp>
        <stp>DateMaturity</stp>
        <tr r="D6" s="23"/>
      </tp>
      <tp>
        <v>43175</v>
        <stp/>
        <stp>0</stp>
        <stp>EUR.CM_INSTRUMENT.PXE.DE0001104636</stp>
        <stp>DateMaturity</stp>
        <tr r="D135" s="23"/>
      </tp>
    </main>
    <main first="bloomberg.rtd">
      <tp>
        <v>76.43050547213258</v>
        <stp/>
        <stp>##V3_BDPV12</stp>
        <stp>IT0004809809 Corp@CBBT Corp</stp>
        <stp>ASSET_SWAP_SPD_MID</stp>
        <stp>[Andrea New RollM.xlsm]CCT!R6C11</stp>
        <tr r="K6" s="27"/>
      </tp>
      <tp>
        <v>1.514</v>
        <stp/>
        <stp>##V3_BDPV12</stp>
        <stp>IT0001174611@CBBT Corp</stp>
        <stp>YAS_BOND_YLD</stp>
        <stp>[Andrea New RollM.xlsm]DB!R95C17</stp>
        <stp>SETTLE_DT=20161011</stp>
        <stp>YAS_BOND_PX=150.66</stp>
        <tr r="Q95" s="23"/>
      </tp>
      <tp t="s">
        <v>15/11/2016</v>
        <stp/>
        <stp>##V3_BDPV12</stp>
        <stp>IT0005009839 Corp</stp>
        <stp>NXT_CPN_DT</stp>
        <stp>[Andrea New RollM.xlsm]CCT!R10C23</stp>
        <tr r="W10" s="27"/>
      </tp>
    </main>
    <main first="marketviewexcelplugin.mkvxp">
      <tp>
        <v>43084</v>
        <stp/>
        <stp>0</stp>
        <stp>EUR.CM_INSTRUMENT.PXE.DE0001104628</stp>
        <stp>DateMaturity</stp>
        <tr r="D132" s="23"/>
      </tp>
      <tp>
        <v>43156</v>
        <stp/>
        <stp>0</stp>
        <stp>EUR.CM_INSTRUMENT.PXE.FR0012634558</stp>
        <stp>DateMaturity</stp>
        <tr r="D19" s="23"/>
      </tp>
      <tp>
        <v>44120</v>
        <stp/>
        <stp>0</stp>
        <stp>EUR.CM_INSTRUMENT.PXE.DE0001141729</stp>
        <stp>DateMaturity</stp>
        <tr r="D150" s="23"/>
      </tp>
      <tp>
        <v>60777</v>
        <stp/>
        <stp>0</stp>
        <stp>EUR.CM_INSTRUMENT.PXE.FR0013154028</stp>
        <stp>DateMaturity</stp>
        <tr r="D121" s="23"/>
      </tp>
      <tp>
        <v>47969</v>
        <stp/>
        <stp>0</stp>
        <stp>EUR.CM_INSTRUMENT.PXE.IT0001444378</stp>
        <stp>DateMaturity</stp>
        <tr r="D100" s="23"/>
      </tp>
      <tp>
        <v>53752</v>
        <stp/>
        <stp>0</stp>
        <stp>EUR.CM_INSTRUMENT.PXE.IT0005162828</stp>
        <stp>DateMaturity</stp>
        <tr r="D117" s="23"/>
      </tp>
      <tp>
        <v>45295</v>
        <stp/>
        <stp>0</stp>
        <stp>EUR.CM_INSTRUMENT.PXE.DE0001134922</stp>
        <stp>DateMaturity</stp>
        <tr r="D162" s="23"/>
      </tp>
      <tp>
        <v>46351</v>
        <stp/>
        <stp>0</stp>
        <stp>EUR.CM_INSTRUMENT.PXE.FR0013200813</stp>
        <stp>DateMaturity</stp>
        <tr r="D92" s="23"/>
      </tp>
      <tp>
        <v>50071</v>
        <stp/>
        <stp>0</stp>
        <stp>EUR.CM_INSTRUMENT.PXE.ES0000012932</stp>
        <stp>DateMaturity</stp>
        <tr r="D216" s="23"/>
      </tp>
      <tp>
        <v>45000</v>
        <stp/>
        <stp>0</stp>
        <stp>EUR.CM_INSTRUMENT.PXE.IT0005172322</stp>
        <stp>DateMaturity</stp>
        <tr r="D70" s="23"/>
      </tp>
      <tp>
        <v>45153</v>
        <stp/>
        <stp>0</stp>
        <stp>EUR.CM_INSTRUMENT.PXE.DE0001102325</stp>
        <stp>DateMaturity</stp>
        <tr r="D161" s="23"/>
      </tp>
      <tp>
        <v>49129</v>
        <stp/>
        <stp>0</stp>
        <stp>EUR.CM_INSTRUMENT.PXE.DE0001135226</stp>
        <stp>DateMaturity</stp>
        <tr r="D175" s="23"/>
      </tp>
      <tp>
        <v>42790</v>
        <stp/>
        <stp>0</stp>
        <stp>EUR.CM_INSTRUMENT.PXE.DE0001141620</stp>
        <stp>DateMaturity</stp>
        <tr r="D125" s="23"/>
      </tp>
      <tp>
        <v>44200</v>
        <stp/>
        <stp>0</stp>
        <stp>EUR.CM_INSTRUMENT.PXE.DE0001135424</stp>
        <stp>DateMaturity</stp>
        <tr r="D151" s="23"/>
      </tp>
      <tp>
        <v>47543</v>
        <stp/>
        <stp>0</stp>
        <stp>EUR.CM_INSTRUMENT.PXE.IT0005024234</stp>
        <stp>DateMaturity</stp>
        <tr r="D98" s="23"/>
      </tp>
      <tp>
        <v>50703</v>
        <stp/>
        <stp>0</stp>
        <stp>EUR.CM_INSTRUMENT.PXE.FR0010371401</stp>
        <stp>DateMaturity</stp>
        <tr r="D110" s="23"/>
      </tp>
      <tp>
        <v>50955</v>
        <stp/>
        <stp>0</stp>
        <stp>EUR.CM_INSTRUMENT.PXE.DE0001135325</stp>
        <stp>DateMaturity</stp>
        <tr r="D177" s="23"/>
      </tp>
      <tp>
        <v>47423</v>
        <stp/>
        <stp>0</stp>
        <stp>EUR.CM_INSTRUMENT.PXE.IT0001278511</stp>
        <stp>DateMaturity</stp>
        <tr r="D97" s="23"/>
      </tp>
    </main>
    <main first="bloomberg.rtd">
      <tp>
        <v>10.932257740703843</v>
        <stp/>
        <stp>##V3_BDPV12</stp>
        <stp>IT0004584204 Corp@CBBT Corp</stp>
        <stp>Z_SPRD_MID</stp>
        <stp>[Andrea New RollM.xlsm]CCT!R5C10</stp>
        <tr r="J5" s="27"/>
      </tp>
    </main>
    <main first="bloomberg.rtd">
      <tp>
        <v>-0.28499999999999998</v>
        <stp/>
        <stp>##V3_BDPV12</stp>
        <stp>IT0004793474@CBBT Corp</stp>
        <stp>YAS_BOND_YLD</stp>
        <stp>[Andrea New RollM.xlsm]DB!R11C17</stp>
        <stp>SETTLE_DT=20161011</stp>
        <stp>YAS_BOND_PX=102.81</stp>
        <tr r="Q11" s="23"/>
      </tp>
    </main>
    <main first="marketviewexcelplugin.mkvxp">
      <tp t="s">
        <v>OK</v>
        <stp/>
        <stp>4</stp>
        <stp>EUR.CM_DEPTH.XLS_ANDREA.IE00B6089D15</stp>
        <stp>XLS_ANDREA</stp>
        <tr r="H240" s="23"/>
      </tp>
    </main>
    <main first="bloomberg.rtd">
      <tp>
        <v>-2.1999999999999999E-2</v>
        <stp/>
        <stp>##V3_BDPV12</stp>
        <stp>IT0003493258@CBBT Corp</stp>
        <stp>YAS_BOND_YLD</stp>
        <stp>[Andrea New RollM.xlsm]DB!R29C18</stp>
        <stp>SETTLE_DT=20161004</stp>
        <stp>YAS_BOND_PX=109.94</stp>
        <tr r="R29" s="23"/>
      </tp>
    </main>
    <main first="marketviewexcelplugin.mkvxp">
      <tp t="s">
        <v>OK</v>
        <stp/>
        <stp>4</stp>
        <stp>EUR.CM_DEPTH.XLS_ANDREA.IE00BV8C9186</stp>
        <stp>XLS_ANDREA</stp>
        <tr r="H249" s="23"/>
      </tp>
      <tp t="s">
        <v>OK</v>
        <stp/>
        <stp>4</stp>
        <stp>EUR.CM_DEPTH.XLS_ANDREA.IE00BV8C9418</stp>
        <stp>XLS_ANDREA</stp>
        <tr r="H247" s="23"/>
      </tp>
      <tp>
        <v>42658</v>
        <stp/>
        <stp>0</stp>
        <stp>EUR.CM_INSTRUMENT.PXE.PTOTE6OE0006</stp>
        <stp>DateMaturity</stp>
        <tr r="D222" s="23"/>
      </tp>
      <tp>
        <v>44301</v>
        <stp/>
        <stp>0</stp>
        <stp>EUR.CM_INSTRUMENT.PXE.PTOTEYOE0007</stp>
        <stp>DateMaturity</stp>
        <tr r="D227" s="23"/>
      </tp>
      <tp>
        <v>50145</v>
        <stp/>
        <stp>0</stp>
        <stp>EUR.CM_INSTRUMENT.PXE.PTOTE5OE0007</stp>
        <stp>DateMaturity</stp>
        <tr r="D235" s="23"/>
      </tp>
      <tp>
        <v>42719</v>
        <stp/>
        <stp>0</stp>
        <stp>EUR.CM_INSTRUMENT.PXE.IT0004987191</stp>
        <stp>DateMaturity</stp>
        <tr r="D8" s="23"/>
      </tp>
      <tp>
        <v>43753</v>
        <stp/>
        <stp>0</stp>
        <stp>EUR.CM_INSTRUMENT.PXE.IT0005217929</stp>
        <stp>DateMaturity</stp>
        <tr r="D38" s="23"/>
      </tp>
      <tp>
        <v>51380</v>
        <stp/>
        <stp>0</stp>
        <stp>EUR.CM_INSTRUMENT.PXE.IT0004532559</stp>
        <stp>DateMaturity</stp>
        <tr r="D112" s="23"/>
      </tp>
      <tp>
        <v>52841</v>
        <stp/>
        <stp>0</stp>
        <stp>EUR.CM_INSTRUMENT.PXE.IT0004923998</stp>
        <stp>DateMaturity</stp>
        <tr r="D114" s="23"/>
      </tp>
      <tp>
        <v>43862</v>
        <stp/>
        <stp>0</stp>
        <stp>EUR.CM_INSTRUMENT.PXE.IT0003644769</stp>
        <stp>DateMaturity</stp>
        <tr r="D42" s="23"/>
      </tp>
      <tp>
        <v>42856</v>
        <stp/>
        <stp>0</stp>
        <stp>EUR.CM_INSTRUMENT.PXE.IT0004793474</stp>
        <stp>DateMaturity</stp>
        <tr r="D11" s="23"/>
      </tp>
      <tp>
        <v>44635</v>
        <stp/>
        <stp>0</stp>
        <stp>EUR.CM_INSTRUMENT.PXE.IE00BJ38CQ36</stp>
        <stp>DateMaturity</stp>
        <tr r="D243" s="23"/>
      </tp>
      <tp>
        <v>45621</v>
        <stp/>
        <stp>0</stp>
        <stp>EUR.CM_INSTRUMENT.PXE.FR0011962398</stp>
        <stp>DateMaturity</stp>
        <tr r="D80" s="23"/>
      </tp>
      <tp>
        <v>44545</v>
        <stp/>
        <stp>0</stp>
        <stp>EUR.CM_INSTRUMENT.PXE.IT0005028003</stp>
        <stp>DateMaturity</stp>
        <tr r="D62" s="23"/>
      </tp>
      <tp>
        <v>42993</v>
        <stp/>
        <stp>0</stp>
        <stp>EUR.CM_INSTRUMENT.PXE.DE0001104610</stp>
        <stp>DateMaturity</stp>
        <tr r="D130" s="23"/>
      </tp>
      <tp>
        <v>43976</v>
        <stp/>
        <stp>0</stp>
        <stp>EUR.CM_INSTRUMENT.PXE.FR0012557957</stp>
        <stp>DateMaturity</stp>
        <tr r="D46" s="23"/>
      </tp>
      <tp>
        <v>48611</v>
        <stp/>
        <stp>0</stp>
        <stp>EUR.CM_INSTRUMENT.PXE.IT0003256820</stp>
        <stp>DateMaturity</stp>
        <tr r="D104" s="23"/>
      </tp>
      <tp>
        <v>43938</v>
        <stp/>
        <stp>0</stp>
        <stp>EUR.CM_INSTRUMENT.PXE.DE0001141711</stp>
        <stp>DateMaturity</stp>
        <tr r="D147" s="23"/>
      </tp>
      <tp>
        <v>43429</v>
        <stp/>
        <stp>0</stp>
        <stp>EUR.CM_INSTRUMENT.PXE.FR0011523257</stp>
        <stp>DateMaturity</stp>
        <tr r="D27" s="23"/>
      </tp>
      <tp>
        <v>44078</v>
        <stp/>
        <stp>0</stp>
        <stp>EUR.CM_INSTRUMENT.PXE.DE0001135416</stp>
        <stp>DateMaturity</stp>
        <tr r="D149" s="23"/>
      </tp>
      <tp>
        <v>49157</v>
        <stp/>
        <stp>0</stp>
        <stp>EUR.CM_INSTRUMENT.PXE.IT0003535157</stp>
        <stp>DateMaturity</stp>
        <tr r="D105" s="23"/>
      </tp>
      <tp>
        <v>43678</v>
        <stp/>
        <stp>0</stp>
        <stp>EUR.CM_INSTRUMENT.PXE.IT0005030504</stp>
        <stp>DateMaturity</stp>
        <tr r="D36" s="23"/>
      </tp>
      <tp>
        <v>45061</v>
        <stp/>
        <stp>0</stp>
        <stp>EUR.CM_INSTRUMENT.PXE.DE0001102317</stp>
        <stp>DateMaturity</stp>
        <tr r="D160" s="23"/>
      </tp>
      <tp>
        <v>43946</v>
        <stp/>
        <stp>0</stp>
        <stp>EUR.CM_INSTRUMENT.PXE.FR0010854182</stp>
        <stp>DateMaturity</stp>
        <tr r="D44" s="23"/>
      </tp>
      <tp>
        <v>46692</v>
        <stp/>
        <stp>0</stp>
        <stp>EUR.CM_INSTRUMENT.PXE.IT0001174611</stp>
        <stp>DateMaturity</stp>
        <tr r="D95" s="23"/>
      </tp>
      <tp>
        <v>42657</v>
        <stp/>
        <stp>0</stp>
        <stp>EUR.CM_INSTRUMENT.PXE.DE0001141612</stp>
        <stp>DateMaturity</stp>
        <tr r="D123" s="23"/>
      </tp>
      <tp>
        <v>44621</v>
        <stp/>
        <stp>0</stp>
        <stp>EUR.CM_INSTRUMENT.PXE.IT0004759673</stp>
        <stp>DateMaturity</stp>
        <tr r="D63" s="23"/>
      </tp>
      <tp>
        <v>53011</v>
        <stp/>
        <stp>0</stp>
        <stp>EUR.CM_INSTRUMENT.PXE.IE00BV8C9186</stp>
        <stp>DateMaturity</stp>
        <tr r="D249" s="23"/>
      </tp>
    </main>
    <main first="bloomberg.rtd">
      <tp>
        <v>-0.622</v>
        <stp/>
        <stp>##V3_BDPV12</stp>
        <stp>FR0010670737@CBBT Corp</stp>
        <stp>YAS_BOND_YLD</stp>
        <stp>[Andrea New RollM.xlsm]DB!R26C18</stp>
        <stp>SETTLE_DT=20161004</stp>
        <stp>YAS_BOND_PX=110.12</stp>
        <tr r="R26" s="23"/>
      </tp>
      <tp>
        <v>1.0999999999999999E-2</v>
        <stp/>
        <stp>##V3_BDPV12</stp>
        <stp>IT0004992308@CBBT Corp</stp>
        <stp>YAS_BOND_YLD</stp>
        <stp>[Andrea New RollM.xlsm]DB!R34C18</stp>
        <stp>SETTLE_DT=20161004</stp>
        <stp>YAS_BOND_PX=106.41</stp>
        <tr r="R34" s="23"/>
      </tp>
    </main>
    <main first="marketviewexcelplugin.mkvxp">
      <tp>
        <v>43266</v>
        <stp/>
        <stp>0</stp>
        <stp>EUR.CM_INSTRUMENT.PXE.PTOTENOE0018</stp>
        <stp>DateMaturity</stp>
        <tr r="D224" s="23"/>
      </tp>
      <tp>
        <v>43024</v>
        <stp/>
        <stp>0</stp>
        <stp>EUR.CM_INSTRUMENT.PXE.PTOTELOE0010</stp>
        <stp>DateMaturity</stp>
        <tr r="D223" s="23"/>
      </tp>
      <tp>
        <v>45945</v>
        <stp/>
        <stp>0</stp>
        <stp>EUR.CM_INSTRUMENT.PXE.PTOTEKOE0011</stp>
        <stp>DateMaturity</stp>
        <tr r="D231" s="23"/>
      </tp>
      <tp>
        <v>46224</v>
        <stp/>
        <stp>0</stp>
        <stp>EUR.CM_INSTRUMENT.PXE.PTOTETOE0012</stp>
        <stp>DateMaturity</stp>
        <tr r="D232" s="23"/>
      </tp>
      <tp>
        <v>44851</v>
        <stp/>
        <stp>0</stp>
        <stp>EUR.CM_INSTRUMENT.PXE.PTOTESOE0013</stp>
        <stp>DateMaturity</stp>
        <tr r="D228" s="23"/>
      </tp>
      <tp>
        <v>47529</v>
        <stp/>
        <stp>0</stp>
        <stp>EUR.CM_INSTRUMENT.PXE.PTOTEROE0014</stp>
        <stp>DateMaturity</stp>
        <tr r="D234" s="23"/>
      </tp>
      <tp>
        <v>45337</v>
        <stp/>
        <stp>0</stp>
        <stp>EUR.CM_INSTRUMENT.PXE.PTOTEQOE0015</stp>
        <stp>DateMaturity</stp>
        <tr r="D230" s="23"/>
      </tp>
      <tp>
        <v>44972</v>
        <stp/>
        <stp>0</stp>
        <stp>EUR.CM_INSTRUMENT.PXE.DE0001102309</stp>
        <stp>DateMaturity</stp>
        <tr r="D159" s="23"/>
      </tp>
      <tp>
        <v>43952</v>
        <stp/>
        <stp>0</stp>
        <stp>EUR.CM_INSTRUMENT.PXE.IT0005107708</stp>
        <stp>DateMaturity</stp>
        <tr r="D45" s="23"/>
      </tp>
      <tp>
        <v>46249</v>
        <stp/>
        <stp>0</stp>
        <stp>EUR.CM_INSTRUMENT.PXE.DE0001102408</stp>
        <stp>DateMaturity</stp>
        <tr r="D169" s="23"/>
      </tp>
      <tp>
        <v>44016</v>
        <stp/>
        <stp>0</stp>
        <stp>EUR.CM_INSTRUMENT.PXE.DE0001135408</stp>
        <stp>DateMaturity</stp>
        <tr r="D148" s="23"/>
      </tp>
      <tp>
        <v>43891</v>
        <stp/>
        <stp>0</stp>
        <stp>EUR.CM_INSTRUMENT.PXE.IT0004536949</stp>
        <stp>DateMaturity</stp>
        <tr r="D43" s="23"/>
      </tp>
      <tp>
        <v>43756</v>
        <stp/>
        <stp>0</stp>
        <stp>EUR.CM_INSTRUMENT.PXE.IE00B6089D15</stp>
        <stp>DateMaturity</stp>
        <tr r="D240" s="23"/>
      </tp>
      <tp>
        <v>44440</v>
        <stp/>
        <stp>0</stp>
        <stp>EUR.CM_INSTRUMENT.PXE.IT0004695075</stp>
        <stp>DateMaturity</stp>
        <tr r="D59" s="23"/>
      </tp>
      <tp>
        <v>49919</v>
        <stp/>
        <stp>0</stp>
        <stp>EUR.CM_INSTRUMENT.PXE.IT0005177909</stp>
        <stp>DateMaturity</stp>
        <tr r="D108" s="23"/>
      </tp>
      <tp>
        <v>45809</v>
        <stp/>
        <stp>0</stp>
        <stp>EUR.CM_INSTRUMENT.PXE.IT0005090318</stp>
        <stp>DateMaturity</stp>
        <tr r="D84" s="23"/>
      </tp>
      <tp>
        <v>43497</v>
        <stp/>
        <stp>0</stp>
        <stp>EUR.CM_INSTRUMENT.PXE.IT0003493258</stp>
        <stp>DateMaturity</stp>
        <tr r="D29" s="23"/>
      </tp>
      <tp>
        <v>45717</v>
        <stp/>
        <stp>0</stp>
        <stp>EUR.CM_INSTRUMENT.PXE.IT0004513641</stp>
        <stp>DateMaturity</stp>
        <tr r="D82" s="23"/>
      </tp>
      <tp>
        <v>48425</v>
        <stp/>
        <stp>0</stp>
        <stp>EUR.CM_INSTRUMENT.PXE.ES0000012411</stp>
        <stp>DateMaturity</stp>
        <tr r="D215" s="23"/>
      </tp>
      <tp>
        <v>42902</v>
        <stp/>
        <stp>0</stp>
        <stp>EUR.CM_INSTRUMENT.PXE.DE0001104602</stp>
        <stp>DateMaturity</stp>
        <tr r="D128" s="23"/>
      </tp>
      <tp>
        <v>43525</v>
        <stp/>
        <stp>0</stp>
        <stp>EUR.CM_INSTRUMENT.PXE.IT0004423957</stp>
        <stp>DateMaturity</stp>
        <tr r="D31" s="23"/>
      </tp>
      <tp>
        <v>43749</v>
        <stp/>
        <stp>0</stp>
        <stp>EUR.CM_INSTRUMENT.PXE.DE0001141703</stp>
        <stp>DateMaturity</stp>
        <tr r="D145" s="23"/>
      </tp>
      <tp>
        <v>43763</v>
        <stp/>
        <stp>0</stp>
        <stp>EUR.CM_INSTRUMENT.PXE.FR0010776161</stp>
        <stp>DateMaturity</stp>
        <tr r="D39" s="23"/>
      </tp>
    </main>
    <main first="bloomberg.rtd">
      <tp>
        <v>29.681399603884394</v>
        <stp/>
        <stp>##V3_BDPV12</stp>
        <stp>IT0004716319 Corp@CBBT Corp</stp>
        <stp>Z_SPRD_MID</stp>
        <stp>[Andrea New RollM.xlsm]CCT!R8C10</stp>
        <tr r="J8" s="27"/>
      </tp>
    </main>
    <main first="bloomberg.rtd">
      <tp>
        <v>0.14399999999999999</v>
        <stp/>
        <stp>##V3_BDPV12</stp>
        <stp>IT0004594930@CBBT Corp</stp>
        <stp>YAS_BOND_YLD</stp>
        <stp>[Andrea New RollM.xlsm]DB!R47C19</stp>
        <stp>SETTLE_DT=20160909</stp>
        <stp>YAS_BOND_PX=115.29</stp>
        <tr r="S47" s="23"/>
      </tp>
      <tp t="s">
        <v>15/12/2016</v>
        <stp/>
        <stp>##V3_BDPV12</stp>
        <stp>IT0005056541 Corp</stp>
        <stp>NXT_CPN_DT</stp>
        <stp>[Andrea New RollM.xlsm]CCT!R11C23</stp>
        <tr r="W11" s="27"/>
      </tp>
    </main>
    <main first="marketviewexcelplugin.mkvxp">
      <tp>
        <v>47628</v>
        <stp/>
        <stp>0</stp>
        <stp>EUR.CM_INSTRUMENT.PXE.FR0011883966</stp>
        <stp>DateMaturity</stp>
        <tr r="D99" s="23"/>
      </tp>
      <tp>
        <v>43435</v>
        <stp/>
        <stp>0</stp>
        <stp>EUR.CM_INSTRUMENT.PXE.IT0004957574</stp>
        <stp>DateMaturity</stp>
        <tr r="D28" s="23"/>
      </tp>
      <tp>
        <v>43794</v>
        <stp/>
        <stp>0</stp>
        <stp>EUR.CM_INSTRUMENT.PXE.FR0011993179</stp>
        <stp>DateMaturity</stp>
        <tr r="D40" s="23"/>
      </tp>
      <tp>
        <v>43215</v>
        <stp/>
        <stp>0</stp>
        <stp>EUR.CM_INSTRUMENT.PXE.FR0010604983</stp>
        <stp>DateMaturity</stp>
        <tr r="D20" s="23"/>
      </tp>
      <tp>
        <v>51616</v>
        <stp/>
        <stp>0</stp>
        <stp>EUR.CM_INSTRUMENT.PXE.FR0010773192</stp>
        <stp>DateMaturity</stp>
        <tr r="D113" s="23"/>
      </tp>
    </main>
    <main first="bloomberg.rtd">
      <tp>
        <v>16.307480444075203</v>
        <stp/>
        <stp>##V3_BDPV12</stp>
        <stp>IT0004809809 Corp@CBBT Corp</stp>
        <stp>Z_SPRD_MID</stp>
        <stp>[Andrea New RollM.xlsm]CCT!R6C10</stp>
        <tr r="J6" s="27"/>
      </tp>
      <tp>
        <v>-0.151</v>
        <stp/>
        <stp>##V3_BDPV12</stp>
        <stp>IT0004793474@CBBT Corp</stp>
        <stp>YAS_BOND_YLD</stp>
        <stp>[Andrea New RollM.xlsm]DB!R11C19</stp>
        <stp>SETTLE_DT=20160909</stp>
        <stp>YAS_BOND_PX=103.16</stp>
        <tr r="S11" s="23"/>
      </tp>
      <tp>
        <v>-4.5999999999999999E-2</v>
        <stp/>
        <stp>##V3_BDPV12</stp>
        <stp>IT0004957574@CBBT Corp</stp>
        <stp>YAS_BOND_YLD</stp>
        <stp>[Andrea New RollM.xlsm]DB!R28C17</stp>
        <stp>SETTLE_DT=20161011</stp>
        <stp>YAS_BOND_PX=107.59</stp>
        <tr r="Q28" s="23"/>
      </tp>
      <tp>
        <v>1.0169999999999999</v>
        <stp/>
        <stp>##V3_BDPV12</stp>
        <stp>IT0005045270@CBBT Corp</stp>
        <stp>YAS_BOND_YLD</stp>
        <stp>[Andrea New RollM.xlsm]DB!R81C19</stp>
        <stp>SETTLE_DT=20160909</stp>
        <stp>YAS_BOND_PX=111.69</stp>
        <tr r="S81" s="23"/>
      </tp>
      <tp>
        <v>0.19600000000000001</v>
        <stp/>
        <stp>##V3_BDPV12</stp>
        <stp>ES00000128B8@CBBT Corp</stp>
        <stp>YAS_BOND_YLD</stp>
        <stp>[Andrea New RollM.xlsm]DB!R57C19</stp>
        <stp>SETTLE_DT=20160909</stp>
        <stp>YAS_BOND_PX=102.69</stp>
        <tr r="S57" s="23"/>
      </tp>
    </main>
    <main first="marketviewexcelplugin.mkvxp">
      <tp>
        <v>43610</v>
        <stp/>
        <stp>0</stp>
        <stp>EUR.CM_INSTRUMENT.PXE.FR0011708080</stp>
        <stp>DateMaturity</stp>
        <tr r="D35" s="23"/>
      </tp>
      <tp>
        <v>43040</v>
        <stp/>
        <stp>0</stp>
        <stp>EUR.CM_INSTRUMENT.PXE.IT0004867070</stp>
        <stp>DateMaturity</stp>
        <tr r="D16" s="23"/>
      </tp>
    </main>
    <main first="bloomberg.rtd">
      <tp>
        <v>5.2847956970533723</v>
        <stp/>
        <stp>##V3_BDPV12</stp>
        <stp>IT0004584204 Corp@CBBT Corp</stp>
        <stp>ASSET_SWAP_SPD_MID</stp>
        <stp>[Andrea New RollM.xlsm]CCT!R5C11</stp>
        <tr r="K5" s="27"/>
      </tp>
    </main>
    <main first="marketviewexcelplugin.mkvxp">
      <tp t="s">
        <v>OK</v>
        <stp/>
        <stp>4</stp>
        <stp>EUR.CM_DEPTH.XLS_ANDREA.IE00B60Z6194</stp>
        <stp>XLS_ANDREA</stp>
        <tr r="H242" s="23"/>
      </tp>
    </main>
    <main first="marketviewexcelplugin.mkvxp">
      <tp t="s">
        <v>OK</v>
        <stp/>
        <stp>4</stp>
        <stp>EUR.CM_DEPTH.XLS_ANDREA.IE00B6X95T99</stp>
        <stp>XLS_ANDREA</stp>
        <tr r="H245" s="23"/>
      </tp>
      <tp>
        <v>44805</v>
        <stp/>
        <stp>0</stp>
        <stp>EUR.CM_INSTRUMENT.PXE.IT0004801541</stp>
        <stp>DateMaturity</stp>
        <tr r="D66" s="23"/>
      </tp>
      <tp>
        <v>44129</v>
        <stp/>
        <stp>0</stp>
        <stp>EUR.CM_INSTRUMENT.PXE.FR0010949651</stp>
        <stp>DateMaturity</stp>
        <tr r="D48" s="23"/>
      </tp>
      <tp>
        <v>50072</v>
        <stp/>
        <stp>0</stp>
        <stp>EUR.CM_INSTRUMENT.PXE.IT0003934657</stp>
        <stp>DateMaturity</stp>
        <tr r="D109" s="23"/>
      </tp>
    </main>
    <main first="bloomberg.rtd">
      <tp>
        <v>1.62</v>
        <stp/>
        <stp>##V3_BDPV12</stp>
        <stp>IT0001444378@CBBT Corp</stp>
        <stp>YAS_BOND_YLD</stp>
        <stp>[Andrea New RollM.xlsm]DB!R100C19</stp>
        <stp>SETTLE_DT=20160909</stp>
        <stp>YAS_BOND_PX=157</stp>
        <tr r="S100" s="23"/>
      </tp>
      <tp>
        <v>0.78400000000000003</v>
        <stp/>
        <stp>##V3_BDPV12</stp>
        <stp>IT0004356843@CBBT Corp</stp>
        <stp>YAS_BOND_YLD</stp>
        <stp>[Andrea New RollM.xlsm]DB!R73C17</stp>
        <stp>SETTLE_DT=20161011</stp>
        <stp>YAS_BOND_PX=126.25</stp>
        <tr r="Q73" s="23"/>
      </tp>
      <tp t="s">
        <v>15/12/2016</v>
        <stp/>
        <stp>##V3_BDPV12</stp>
        <stp>IT0005137614 Corp</stp>
        <stp>NXT_CPN_DT</stp>
        <stp>[Andrea New RollM.xlsm]CCT!R13C23</stp>
        <tr r="W13" s="27"/>
      </tp>
    </main>
    <main first="marketviewexcelplugin.mkvxp">
      <tp>
        <v>58556</v>
        <stp/>
        <stp>0</stp>
        <stp>EUR.CM_INSTRUMENT.PXE.FR0010870956</stp>
        <stp>DateMaturity</stp>
        <tr r="D120" s="23"/>
      </tp>
      <tp>
        <v>43252</v>
        <stp/>
        <stp>0</stp>
        <stp>EUR.CM_INSTRUMENT.PXE.IT0004907843</stp>
        <stp>DateMaturity</stp>
        <tr r="D23" s="23"/>
      </tp>
    </main>
    <main first="bloomberg.rtd">
      <tp>
        <v>32.637392134124418</v>
        <stp/>
        <stp>##V3_BDPV12</stp>
        <stp>IT0004716319 Corp@CBBT Corp</stp>
        <stp>ASSET_SWAP_SPD_MID</stp>
        <stp>[Andrea New RollM.xlsm]CCT!R8C11</stp>
        <tr r="K8" s="27"/>
      </tp>
      <tp>
        <v>1.391</v>
        <stp/>
        <stp>##V3_BDPV12</stp>
        <stp>IT0001086567@CBBT Corp</stp>
        <stp>YAS_BOND_YLD</stp>
        <stp>[Andrea New RollM.xlsm]DB!R91C17</stp>
        <stp>SETTLE_DT=20161011</stp>
        <stp>YAS_BOND_PX=154.86</stp>
        <tr r="Q91" s="23"/>
      </tp>
      <tp t="s">
        <v>15/05/2016</v>
        <stp/>
        <stp>##V3_BDPV12</stp>
        <stp>IT0005009839 Corp</stp>
        <stp>PREV_CPN_DT</stp>
        <stp>[Andrea New RollM.xlsm]CCT!R10C24</stp>
        <tr r="X10" s="27"/>
      </tp>
    </main>
    <main first="marketviewexcelplugin.mkvxp">
      <tp>
        <v>44160</v>
        <stp/>
        <stp>0</stp>
        <stp>EUR.CM_INSTRUMENT.PXE.FR0012968337</stp>
        <stp>DateMaturity</stp>
        <tr r="D51" s="23"/>
      </tp>
      <tp>
        <v>42887</v>
        <stp/>
        <stp>0</stp>
        <stp>EUR.CM_INSTRUMENT.PXE.IT0004820426</stp>
        <stp>DateMaturity</stp>
        <tr r="D13" s="23"/>
      </tp>
    </main>
    <main first="marketviewexcelplugin.mkvxp">
      <tp>
        <v>46997</v>
        <stp/>
        <stp>0</stp>
        <stp>EUR.CM_INSTRUMENT.PXE.IT0004889033</stp>
        <stp>DateMaturity</stp>
        <tr r="D96" s="23"/>
      </tp>
      <tp>
        <v>45047</v>
        <stp/>
        <stp>0</stp>
        <stp>EUR.CM_INSTRUMENT.PXE.IT0004898034</stp>
        <stp>DateMaturity</stp>
        <tr r="D71" s="23"/>
      </tp>
      <tp>
        <v>61057</v>
        <stp/>
        <stp>0</stp>
        <stp>EUR.CM_INSTRUMENT.PXE.IT0005217390</stp>
        <stp>DateMaturity</stp>
        <tr r="D118" s="23"/>
      </tp>
      <tp>
        <v>44501</v>
        <stp/>
        <stp>0</stp>
        <stp>EUR.CM_INSTRUMENT.PXE.IT0005216491</stp>
        <stp>DateMaturity</stp>
        <tr r="D61" s="23"/>
      </tp>
      <tp>
        <v>42689</v>
        <stp/>
        <stp>0</stp>
        <stp>EUR.CM_INSTRUMENT.PXE.IT0004960826</stp>
        <stp>DateMaturity</stp>
        <tr r="D7" s="23"/>
      </tp>
      <tp>
        <v>44859</v>
        <stp/>
        <stp>0</stp>
        <stp>EUR.CM_INSTRUMENT.PXE.FR0011337880</stp>
        <stp>DateMaturity</stp>
        <tr r="D68" s="23"/>
      </tp>
      <tp>
        <v>46685</v>
        <stp/>
        <stp>0</stp>
        <stp>EUR.CM_INSTRUMENT.PXE.FR0011317783</stp>
        <stp>DateMaturity</stp>
        <tr r="D94" s="23"/>
      </tp>
      <tp>
        <v>44866</v>
        <stp/>
        <stp>0</stp>
        <stp>EUR.CM_INSTRUMENT.PXE.IT0004848831</stp>
        <stp>DateMaturity</stp>
        <tr r="D69" s="23"/>
      </tp>
      <tp>
        <v>46137</v>
        <stp/>
        <stp>0</stp>
        <stp>EUR.CM_INSTRUMENT.PXE.FR0010916924</stp>
        <stp>DateMaturity</stp>
        <tr r="D88" s="23"/>
      </tp>
      <tp>
        <v>43132</v>
        <stp/>
        <stp>0</stp>
        <stp>EUR.CM_INSTRUMENT.PXE.IT0004273493</stp>
        <stp>DateMaturity</stp>
        <tr r="D18" s="23"/>
      </tp>
    </main>
    <main first="bloomberg.rtd">
      <tp>
        <v>-0.42699999999999999</v>
        <stp/>
        <stp>##V3_BDPV12</stp>
        <stp>FR0012968337@CBBT Corp</stp>
        <stp>YAS_BOND_YLD</stp>
        <stp>[Andrea New RollM.xlsm]DB!R51C17</stp>
        <stp>SETTLE_DT=20161011</stp>
        <stp>YAS_BOND_PX=102.82</stp>
        <tr r="Q51" s="23"/>
      </tp>
      <tp>
        <v>-0.54200000000000004</v>
        <stp/>
        <stp>##V3_BDPV12</stp>
        <stp>FR0011993179@CBBT Corp</stp>
        <stp>YAS_BOND_YLD</stp>
        <stp>[Andrea New RollM.xlsm]DB!R40C17</stp>
        <stp>SETTLE_DT=20161011</stp>
        <stp>YAS_BOND_PX=103.29</stp>
        <tr r="Q40" s="23"/>
      </tp>
    </main>
    <main first="marketviewexcelplugin.mkvxp">
      <tp>
        <v>44808</v>
        <stp/>
        <stp>0</stp>
        <stp>EUR.CM_INSTRUMENT.PXE.DE0001135499</stp>
        <stp>DateMaturity</stp>
        <tr r="D158" s="23"/>
      </tp>
      <tp>
        <v>43388</v>
        <stp/>
        <stp>0</stp>
        <stp>EUR.CM_INSTRUMENT.PXE.IT0005139099</stp>
        <stp>DateMaturity</stp>
        <tr r="D25" s="23"/>
      </tp>
      <tp>
        <v>44494</v>
        <stp/>
        <stp>0</stp>
        <stp>EUR.CM_INSTRUMENT.PXE.FR0011059088</stp>
        <stp>DateMaturity</stp>
        <tr r="D60" s="23"/>
      </tp>
      <tp>
        <v>44348</v>
        <stp/>
        <stp>0</stp>
        <stp>EUR.CM_INSTRUMENT.PXE.IT0005175598</stp>
        <stp>DateMaturity</stp>
        <tr r="D56" s="23"/>
      </tp>
      <tp>
        <v>43939</v>
        <stp/>
        <stp>0</stp>
        <stp>EUR.CM_INSTRUMENT.PXE.IE0034074488</stp>
        <stp>DateMaturity</stp>
        <tr r="D241" s="23"/>
      </tp>
      <tp>
        <v>44666</v>
        <stp/>
        <stp>0</stp>
        <stp>EUR.CM_INSTRUMENT.PXE.IT0005086886</stp>
        <stp>DateMaturity</stp>
        <tr r="D64" s="23"/>
      </tp>
      <tp>
        <v>44311</v>
        <stp/>
        <stp>0</stp>
        <stp>EUR.CM_INSTRUMENT.PXE.FR0010192997</stp>
        <stp>DateMaturity</stp>
        <tr r="D53" s="23"/>
      </tp>
      <tp>
        <v>48274</v>
        <stp/>
        <stp>0</stp>
        <stp>EUR.CM_INSTRUMENT.PXE.IT0005094088</stp>
        <stp>DateMaturity</stp>
        <tr r="D102" s="23"/>
      </tp>
      <tp>
        <v>43567</v>
        <stp/>
        <stp>0</stp>
        <stp>EUR.CM_INSTRUMENT.PXE.DE0001141695</stp>
        <stp>DateMaturity</stp>
        <tr r="D143" s="23"/>
      </tp>
      <tp>
        <v>46068</v>
        <stp/>
        <stp>0</stp>
        <stp>EUR.CM_INSTRUMENT.PXE.DE0001102390</stp>
        <stp>DateMaturity</stp>
        <tr r="D168" s="23"/>
      </tp>
      <tp t="e">
        <v>#REF!</v>
        <stp/>
        <stp>0</stp>
        <stp>EUR.CM_INSTRUMENT.PXE.IT0004019581</stp>
        <stp>DateMaturity</stp>
        <tr r="D5" s="23"/>
      </tp>
      <tp>
        <v>43834</v>
        <stp/>
        <stp>0</stp>
        <stp>EUR.CM_INSTRUMENT.PXE.DE0001135390</stp>
        <stp>DateMaturity</stp>
        <tr r="D146" s="23"/>
      </tp>
      <tp>
        <v>44341</v>
        <stp/>
        <stp>0</stp>
        <stp>EUR.CM_INSTRUMENT.PXE.FR0013157096</stp>
        <stp>DateMaturity</stp>
        <tr r="D55" s="23"/>
      </tp>
      <tp>
        <v>45352</v>
        <stp/>
        <stp>0</stp>
        <stp>EUR.CM_INSTRUMENT.PXE.IT0004953417</stp>
        <stp>DateMaturity</stp>
        <tr r="D77" s="23"/>
      </tp>
      <tp>
        <v>42946</v>
        <stp/>
        <stp>0</stp>
        <stp>EUR.CM_INSTRUMENT.PXE.ES0000012783</stp>
        <stp>DateMaturity</stp>
        <tr r="D185" s="23"/>
      </tp>
      <tp>
        <v>45986</v>
        <stp/>
        <stp>0</stp>
        <stp>EUR.CM_INSTRUMENT.PXE.FR0012938116</stp>
        <stp>DateMaturity</stp>
        <tr r="D85" s="23"/>
      </tp>
      <tp>
        <v>42804</v>
        <stp/>
        <stp>0</stp>
        <stp>EUR.CM_INSTRUMENT.PXE.DE0001137495</stp>
        <stp>DateMaturity</stp>
        <tr r="D126" s="23"/>
      </tp>
      <tp>
        <v>43391</v>
        <stp/>
        <stp>0</stp>
        <stp>EUR.CM_INSTRUMENT.PXE.IE00B28HXX02</stp>
        <stp>DateMaturity</stp>
        <tr r="D238" s="23"/>
      </tp>
    </main>
    <main first="bloomberg.rtd">
      <tp>
        <v>-0.29599999999999999</v>
        <stp/>
        <stp>##V3_BDPV12</stp>
        <stp>IT0005023459@CBBT Corp</stp>
        <stp>YAS_BOND_YLD</stp>
        <stp>[Andrea New RollM.xlsm]DB!R12C18</stp>
        <stp>SETTLE_DT=20161004</stp>
        <stp>YAS_BOND_PX=100.89</stp>
        <tr r="R12" s="23"/>
      </tp>
      <tp>
        <v>-0.123</v>
        <stp/>
        <stp>##V3_BDPV12</stp>
        <stp>IT0004273493@CBBT Corp</stp>
        <stp>YAS_BOND_YLD</stp>
        <stp>[Andrea New RollM.xlsm]DB!R18C17</stp>
        <stp>SETTLE_DT=20161011</stp>
        <stp>YAS_BOND_PX=106.05</stp>
        <tr r="Q18" s="23"/>
      </tp>
    </main>
    <main first="marketviewexcelplugin.mkvxp">
      <tp t="s">
        <v>OK</v>
        <stp/>
        <stp>4</stp>
        <stp>EUR.CM_DEPTH.XLS_ANDREA.IE00B4TV0D44</stp>
        <stp>XLS_ANDREA</stp>
        <tr r="H246" s="23"/>
      </tp>
    </main>
    <main first="bloomberg.rtd">
      <tp>
        <v>-0.27800000000000002</v>
        <stp/>
        <stp>##V3_BDPV12</stp>
        <stp>IT0004820426@CBBT Corp</stp>
        <stp>YAS_BOND_YLD</stp>
        <stp>[Andrea New RollM.xlsm]DB!R13C17</stp>
        <stp>SETTLE_DT=20161011</stp>
        <stp>YAS_BOND_PX=103.22</stp>
        <tr r="Q13" s="23"/>
      </tp>
      <tp>
        <v>-4.1000000000000002E-2</v>
        <stp/>
        <stp>##V3_BDPV12</stp>
        <stp>IT0004361041@CBBT Corp</stp>
        <stp>YAS_BOND_YLD</stp>
        <stp>[Andrea New RollM.xlsm]DB!R24C17</stp>
        <stp>SETTLE_DT=20161011</stp>
        <stp>YAS_BOND_PX=108.21</stp>
        <tr r="Q24" s="23"/>
      </tp>
      <tp>
        <v>0.68</v>
        <stp/>
        <stp>##V3_BDPV12</stp>
        <stp>IT0004898034@CBBT Corp</stp>
        <stp>YAS_BOND_YLD</stp>
        <stp>[Andrea New RollM.xlsm]DB!R71C19</stp>
        <stp>SETTLE_DT=20160909</stp>
        <stp>YAS_BOND_PX=124.78</stp>
        <tr r="S71" s="23"/>
      </tp>
      <tp t="s">
        <v>15/12/2016</v>
        <stp/>
        <stp>##V3_BDPV12</stp>
        <stp>IT0005104473 Corp</stp>
        <stp>NXT_CPN_DT</stp>
        <stp>[Andrea New RollM.xlsm]CCT!R12C23</stp>
        <tr r="W12" s="27"/>
      </tp>
    </main>
    <main first="marketviewexcelplugin.mkvxp">
      <tp>
        <v>47993</v>
        <stp/>
        <stp>0</stp>
        <stp>EUR.CM_INSTRUMENT.PXE.FR0012993103</stp>
        <stp>DateMaturity</stp>
        <tr r="D101" s="23"/>
      </tp>
      <tp>
        <v>43586</v>
        <stp/>
        <stp>0</stp>
        <stp>EUR.CM_INSTRUMENT.PXE.IT0004992308</stp>
        <stp>DateMaturity</stp>
        <tr r="D34" s="23"/>
      </tp>
      <tp>
        <v>43650</v>
        <stp/>
        <stp>0</stp>
        <stp>EUR.CM_INSTRUMENT.PXE.DE0001135382</stp>
        <stp>DateMaturity</stp>
        <tr r="D144" s="23"/>
      </tp>
      <tp>
        <v>43518</v>
        <stp/>
        <stp>0</stp>
        <stp>EUR.CM_INSTRUMENT.PXE.DE0001141687</stp>
        <stp>DateMaturity</stp>
        <tr r="D142" s="23"/>
      </tp>
      <tp>
        <v>43800</v>
        <stp/>
        <stp>0</stp>
        <stp>EUR.CM_INSTRUMENT.PXE.IT0005069395</stp>
        <stp>DateMaturity</stp>
        <tr r="D41" s="23"/>
      </tp>
      <tp>
        <v>45884</v>
        <stp/>
        <stp>0</stp>
        <stp>EUR.CM_INSTRUMENT.PXE.DE0001102382</stp>
        <stp>DateMaturity</stp>
        <tr r="D167" s="23"/>
      </tp>
      <tp>
        <v>52782</v>
        <stp/>
        <stp>0</stp>
        <stp>EUR.CM_INSTRUMENT.PXE.DE0001135481</stp>
        <stp>DateMaturity</stp>
        <tr r="D180" s="23"/>
      </tp>
      <tp>
        <v>45992</v>
        <stp/>
        <stp>0</stp>
        <stp>EUR.CM_INSTRUMENT.PXE.IT0005127086</stp>
        <stp>DateMaturity</stp>
        <tr r="D86" s="23"/>
      </tp>
      <tp>
        <v>42720</v>
        <stp/>
        <stp>0</stp>
        <stp>EUR.CM_INSTRUMENT.PXE.DE0001137487</stp>
        <stp>DateMaturity</stp>
        <tr r="D124" s="23"/>
      </tp>
      <tp>
        <v>44317</v>
        <stp/>
        <stp>0</stp>
        <stp>EUR.CM_INSTRUMENT.PXE.IT0004966401</stp>
        <stp>DateMaturity</stp>
        <tr r="D54" s="23"/>
      </tp>
      <tp>
        <v>46938</v>
        <stp/>
        <stp>0</stp>
        <stp>EUR.CM_INSTRUMENT.PXE.DE0001135085</stp>
        <stp>DateMaturity</stp>
        <tr r="D172" s="23"/>
      </tp>
      <tp>
        <v>46157</v>
        <stp/>
        <stp>0</stp>
        <stp>EUR.CM_INSTRUMENT.PXE.IE00BV8C9418</stp>
        <stp>DateMaturity</stp>
        <tr r="D247" s="23"/>
      </tp>
    </main>
    <main first="bloomberg.rtd">
      <tp>
        <v>27.546494656714223</v>
        <stp/>
        <stp>##V3_BDPV12</stp>
        <stp>IT0004652175 Corp@CBBT Corp</stp>
        <stp>ASSET_SWAP_SPD_MID</stp>
        <stp>[Andrea New RollM.xlsm]CCT!R7C11</stp>
        <tr r="K7" s="27"/>
      </tp>
    </main>
    <main first="marketviewexcelplugin.mkvxp">
      <tp>
        <v>44122</v>
        <stp/>
        <stp>0</stp>
        <stp>EUR.CM_INSTRUMENT.PXE.IE00B60Z6194</stp>
        <stp>DateMaturity</stp>
        <tr r="D242" s="23"/>
      </tp>
    </main>
    <main first="bloomberg.rtd">
      <tp>
        <v>45.757490307548217</v>
        <stp/>
        <stp>##V3_BDPV12</stp>
        <stp>IT0004922909 Corp@CBBT Corp</stp>
        <stp>ASSET_SWAP_SPD_MID</stp>
        <stp>[Andrea New RollM.xlsm]CCT!R9C11</stp>
        <tr r="K9" s="27"/>
      </tp>
      <tp t="s">
        <v>15/05/2018</v>
        <stp/>
        <stp>##V3_BDPV12</stp>
        <stp>IT0005106049 Corp</stp>
        <stp>Maturity</stp>
        <stp>[Andrea New RollM.xlsm]CCT!R28C4</stp>
        <tr r="D28" s="27"/>
      </tp>
      <tp t="s">
        <v>#N/A Invalid Override</v>
        <stp/>
        <stp>##V3_BDPV12</stp>
        <stp>DE0001137479@CBBT Corp</stp>
        <stp>YAS_BOND_YLD</stp>
        <stp>[Andrea New RollM.xlsm]DB!R122C19</stp>
        <stp>SETTLE_DT=20160909</stp>
        <stp>YAS_BOND_PX=#N/A N/A</stp>
        <tr r="S122" s="23"/>
      </tp>
    </main>
    <main first="marketviewexcelplugin.mkvxp">
      <tp>
        <v>-0.64600000000000002</v>
        <stp/>
        <stp>0</stp>
        <stp>EUR.PRICING_MAIN.PXE.FR0012634558</stp>
        <stp>MidYield</stp>
        <tr r="K19" s="23"/>
      </tp>
      <tp>
        <v>-0.68700000000000006</v>
        <stp/>
        <stp>0</stp>
        <stp>EUR.PRICING_MAIN.PXE.DE0001104628</stp>
        <stp>MidYield</stp>
        <tr r="K132" s="23"/>
      </tp>
      <tp>
        <v>103.89400000000001</v>
        <stp/>
        <stp>0</stp>
        <stp>EUR.PRICING_MAIN.PXE.IT0004867070</stp>
        <stp>MidPrice</stp>
        <tr r="D10" s="7"/>
      </tp>
      <tp>
        <v>2.4910000000000001</v>
        <stp/>
        <stp>0</stp>
        <stp>EUR.PRICING_MAIN.PXE.IT0005162828</stp>
        <stp>MidYield</stp>
        <tr r="K117" s="23"/>
        <tr r="E72" s="7"/>
      </tp>
      <tp>
        <v>1.784</v>
        <stp/>
        <stp>0</stp>
        <stp>EUR.PRICING_MAIN.PXE.IT0001444378</stp>
        <stp>MidYield</stp>
        <tr r="K100" s="23"/>
        <tr r="E62" s="7"/>
      </tp>
      <tp>
        <v>-0.6</v>
        <stp/>
        <stp>0</stp>
        <stp>EUR.PRICING_MAIN.PXE.DE0001141729</stp>
        <stp>MidYield</stp>
        <tr r="K150" s="23"/>
      </tp>
      <tp>
        <v>1.444</v>
        <stp/>
        <stp>0</stp>
        <stp>EUR.PRICING_MAIN.PXE.FR0013154028</stp>
        <stp>MidYield</stp>
        <tr r="K121" s="23"/>
      </tp>
      <tp>
        <v>0.33100000000000002</v>
        <stp/>
        <stp>0</stp>
        <stp>EUR.PRICING_MAIN.PXE.FR0013200813</stp>
        <stp>MidYield</stp>
        <tr r="K92" s="23"/>
      </tp>
      <tp>
        <v>1.7850000000000001</v>
        <stp/>
        <stp>0</stp>
        <stp>EUR.PRICING_MAIN.PXE.ES0000012932</stp>
        <stp>MidYield</stp>
        <tr r="K216" s="23"/>
      </tp>
      <tp>
        <v>-0.34700000000000003</v>
        <stp/>
        <stp>0</stp>
        <stp>EUR.PRICING_MAIN.PXE.DE0001134922</stp>
        <stp>MidYield</stp>
        <tr r="K162" s="23"/>
      </tp>
      <tp>
        <v>0.92900000000000005</v>
        <stp/>
        <stp>0</stp>
        <stp>EUR.PRICING_MAIN.PXE.FR0010371401</stp>
        <stp>MidYield</stp>
        <tr r="K110" s="23"/>
      </tp>
      <tp>
        <v>1.675</v>
        <stp/>
        <stp>0</stp>
        <stp>EUR.PRICING_MAIN.PXE.IT0001278511</stp>
        <stp>MidYield</stp>
        <tr r="E60" s="7"/>
        <tr r="K97" s="23"/>
      </tp>
      <tp>
        <v>0.501</v>
        <stp/>
        <stp>0</stp>
        <stp>EUR.PRICING_MAIN.PXE.DE0001135325</stp>
        <stp>MidYield</stp>
        <tr r="K177" s="23"/>
      </tp>
      <tp>
        <v>1.712</v>
        <stp/>
        <stp>0</stp>
        <stp>EUR.PRICING_MAIN.PXE.IT0005024234</stp>
        <stp>MidYield</stp>
        <tr r="K98" s="23"/>
        <tr r="E61" s="7"/>
      </tp>
      <tp>
        <v>-0.58299999999999996</v>
        <stp/>
        <stp>0</stp>
        <stp>EUR.PRICING_MAIN.PXE.DE0001135424</stp>
        <stp>MidYield</stp>
        <tr r="K151" s="23"/>
      </tp>
      <tp>
        <v>-0.748</v>
        <stp/>
        <stp>0</stp>
        <stp>EUR.PRICING_MAIN.PXE.DE0001141620</stp>
        <stp>MidYield</stp>
        <tr r="K125" s="23"/>
      </tp>
      <tp>
        <v>-0.36799999999999999</v>
        <stp/>
        <stp>0</stp>
        <stp>EUR.PRICING_MAIN.PXE.DE0001102325</stp>
        <stp>MidYield</stp>
        <tr r="K161" s="23"/>
      </tp>
      <tp>
        <v>0.307</v>
        <stp/>
        <stp>0</stp>
        <stp>EUR.PRICING_MAIN.PXE.DE0001135226</stp>
        <stp>MidYield</stp>
        <tr r="K175" s="23"/>
      </tp>
      <tp>
        <v>0.76900000000000002</v>
        <stp/>
        <stp>0</stp>
        <stp>EUR.PRICING_MAIN.PXE.IT0005172322</stp>
        <stp>MidYield</stp>
        <tr r="E43" s="7"/>
        <tr r="K70" s="23"/>
      </tp>
    </main>
    <main first="bloomberg.rtd">
      <tp t="s">
        <v>#N/A Invalid Override</v>
        <stp/>
        <stp>##V3_BDPV12</stp>
        <stp>IT0005216491@CBBT Corp</stp>
        <stp>YAS_BOND_YLD</stp>
        <stp>[Andrea New RollM.xlsm]DB!R61C19</stp>
        <stp>SETTLE_DT=20160909</stp>
        <stp>YAS_BOND_PX=#N/A N/A</stp>
        <tr r="S61" s="23"/>
      </tp>
    </main>
    <main first="marketviewexcelplugin.mkvxp">
      <tp t="s">
        <v>OK</v>
        <stp/>
        <stp>4</stp>
        <stp>EUR.CM_DEPTH.XLS_ANDREA.PTOTETOE0012</stp>
        <stp>XLS_ANDREA</stp>
        <tr r="H232" s="23"/>
      </tp>
      <tp t="s">
        <v>OK</v>
        <stp/>
        <stp>4</stp>
        <stp>EUR.CM_DEPTH.XLS_ANDREA.PTOTESOE0013</stp>
        <stp>XLS_ANDREA</stp>
        <tr r="H228" s="23"/>
      </tp>
      <tp t="s">
        <v>OK</v>
        <stp/>
        <stp>4</stp>
        <stp>EUR.CM_DEPTH.XLS_ANDREA.PTOTEROE0014</stp>
        <stp>XLS_ANDREA</stp>
        <tr r="H234" s="23"/>
      </tp>
      <tp t="s">
        <v>OK</v>
        <stp/>
        <stp>4</stp>
        <stp>EUR.CM_DEPTH.XLS_ANDREA.PTOTEQOE0015</stp>
        <stp>XLS_ANDREA</stp>
        <tr r="H230" s="23"/>
      </tp>
    </main>
    <main first="bloomberg.rtd">
      <tp>
        <v>0.85799999999999998</v>
        <stp/>
        <stp>##V3_BDPV12</stp>
        <stp>IT0005215246@CBBT Corp</stp>
        <stp>YAS_BOND_YLD</stp>
        <stp>[Andrea New RollM.xlsm]DB!R74C17</stp>
        <stp>SETTLE_DT=20161011</stp>
        <stp>YAS_BOND_PX=98.598</stp>
        <tr r="Q74" s="23"/>
      </tp>
    </main>
    <main first="marketviewexcelplugin.mkvxp">
      <tp t="s">
        <v>OK</v>
        <stp/>
        <stp>4</stp>
        <stp>EUR.CM_DEPTH.XLS_ANDREA.PTOTEYOE0007</stp>
        <stp>XLS_ANDREA</stp>
        <tr r="H227" s="23"/>
      </tp>
    </main>
    <main first="bloomberg.rtd">
      <tp t="s">
        <v>01/08/2023</v>
        <stp/>
        <stp>##V3_BDPV12</stp>
        <stp>IT0004356843 Corp</stp>
        <stp>Maturity</stp>
        <stp>[Andrea New RollM.xlsm]CCT!R39C4</stp>
        <tr r="D39" s="27"/>
      </tp>
      <tp t="s">
        <v>01/11/2022</v>
        <stp/>
        <stp>##V3_BDPV12</stp>
        <stp>IT0004848831 Corp</stp>
        <stp>Maturity</stp>
        <stp>[Andrea New RollM.xlsm]CCT!R37C4</stp>
        <tr r="D37" s="27"/>
      </tp>
    </main>
    <main first="marketviewexcelplugin.mkvxp">
      <tp t="s">
        <v>OK</v>
        <stp/>
        <stp>4</stp>
        <stp>EUR.CM_DEPTH.XLS_ANDREA.PTOTECOE0029</stp>
        <stp>XLS_ANDREA</stp>
        <tr r="H226" s="23"/>
      </tp>
      <tp t="s">
        <v>OK</v>
        <stp/>
        <stp>4</stp>
        <stp>EUR.CM_DEPTH.XLS_ANDREA.PTOTEBOE0020</stp>
        <stp>XLS_ANDREA</stp>
        <tr r="H233" s="23"/>
        <tr r="H236" s="23"/>
      </tp>
      <tp t="s">
        <v>OK</v>
        <stp/>
        <stp>4</stp>
        <stp>EUR.CM_DEPTH.XLS_ANDREA.PTOTEAOE0021</stp>
        <stp>XLS_ANDREA</stp>
        <tr r="H229" s="23"/>
      </tp>
    </main>
    <main first="marketviewexcelplugin.mkvxp">
      <tp t="s">
        <v>OK</v>
        <stp/>
        <stp>4</stp>
        <stp>EUR.CM_DEPTH.XLS_ANDREA.PTOTENOE0018</stp>
        <stp>XLS_ANDREA</stp>
        <tr r="H224" s="23"/>
      </tp>
      <tp t="s">
        <v>OK</v>
        <stp/>
        <stp>4</stp>
        <stp>EUR.CM_DEPTH.XLS_ANDREA.PTOTEMOE0027</stp>
        <stp>XLS_ANDREA</stp>
        <tr r="H225" s="23"/>
      </tp>
      <tp t="s">
        <v>OK</v>
        <stp/>
        <stp>4</stp>
        <stp>EUR.CM_DEPTH.XLS_ANDREA.PTOTELOE0010</stp>
        <stp>XLS_ANDREA</stp>
        <tr r="H223" s="23"/>
      </tp>
      <tp t="s">
        <v>OK</v>
        <stp/>
        <stp>4</stp>
        <stp>EUR.CM_DEPTH.XLS_ANDREA.PTOTEKOE0011</stp>
        <stp>XLS_ANDREA</stp>
        <tr r="H231" s="23"/>
      </tp>
    </main>
    <main first="marketviewexcelplugin.mkvxp">
      <tp>
        <v>1.649</v>
        <stp/>
        <stp>0</stp>
        <stp>EUR.PRICING_MAIN.PXE.PTOTECOE0029</stp>
        <stp>MidYield</stp>
        <tr r="K226" s="23"/>
      </tp>
      <tp>
        <v>2.883</v>
        <stp/>
        <stp>0</stp>
        <stp>EUR.PRICING_MAIN.PXE.PTOTEAOE0021</stp>
        <stp>MidYield</stp>
        <tr r="K229" s="23"/>
      </tp>
      <tp>
        <v>4.2780000000000005</v>
        <stp/>
        <stp>0</stp>
        <stp>EUR.PRICING_MAIN.PXE.PTOTEBOE0020</stp>
        <stp>MidYield</stp>
        <tr r="K236" s="23"/>
        <tr r="K233" s="23"/>
      </tp>
    </main>
    <main first="bloomberg.rtd">
      <tp t="s">
        <v>#N/A Invalid Override</v>
        <stp/>
        <stp>##V3_BDPV12</stp>
        <stp>DE0001137479@CBBT Corp</stp>
        <stp>YAS_BOND_YLD</stp>
        <stp>[Andrea New RollM.xlsm]DB!R122C17</stp>
        <stp>SETTLE_DT=20161011</stp>
        <stp>YAS_BOND_PX=#N/A N/A</stp>
        <tr r="Q122" s="23"/>
      </tp>
    </main>
    <main first="marketviewexcelplugin.mkvxp">
      <tp>
        <v>0.91800000000000004</v>
        <stp/>
        <stp>0</stp>
        <stp>EUR.PRICING_MAIN.PXE.PTOTEMOE0027</stp>
        <stp>MidYield</stp>
        <tr r="K225" s="23"/>
      </tp>
      <tp>
        <v>107.57000000000001</v>
        <stp/>
        <stp>0</stp>
        <stp>EUR.PRICING_MAIN.PXE.IT0004957574</stp>
        <stp>MidPrice</stp>
        <tr r="D17" s="7"/>
      </tp>
      <tp>
        <v>1.3960000000000001</v>
        <stp/>
        <stp>0</stp>
        <stp>EUR.PRICING_MAIN.PXE.IT0005170839</stp>
        <stp>MidYield</stp>
        <tr r="E55" s="7"/>
        <tr r="K90" s="23"/>
      </tp>
      <tp>
        <v>-0.192</v>
        <stp/>
        <stp>0</stp>
        <stp>EUR.PRICING_MAIN.PXE.FR0011486067</stp>
        <stp>MidYield</stp>
        <tr r="K72" s="23"/>
      </tp>
      <tp>
        <v>-0.81700000000000006</v>
        <stp/>
        <stp>0</stp>
        <stp>EUR.PRICING_MAIN.PXE.DE0001141638</stp>
        <stp>MidYield</stp>
        <tr r="K127" s="23"/>
      </tp>
      <tp>
        <v>0.63200000000000001</v>
        <stp/>
        <stp>0</stp>
        <stp>EUR.PRICING_MAIN.PXE.FR0000187635</stp>
        <stp>MidYield</stp>
        <tr r="K103" s="23"/>
      </tp>
      <tp>
        <v>-0.313</v>
        <stp/>
        <stp>0</stp>
        <stp>EUR.PRICING_MAIN.PXE.DE0001102333</stp>
        <stp>MidYield</stp>
        <tr r="K163" s="23"/>
      </tp>
      <tp>
        <v>-0.54200000000000004</v>
        <stp/>
        <stp>0</stp>
        <stp>EUR.PRICING_MAIN.PXE.DE0001141737</stp>
        <stp>MidYield</stp>
        <tr r="K152" s="23"/>
      </tp>
      <tp>
        <v>-0.69900000000000007</v>
        <stp/>
        <stp>0</stp>
        <stp>EUR.PRICING_MAIN.PXE.DE0001135333</stp>
        <stp>MidYield</stp>
        <tr r="K129" s="23"/>
      </tp>
      <tp>
        <v>0.58799999999999997</v>
        <stp/>
        <stp>0</stp>
        <stp>EUR.PRICING_MAIN.PXE.DE0001135432</stp>
        <stp>MidYield</stp>
        <tr r="K179" s="23"/>
      </tp>
      <tp>
        <v>-0.66800000000000004</v>
        <stp/>
        <stp>0</stp>
        <stp>EUR.PRICING_MAIN.PXE.DE0001104636</stp>
        <stp>MidYield</stp>
        <tr r="K135" s="23"/>
      </tp>
      <tp t="e">
        <v>#REF!</v>
        <stp/>
        <stp>0</stp>
        <stp>EUR.PRICING_MAIN.PXE.IT0004761950</stp>
        <stp>MidYield</stp>
        <tr r="K6" s="23"/>
      </tp>
      <tp t="s">
        <v>OK</v>
        <stp/>
        <stp>4</stp>
        <stp>EUR.CM_DEPTH.XLS_ANDREA.PTOTE6OE0006</stp>
        <stp>XLS_ANDREA</stp>
        <tr r="H222" s="23"/>
      </tp>
      <tp t="s">
        <v>OK</v>
        <stp/>
        <stp>4</stp>
        <stp>EUR.CM_DEPTH.XLS_ANDREA.PTOTE5OE0007</stp>
        <stp>XLS_ANDREA</stp>
        <tr r="H235" s="23"/>
      </tp>
    </main>
    <main first="bloomberg.rtd">
      <tp>
        <v>0.312</v>
        <stp/>
        <stp>##V3_BDPV12</stp>
        <stp>FR0013200813@CBBT Corp</stp>
        <stp>YAS_BOND_YLD</stp>
        <stp>[Andrea New RollM.xlsm]DB!R92C19</stp>
        <stp>SETTLE_DT=20160909</stp>
        <stp>YAS_BOND_PX=99.373</stp>
        <tr r="S92" s="23"/>
      </tp>
      <tp t="s">
        <v>01/03/2022</v>
        <stp/>
        <stp>##V3_BDPV12</stp>
        <stp>IT0004759673 Corp</stp>
        <stp>Maturity</stp>
        <stp>[Andrea New RollM.xlsm]CCT!R35C4</stp>
        <tr r="D35" s="27"/>
      </tp>
      <tp>
        <v>103.077</v>
        <stp/>
        <stp>##V3_BDHV12</stp>
        <stp>ES00000128B8@CBBT Corp</stp>
        <stp>OPEN</stp>
        <stp>11/10/2016 4:15:00 PM</stp>
        <stp>11/10/2016 5:15:00 PM</stp>
        <stp>[Andrea New RollM.xlsm]DB!R57C14</stp>
        <stp>BarSz=60</stp>
        <stp>BarTp=T</stp>
        <stp>RecurDaily=True</stp>
        <stp>TZ=London</stp>
        <stp>DTS=H</stp>
        <tr r="N57" s="23"/>
      </tp>
    </main>
    <main first="marketviewexcelplugin.mkvxp">
      <tp>
        <v>0.30599999999999999</v>
        <stp/>
        <stp>0</stp>
        <stp>EUR.PRICING_MAIN.PXE.PTOTENOE0018</stp>
        <stp>MidYield</stp>
        <tr r="K224" s="23"/>
      </tp>
      <tp>
        <v>2.4660000000000002</v>
        <stp/>
        <stp>0</stp>
        <stp>EUR.PRICING_MAIN.PXE.PTOTESOE0013</stp>
        <stp>MidYield</stp>
        <tr r="K228" s="23"/>
      </tp>
      <tp>
        <v>3.3860000000000001</v>
        <stp/>
        <stp>0</stp>
        <stp>EUR.PRICING_MAIN.PXE.PTOTETOE0012</stp>
        <stp>MidYield</stp>
        <tr r="K232" s="23"/>
      </tp>
      <tp>
        <v>3.1920000000000002</v>
        <stp/>
        <stp>0</stp>
        <stp>EUR.PRICING_MAIN.PXE.PTOTEKOE0011</stp>
        <stp>MidYield</stp>
        <tr r="K231" s="23"/>
      </tp>
      <tp>
        <v>-4.9000000000000002E-2</v>
        <stp/>
        <stp>0</stp>
        <stp>EUR.PRICING_MAIN.PXE.PTOTELOE0010</stp>
        <stp>MidYield</stp>
        <tr r="K223" s="23"/>
      </tp>
      <tp>
        <v>3.133</v>
        <stp/>
        <stp>0</stp>
        <stp>EUR.PRICING_MAIN.PXE.PTOTEQOE0015</stp>
        <stp>MidYield</stp>
        <tr r="K230" s="23"/>
      </tp>
      <tp>
        <v>3.8320000000000003</v>
        <stp/>
        <stp>0</stp>
        <stp>EUR.PRICING_MAIN.PXE.PTOTEROE0014</stp>
        <stp>MidYield</stp>
        <tr r="K234" s="23"/>
      </tp>
      <tp>
        <v>0.11700000000000001</v>
        <stp/>
        <stp>0</stp>
        <stp>EUR.PRICING_MAIN.PXE.IT0004536949</stp>
        <stp>MidYield</stp>
        <tr r="E27" s="7"/>
        <tr r="K43" s="23"/>
      </tp>
      <tp>
        <v>-0.61699999999999999</v>
        <stp/>
        <stp>0</stp>
        <stp>EUR.PRICING_MAIN.PXE.DE0001135408</stp>
        <stp>MidYield</stp>
        <tr r="K148" s="23"/>
      </tp>
      <tp>
        <v>3.7999999999999999E-2</v>
        <stp/>
        <stp>0</stp>
        <stp>EUR.PRICING_MAIN.PXE.DE0001102408</stp>
        <stp>MidYield</stp>
        <tr r="K169" s="23"/>
      </tp>
      <tp>
        <v>0.12</v>
        <stp/>
        <stp>0</stp>
        <stp>EUR.PRICING_MAIN.PXE.IT0005107708</stp>
        <stp>MidYield</stp>
        <tr r="E28" s="7"/>
        <tr r="K45" s="23"/>
      </tp>
      <tp>
        <v>-0.4</v>
        <stp/>
        <stp>0</stp>
        <stp>EUR.PRICING_MAIN.PXE.DE0001102309</stp>
        <stp>MidYield</stp>
        <tr r="K159" s="23"/>
      </tp>
      <tp>
        <v>2.1059999999999999</v>
        <stp/>
        <stp>0</stp>
        <stp>EUR.PRICING_MAIN.PXE.IT0005177909</stp>
        <stp>MidYield</stp>
        <tr r="K108" s="23"/>
        <tr r="E66" s="7"/>
      </tp>
      <tp>
        <v>105.81100000000001</v>
        <stp/>
        <stp>0</stp>
        <stp>EUR.PRICING_MAIN.PXE.IT0004907843</stp>
        <stp>MidPrice</stp>
        <tr r="D14" s="7"/>
      </tp>
      <tp>
        <v>0.39400000000000002</v>
        <stp/>
        <stp>0</stp>
        <stp>EUR.PRICING_MAIN.PXE.IT0004695075</stp>
        <stp>MidYield</stp>
        <tr r="E35" s="7"/>
        <tr r="K59" s="23"/>
      </tp>
      <tp>
        <v>-0.45600000000000002</v>
        <stp/>
        <stp>0</stp>
        <stp>EUR.PRICING_MAIN.PXE.IE00B6089D15</stp>
        <stp>MidYield</stp>
        <tr r="K240" s="23"/>
      </tp>
      <tp>
        <v>-0.71499999999999997</v>
        <stp/>
        <stp>0</stp>
        <stp>EUR.PRICING_MAIN.PXE.DE0001104602</stp>
        <stp>MidYield</stp>
        <tr r="K128" s="23"/>
      </tp>
      <tp>
        <v>1.478</v>
        <stp/>
        <stp>0</stp>
        <stp>EUR.PRICING_MAIN.PXE.ES0000012411</stp>
        <stp>MidYield</stp>
        <tr r="K215" s="23"/>
      </tp>
      <tp>
        <v>1.171</v>
        <stp/>
        <stp>0</stp>
        <stp>EUR.PRICING_MAIN.PXE.IT0004513641</stp>
        <stp>MidYield</stp>
        <tr r="K82" s="23"/>
        <tr r="E51" s="7"/>
      </tp>
      <tp>
        <v>1E-3</v>
        <stp/>
        <stp>0</stp>
        <stp>EUR.PRICING_MAIN.PXE.IT0003493258</stp>
        <stp>MidYield</stp>
        <tr r="E18" s="7"/>
        <tr r="K29" s="23"/>
      </tp>
      <tp>
        <v>1.22</v>
        <stp/>
        <stp>0</stp>
        <stp>EUR.PRICING_MAIN.PXE.IT0005090318</stp>
        <stp>MidYield</stp>
        <tr r="K84" s="23"/>
        <tr r="E52" s="7"/>
      </tp>
      <tp>
        <v>-0.54400000000000004</v>
        <stp/>
        <stp>0</stp>
        <stp>EUR.PRICING_MAIN.PXE.FR0010776161</stp>
        <stp>MidYield</stp>
        <tr r="K39" s="23"/>
      </tp>
      <tp>
        <v>-0.66100000000000003</v>
        <stp/>
        <stp>0</stp>
        <stp>EUR.PRICING_MAIN.PXE.DE0001141703</stp>
        <stp>MidYield</stp>
        <tr r="K145" s="23"/>
      </tp>
      <tp>
        <v>-6.0000000000000001E-3</v>
        <stp/>
        <stp>0</stp>
        <stp>EUR.PRICING_MAIN.PXE.IT0004423957</stp>
        <stp>MidYield</stp>
        <tr r="E19" s="7"/>
        <tr r="K31" s="23"/>
      </tp>
    </main>
    <main first="bloomberg.rtd">
      <tp>
        <v>103.32</v>
        <stp/>
        <stp>##V3_BDHV12</stp>
        <stp>ES00000128B8@CBBT Corp</stp>
        <stp>OPEN</stp>
        <stp>04/10/2016 4:15:00 PM</stp>
        <stp>04/10/2016 5:15:00 PM</stp>
        <stp>[Andrea New RollM.xlsm]DB!R57C15</stp>
        <stp>BarSz=60</stp>
        <stp>BarTp=T</stp>
        <stp>RecurDaily=True</stp>
        <stp>TZ=London</stp>
        <stp>DTS=H</stp>
        <tr r="O57" s="23"/>
      </tp>
    </main>
    <main first="marketviewexcelplugin.mkvxp">
      <tp>
        <v>4.0640000000000001</v>
        <stp/>
        <stp>0</stp>
        <stp>EUR.PRICING_MAIN.PXE.PTOTE5OE0007</stp>
        <stp>MidYield</stp>
        <tr r="K235" s="23"/>
      </tp>
      <tp>
        <v>1.923</v>
        <stp/>
        <stp>0</stp>
        <stp>EUR.PRICING_MAIN.PXE.PTOTEYOE0007</stp>
        <stp>MidYield</stp>
        <tr r="K227" s="23"/>
      </tp>
      <tp>
        <v>-1.23</v>
        <stp/>
        <stp>0</stp>
        <stp>EUR.PRICING_MAIN.PXE.PTOTE6OE0006</stp>
        <stp>MidYield</stp>
        <tr r="K222" s="23"/>
      </tp>
      <tp>
        <v>2.4279999999999999</v>
        <stp/>
        <stp>0</stp>
        <stp>EUR.PRICING_MAIN.PXE.IT0004923998</stp>
        <stp>MidYield</stp>
        <tr r="K114" s="23"/>
        <tr r="E70" s="7"/>
      </tp>
      <tp>
        <v>2.3359999999999999</v>
        <stp/>
        <stp>0</stp>
        <stp>EUR.PRICING_MAIN.PXE.IT0004532559</stp>
        <stp>MidYield</stp>
        <tr r="E69" s="7"/>
        <tr r="K112" s="23"/>
      </tp>
      <tp>
        <v>130.57</v>
        <stp/>
        <stp>0</stp>
        <stp>EUR.PRICING_MAIN.PXE.IT0003934657</stp>
        <stp>MidPrice</stp>
        <tr r="D67" s="7"/>
      </tp>
      <tp>
        <v>7.2000000000000008E-2</v>
        <stp/>
        <stp>0</stp>
        <stp>EUR.PRICING_MAIN.PXE.IT0005217929</stp>
        <stp>MidYield</stp>
        <tr r="E24" s="7"/>
        <tr r="K38" s="23"/>
      </tp>
      <tp>
        <v>-0.43</v>
        <stp/>
        <stp>0</stp>
        <stp>EUR.PRICING_MAIN.PXE.IT0004987191</stp>
        <stp>MidYield</stp>
        <tr r="E4" s="7"/>
        <tr r="K8" s="23"/>
      </tp>
      <tp>
        <v>0.02</v>
        <stp/>
        <stp>0</stp>
        <stp>EUR.PRICING_MAIN.PXE.FR0011962398</stp>
        <stp>MidYield</stp>
        <tr r="K80" s="23"/>
      </tp>
      <tp>
        <v>128.16800000000001</v>
        <stp/>
        <stp>0</stp>
        <stp>EUR.PRICING_MAIN.PXE.IT0004801541</stp>
        <stp>MidPrice</stp>
        <tr r="D40" s="7"/>
      </tp>
      <tp>
        <v>-0.23400000000000001</v>
        <stp/>
        <stp>0</stp>
        <stp>EUR.PRICING_MAIN.PXE.IE00BJ38CQ36</stp>
        <stp>MidYield</stp>
        <tr r="K243" s="23"/>
      </tp>
      <tp>
        <v>0.113</v>
        <stp/>
        <stp>0</stp>
        <stp>EUR.PRICING_MAIN.PXE.IT0003644769</stp>
        <stp>MidYield</stp>
        <tr r="E26" s="7"/>
        <tr r="K42" s="23"/>
      </tp>
      <tp>
        <v>-0.33700000000000002</v>
        <stp/>
        <stp>0</stp>
        <stp>EUR.PRICING_MAIN.PXE.IT0004793474</stp>
        <stp>MidYield</stp>
        <tr r="E6" s="7"/>
        <tr r="K11" s="23"/>
      </tp>
      <tp>
        <v>-0.48599999999999999</v>
        <stp/>
        <stp>0</stp>
        <stp>EUR.PRICING_MAIN.PXE.FR0012557957</stp>
        <stp>MidYield</stp>
        <tr r="K46" s="23"/>
      </tp>
      <tp>
        <v>-0.69100000000000006</v>
        <stp/>
        <stp>0</stp>
        <stp>EUR.PRICING_MAIN.PXE.DE0001104610</stp>
        <stp>MidYield</stp>
        <tr r="K130" s="23"/>
      </tp>
      <tp>
        <v>0.47000000000000003</v>
        <stp/>
        <stp>0</stp>
        <stp>EUR.PRICING_MAIN.PXE.IT0005028003</stp>
        <stp>MidYield</stp>
        <tr r="E37" s="7"/>
        <tr r="K62" s="23"/>
      </tp>
      <tp>
        <v>0</v>
        <stp/>
        <stp>0</stp>
        <stp>EUR.PRICING_MAIN.PXE.DE0001141612</stp>
        <stp>MidYield</stp>
        <tr r="K123" s="23"/>
      </tp>
      <tp>
        <v>0.54100000000000004</v>
        <stp/>
        <stp>0</stp>
        <stp>EUR.PRICING_MAIN.PXE.IT0004759673</stp>
        <stp>MidYield</stp>
        <tr r="E38" s="7"/>
        <tr r="K63" s="23"/>
      </tp>
      <tp>
        <v>1.5230000000000001</v>
        <stp/>
        <stp>0</stp>
        <stp>EUR.PRICING_MAIN.PXE.IT0001174611</stp>
        <stp>MidYield</stp>
        <tr r="K95" s="23"/>
        <tr r="E58" s="7"/>
      </tp>
      <tp>
        <v>-0.38500000000000001</v>
        <stp/>
        <stp>0</stp>
        <stp>EUR.PRICING_MAIN.PXE.DE0001102317</stp>
        <stp>MidYield</stp>
        <tr r="K160" s="23"/>
      </tp>
      <tp>
        <v>-0.503</v>
        <stp/>
        <stp>0</stp>
        <stp>EUR.PRICING_MAIN.PXE.FR0010854182</stp>
        <stp>MidYield</stp>
        <tr r="K44" s="23"/>
      </tp>
      <tp>
        <v>0.05</v>
        <stp/>
        <stp>0</stp>
        <stp>EUR.PRICING_MAIN.PXE.IT0005030504</stp>
        <stp>MidYield</stp>
        <tr r="E22" s="7"/>
        <tr r="K36" s="23"/>
      </tp>
      <tp>
        <v>2.016</v>
        <stp/>
        <stp>0</stp>
        <stp>EUR.PRICING_MAIN.PXE.IT0003535157</stp>
        <stp>MidYield</stp>
        <tr r="K105" s="23"/>
        <tr r="E65" s="7"/>
      </tp>
      <tp>
        <v>-0.61199999999999999</v>
        <stp/>
        <stp>0</stp>
        <stp>EUR.PRICING_MAIN.PXE.FR0011523257</stp>
        <stp>MidYield</stp>
        <tr r="K27" s="23"/>
      </tp>
      <tp>
        <v>-0.63100000000000001</v>
        <stp/>
        <stp>0</stp>
        <stp>EUR.PRICING_MAIN.PXE.DE0001141711</stp>
        <stp>MidYield</stp>
        <tr r="K147" s="23"/>
      </tp>
      <tp>
        <v>-0.629</v>
        <stp/>
        <stp>0</stp>
        <stp>EUR.PRICING_MAIN.PXE.DE0001135416</stp>
        <stp>MidYield</stp>
        <tr r="K149" s="23"/>
      </tp>
      <tp>
        <v>1.8960000000000001</v>
        <stp/>
        <stp>0</stp>
        <stp>EUR.PRICING_MAIN.PXE.IT0003256820</stp>
        <stp>MidYield</stp>
        <tr r="K104" s="23"/>
        <tr r="E64" s="7"/>
      </tp>
      <tp>
        <v>1.339</v>
        <stp/>
        <stp>0</stp>
        <stp>EUR.PRICING_MAIN.PXE.IE00BV8C9186</stp>
        <stp>MidYield</stp>
        <tr r="K249" s="23"/>
      </tp>
    </main>
    <main first="marketviewexcelplugin.mkvxp">
      <tp>
        <v>8.0000000000000002E-3</v>
        <stp/>
        <stp>0</stp>
        <stp>EUR.PRICING_MAIN.PXE.DE0001135069</stp>
        <stp>MidYield</stp>
        <tr r="K171" s="23"/>
      </tp>
      <tp>
        <v>128.50200000000001</v>
        <stp/>
        <stp>0</stp>
        <stp>EUR.PRICING_MAIN.PXE.IT0004848831</stp>
        <stp>MidPrice</stp>
        <tr r="D42" s="7"/>
      </tp>
      <tp>
        <v>106.036</v>
        <stp/>
        <stp>0</stp>
        <stp>EUR.PRICING_MAIN.PXE.IT0004273493</stp>
        <stp>MidPrice</stp>
        <tr r="D12" s="7"/>
      </tp>
      <tp>
        <v>0.80100000000000005</v>
        <stp/>
        <stp>0</stp>
        <stp>EUR.PRICING_MAIN.PXE.IE00BJ38CR43</stp>
        <stp>MidYield</stp>
        <tr r="K248" s="23"/>
      </tp>
      <tp>
        <v>96.98</v>
        <stp/>
        <stp>0</stp>
        <stp>EUR.PRICING_MAIN.PXE.IT0005217390</stp>
        <stp>MidPrice</stp>
        <tr r="D73" s="7"/>
      </tp>
      <tp>
        <v>-0.17799999999999999</v>
        <stp/>
        <stp>0</stp>
        <stp>EUR.PRICING_MAIN.PXE.FR0010466938</stp>
        <stp>MidYield</stp>
        <tr r="K75" s="23"/>
      </tp>
      <tp>
        <v>99.558000000000007</v>
        <stp/>
        <stp>0</stp>
        <stp>EUR.PRICING_MAIN.PXE.IT0005216491</stp>
        <stp>MidPrice</stp>
        <tr r="D36" s="7"/>
      </tp>
      <tp>
        <v>100.265</v>
        <stp/>
        <stp>0</stp>
        <stp>EUR.PRICING_MAIN.PXE.IT0004960826</stp>
        <stp>MidPrice</stp>
        <tr r="D3" s="7"/>
      </tp>
      <tp>
        <v>-0.626</v>
        <stp/>
        <stp>0</stp>
        <stp>EUR.PRICING_MAIN.PXE.FR0011394345</stp>
        <stp>MidYield</stp>
        <tr r="K22" s="23"/>
      </tp>
      <tp>
        <v>123.70700000000001</v>
        <stp/>
        <stp>0</stp>
        <stp>EUR.PRICING_MAIN.PXE.IT0004898034</stp>
        <stp>MidPrice</stp>
        <tr r="D44" s="7"/>
      </tp>
      <tp>
        <v>0.36699999999999999</v>
        <stp/>
        <stp>0</stp>
        <stp>EUR.PRICING_MAIN.PXE.IT0004009673</stp>
        <stp>MidYield</stp>
        <tr r="E34" s="7"/>
        <tr r="K58" s="23"/>
      </tp>
      <tp>
        <v>-0.70100000000000007</v>
        <stp/>
        <stp>0</stp>
        <stp>EUR.PRICING_MAIN.PXE.FR0010415331</stp>
        <stp>MidYield</stp>
        <tr r="K10" s="23"/>
      </tp>
      <tp>
        <v>1.1360000000000001</v>
        <stp/>
        <stp>0</stp>
        <stp>EUR.PRICING_MAIN.PXE.FR0011461037</stp>
        <stp>MidYield</stp>
        <tr r="K115" s="23"/>
      </tp>
      <tp>
        <v>1.4550000000000001</v>
        <stp/>
        <stp>0</stp>
        <stp>EUR.PRICING_MAIN.PXE.IT0005210650</stp>
        <stp>MidYield</stp>
        <tr r="E57" s="7"/>
        <tr r="K93" s="23"/>
      </tp>
      <tp>
        <v>-0.58899999999999997</v>
        <stp/>
        <stp>0</stp>
        <stp>EUR.PRICING_MAIN.PXE.FR0013101466</stp>
        <stp>MidYield</stp>
        <tr r="K30" s="23"/>
      </tp>
      <tp>
        <v>-0.25</v>
        <stp/>
        <stp>0</stp>
        <stp>EUR.PRICING_MAIN.PXE.DE0001102366</stp>
        <stp>MidYield</stp>
        <tr r="K165" s="23"/>
      </tp>
      <tp>
        <v>0.107</v>
        <stp/>
        <stp>0</stp>
        <stp>EUR.PRICING_MAIN.PXE.FR0012517027</stp>
        <stp>MidYield</stp>
        <tr r="K83" s="23"/>
      </tp>
      <tp>
        <v>-0.47300000000000003</v>
        <stp/>
        <stp>0</stp>
        <stp>EUR.PRICING_MAIN.PXE.DE0001135465</stp>
        <stp>MidYield</stp>
        <tr r="K156" s="23"/>
      </tp>
      <tp>
        <v>0.79200000000000004</v>
        <stp/>
        <stp>0</stp>
        <stp>EUR.PRICING_MAIN.PXE.IT0004356843</stp>
        <stp>MidYield</stp>
        <tr r="E45" s="7"/>
        <tr r="K73" s="23"/>
      </tp>
      <tp>
        <v>-5.5E-2</v>
        <stp/>
        <stp>0</stp>
        <stp>EUR.PRICING_MAIN.PXE.IT0004361041</stp>
        <stp>MidYield</stp>
        <tr r="E15" s="7"/>
        <tr r="K24" s="23"/>
      </tp>
      <tp>
        <v>1.139</v>
        <stp/>
        <stp>0</stp>
        <stp>EUR.PRICING_MAIN.PXE.IT0005045270</stp>
        <stp>MidYield</stp>
        <tr r="E50" s="7"/>
        <tr r="K81" s="23"/>
      </tp>
      <tp>
        <v>134.03</v>
        <stp/>
        <stp>0</stp>
        <stp>EUR.PRICING_MAIN.PXE.IT0004889033</stp>
        <stp>MidPrice</stp>
        <tr r="D59" s="7"/>
      </tp>
      <tp>
        <v>-0.67100000000000004</v>
        <stp/>
        <stp>0</stp>
        <stp>EUR.PRICING_MAIN.PXE.DE0001141661</stp>
        <stp>MidYield</stp>
        <tr r="K136" s="23"/>
      </tp>
      <tp>
        <v>0.52500000000000002</v>
        <stp/>
        <stp>0</stp>
        <stp>EUR.PRICING_MAIN.PXE.DE0001135366</stp>
        <stp>MidYield</stp>
        <tr r="K178" s="23"/>
      </tp>
    </main>
    <main first="bloomberg.rtd">
      <tp t="b">
        <v>0</v>
        <stp/>
        <stp>##V3_BCURVEINTV12</stp>
        <stp>[Andrea New RollM.xlsm]SPF!R9C9</stp>
        <stp>EUR.OIS:BLOOMBERG DC 272086</stp>
        <stp>Par.Mid</stp>
        <stp>20190415</stp>
        <stp>Frequency=Annual</stp>
        <stp>DayCount=D30_360_EOMC</stp>
        <tr r="I9" s="4"/>
      </tp>
      <tp t="b">
        <v>0</v>
        <stp/>
        <stp>##V3_BCURVEINTV12</stp>
        <stp>[Andrea New RollM.xlsm]SPF!R8C9</stp>
        <stp>EUR.OIS:BLOOMBERG DC 272086</stp>
        <stp>Par.Mid</stp>
        <stp>20181015</stp>
        <stp>Frequency=Annual</stp>
        <stp>DayCount=D30_360_EOMC</stp>
        <tr r="I8" s="4"/>
      </tp>
      <tp t="s">
        <v>01/12/2019</v>
        <stp/>
        <stp>##V3_BDPV12</stp>
        <stp>IT0005069395 Corp</stp>
        <stp>Maturity</stp>
        <stp>[Andrea New RollM.xlsm]CCT!R32C4</stp>
        <tr r="D32" s="27"/>
      </tp>
    </main>
    <main first="marketviewexcelplugin.mkvxp">
      <tp t="e">
        <v>#REF!</v>
        <stp/>
        <stp>0</stp>
        <stp>EUR.PRICING_MAIN.PXE.DE0001137479</stp>
        <stp>MidYield</stp>
        <tr r="K122" s="23"/>
      </tp>
      <tp>
        <v>103.208</v>
        <stp/>
        <stp>0</stp>
        <stp>EUR.PRICING_MAIN.PXE.IT0004820426</stp>
        <stp>MidPrice</stp>
        <tr r="D8" s="7"/>
      </tp>
      <tp>
        <v>1.28</v>
        <stp/>
        <stp>0</stp>
        <stp>EUR.PRICING_MAIN.PXE.ES0000011868</stp>
        <stp>MidYield</stp>
        <tr r="K213" s="23"/>
      </tp>
      <tp>
        <v>0.18099999999999999</v>
        <stp/>
        <stp>0</stp>
        <stp>EUR.PRICING_MAIN.PXE.IT0004594930</stp>
        <stp>MidYield</stp>
        <tr r="E29" s="7"/>
        <tr r="K47" s="23"/>
      </tp>
      <tp>
        <v>1.4020000000000001</v>
        <stp/>
        <stp>0</stp>
        <stp>EUR.PRICING_MAIN.PXE.IT0001086567</stp>
        <stp>MidYield</stp>
        <tr r="E56" s="7"/>
        <tr r="K91" s="23"/>
      </tp>
      <tp>
        <v>-0.67800000000000005</v>
        <stp/>
        <stp>0</stp>
        <stp>EUR.PRICING_MAIN.PXE.DE0001141679</stp>
        <stp>MidYield</stp>
        <tr r="K140" s="23"/>
      </tp>
      <tp>
        <v>1.284</v>
        <stp/>
        <stp>0</stp>
        <stp>EUR.PRICING_MAIN.PXE.FR0010171975</stp>
        <stp>MidYield</stp>
        <tr r="K119" s="23"/>
      </tp>
      <tp>
        <v>0.86299999999999999</v>
        <stp/>
        <stp>0</stp>
        <stp>EUR.PRICING_MAIN.PXE.IT0000366655</stp>
        <stp>MidYield</stp>
        <tr r="E47" s="7"/>
        <tr r="K76" s="23"/>
      </tp>
      <tp>
        <v>-0.40200000000000002</v>
        <stp/>
        <stp>0</stp>
        <stp>EUR.PRICING_MAIN.PXE.IT0004164775</stp>
        <stp>MidYield</stp>
        <tr r="E5" s="7"/>
        <tr r="K9" s="23"/>
      </tp>
      <tp>
        <v>-0.27800000000000002</v>
        <stp/>
        <stp>0</stp>
        <stp>EUR.PRICING_MAIN.PXE.IT0003242747</stp>
        <stp>MidYield</stp>
        <tr r="E9" s="7"/>
        <tr r="K14" s="23"/>
      </tp>
      <tp>
        <v>-0.44600000000000001</v>
        <stp/>
        <stp>0</stp>
        <stp>EUR.PRICING_MAIN.PXE.DE0001135473</stp>
        <stp>MidYield</stp>
        <tr r="K157" s="23"/>
      </tp>
      <tp>
        <v>-0.154</v>
        <stp/>
        <stp>0</stp>
        <stp>EUR.PRICING_MAIN.PXE.IT0005058463</stp>
        <stp>MidYield</stp>
        <tr r="E11" s="7"/>
        <tr r="K17" s="23"/>
      </tp>
      <tp>
        <v>0.42299999999999999</v>
        <stp/>
        <stp>0</stp>
        <stp>EUR.PRICING_MAIN.PXE.DE0001135275</stp>
        <stp>MidYield</stp>
        <tr r="K176" s="23"/>
      </tp>
      <tp>
        <v>3.4000000000000002E-2</v>
        <stp/>
        <stp>0</stp>
        <stp>EUR.PRICING_MAIN.PXE.IT0005177271</stp>
        <stp>MidYield</stp>
        <tr r="E20" s="7"/>
        <tr r="K33" s="23"/>
      </tp>
      <tp>
        <v>0.77400000000000002</v>
        <stp/>
        <stp>0</stp>
        <stp>EUR.PRICING_MAIN.PXE.FR0010070060</stp>
        <stp>MidYield</stp>
        <tr r="K106" s="23"/>
      </tp>
      <tp>
        <v>-0.67600000000000005</v>
        <stp/>
        <stp>0</stp>
        <stp>EUR.PRICING_MAIN.PXE.DE0001135374</stp>
        <stp>MidYield</stp>
        <tr r="K141" s="23"/>
      </tp>
      <tp>
        <v>0.86899999999999999</v>
        <stp/>
        <stp>0</stp>
        <stp>EUR.PRICING_MAIN.PXE.IT0005215246</stp>
        <stp>MidYield</stp>
        <tr r="K74" s="23"/>
        <tr r="E46" s="7"/>
      </tp>
      <tp>
        <v>0.26900000000000002</v>
        <stp/>
        <stp>0</stp>
        <stp>EUR.PRICING_MAIN.PXE.FR0013131877</stp>
        <stp>MidYield</stp>
        <tr r="K89" s="23"/>
      </tp>
      <tp>
        <v>-0.192</v>
        <stp/>
        <stp>0</stp>
        <stp>EUR.PRICING_MAIN.PXE.DE0001102374</stp>
        <stp>MidYield</stp>
        <tr r="K166" s="23"/>
      </tp>
      <tp>
        <v>0.17500000000000002</v>
        <stp/>
        <stp>0</stp>
        <stp>EUR.PRICING_MAIN.PXE.DE0001135176</stp>
        <stp>MidYield</stp>
        <tr r="K174" s="23"/>
      </tp>
    </main>
    <main first="bloomberg.rtd">
      <tp>
        <v>1.3049999999999999</v>
        <stp/>
        <stp>##V3_BDPV12</stp>
        <stp>IT0005210650@CBBT Corp</stp>
        <stp>YAS_BOND_YLD</stp>
        <stp>[Andrea New RollM.xlsm]DB!R93C19</stp>
        <stp>SETTLE_DT=20160909</stp>
        <stp>YAS_BOND_PX=99.512</stp>
        <tr r="S93" s="23"/>
      </tp>
      <tp t="s">
        <v>01/08/2018</v>
        <stp/>
        <stp>##V3_BDPV12</stp>
        <stp>IT0004361041 Corp</stp>
        <stp>Maturity</stp>
        <stp>[Andrea New RollM.xlsm]CCT!R29C4</stp>
        <tr r="D29" s="27"/>
      </tp>
      <tp t="s">
        <v>01/09/2019</v>
        <stp/>
        <stp>##V3_BDPV12</stp>
        <stp>IT0004489610 Corp</stp>
        <stp>Maturity</stp>
        <stp>[Andrea New RollM.xlsm]CCT!R31C4</stp>
        <tr r="D31" s="27"/>
      </tp>
    </main>
    <main first="marketviewexcelplugin.mkvxp">
      <tp>
        <v>105.86200000000001</v>
        <stp/>
        <stp>0</stp>
        <stp>EUR.PRICING_MAIN.PXE.IT0005127086</stp>
        <stp>MidPrice</stp>
        <tr r="D53" s="7"/>
      </tp>
      <tp>
        <v>-0.31900000000000001</v>
        <stp/>
        <stp>0</stp>
        <stp>EUR.PRICING_MAIN.PXE.IT0005023459</stp>
        <stp>MidYield</stp>
        <tr r="E7" s="7"/>
        <tr r="K12" s="23"/>
      </tp>
      <tp>
        <v>115.36200000000001</v>
        <stp/>
        <stp>0</stp>
        <stp>EUR.PRICING_MAIN.PXE.IT0004966401</stp>
        <stp>MidPrice</stp>
        <tr r="D32" s="7"/>
      </tp>
      <tp>
        <v>5.2999999999999999E-2</v>
        <stp/>
        <stp>0</stp>
        <stp>EUR.PRICING_MAIN.PXE.IT0004489610</stp>
        <stp>MidYield</stp>
        <tr r="E23" s="7"/>
        <tr r="K37" s="23"/>
      </tp>
      <tp>
        <v>-8.7999999999999995E-2</v>
        <stp/>
        <stp>0</stp>
        <stp>EUR.PRICING_MAIN.PXE.IT0005106049</stp>
        <stp>MidYield</stp>
        <tr r="E13" s="7"/>
        <tr r="K21" s="23"/>
      </tp>
      <tp>
        <v>106.26600000000001</v>
        <stp/>
        <stp>0</stp>
        <stp>EUR.PRICING_MAIN.PXE.IT0004992308</stp>
        <stp>MidPrice</stp>
        <tr r="D21" s="7"/>
      </tp>
      <tp>
        <v>2.4609999999999999</v>
        <stp/>
        <stp>0</stp>
        <stp>EUR.PRICING_MAIN.PXE.IT0005083057</stp>
        <stp>MidYield</stp>
        <tr r="K116" s="23"/>
        <tr r="E71" s="7"/>
      </tp>
      <tp>
        <v>103.062</v>
        <stp/>
        <stp>0</stp>
        <stp>EUR.PRICING_MAIN.PXE.IT0005069395</stp>
        <stp>MidPrice</stp>
        <tr r="D25" s="7"/>
      </tp>
      <tp>
        <v>-0.69500000000000006</v>
        <stp/>
        <stp>0</stp>
        <stp>EUR.PRICING_MAIN.PXE.DE0001141646</stp>
        <stp>MidYield</stp>
        <tr r="K131" s="23"/>
      </tp>
      <tp>
        <v>-0.71699999999999997</v>
        <stp/>
        <stp>0</stp>
        <stp>EUR.PRICING_MAIN.PXE.DE0001135341</stp>
        <stp>MidYield</stp>
        <tr r="K133" s="23"/>
      </tp>
      <tp>
        <v>-0.55100000000000005</v>
        <stp/>
        <stp>0</stp>
        <stp>EUR.PRICING_MAIN.PXE.DE0001135440</stp>
        <stp>MidYield</stp>
        <tr r="K153" s="23"/>
      </tp>
      <tp>
        <v>0.63900000000000001</v>
        <stp/>
        <stp>0</stp>
        <stp>EUR.PRICING_MAIN.PXE.IT0005135840</stp>
        <stp>MidYield</stp>
        <tr r="E41" s="7"/>
        <tr r="K67" s="23"/>
      </tp>
      <tp>
        <v>-0.60799999999999998</v>
        <stp/>
        <stp>0</stp>
        <stp>EUR.PRICING_MAIN.PXE.FR0010670737</stp>
        <stp>MidYield</stp>
        <tr r="K26" s="23"/>
      </tp>
      <tp>
        <v>7.2999999999999995E-2</v>
        <stp/>
        <stp>0</stp>
        <stp>EUR.PRICING_MAIN.PXE.DE0001135143</stp>
        <stp>MidYield</stp>
        <tr r="K173" s="23"/>
      </tp>
      <tp>
        <v>0.65500000000000003</v>
        <stp/>
        <stp>0</stp>
        <stp>EUR.PRICING_MAIN.PXE.DE0001102341</stp>
        <stp>MidYield</stp>
        <tr r="K181" s="23"/>
      </tp>
      <tp>
        <v>-0.48499999999999999</v>
        <stp/>
        <stp>0</stp>
        <stp>EUR.PRICING_MAIN.PXE.DE0001141745</stp>
        <stp>MidYield</stp>
        <tr r="K155" s="23"/>
      </tp>
      <tp>
        <v>0.90100000000000002</v>
        <stp/>
        <stp>0</stp>
        <stp>EUR.PRICING_MAIN.PXE.FR0013154044</stp>
        <stp>MidYield</stp>
        <tr r="K107" s="23"/>
      </tp>
      <tp>
        <v>1.3540000000000001</v>
        <stp/>
        <stp>0</stp>
        <stp>EUR.PRICING_MAIN.PXE.IT0004644735</stp>
        <stp>MidYield</stp>
        <tr r="K87" s="23"/>
        <tr r="E54" s="7"/>
      </tp>
      <tp>
        <v>0.26800000000000002</v>
        <stp/>
        <stp>0</stp>
        <stp>EUR.PRICING_MAIN.PXE.IT0004634132</stp>
        <stp>MidYield</stp>
        <tr r="E31" s="7"/>
        <tr r="K52" s="23"/>
      </tp>
      <tp>
        <v>-2.1000000000000001E-2</v>
        <stp/>
        <stp>0</stp>
        <stp>EUR.PRICING_MAIN.PXE.DE0001135044</stp>
        <stp>MidYield</stp>
        <tr r="K170" s="23"/>
      </tp>
      <tp>
        <v>-7.2000000000000008E-2</v>
        <stp/>
        <stp>0</stp>
        <stp>EUR.PRICING_MAIN.PXE.FR0011619436</stp>
        <stp>MidYield</stp>
        <tr r="K78" s="23"/>
      </tp>
      <tp>
        <v>0.19600000000000001</v>
        <stp/>
        <stp>0</stp>
        <stp>EUR.PRICING_MAIN.PXE.IT0005142143</stp>
        <stp>MidYield</stp>
        <tr r="E30" s="7"/>
        <tr r="K50" s="23"/>
        <tr r="K49" s="23"/>
      </tp>
      <tp>
        <v>-0.67100000000000004</v>
        <stp/>
        <stp>0</stp>
        <stp>EUR.PRICING_MAIN.PXE.DE0001104644</stp>
        <stp>MidYield</stp>
        <tr r="K137" s="23"/>
      </tp>
    </main>
    <main first="bloomberg.rtd">
      <tp t="s">
        <v>#N/A Invalid Override</v>
        <stp/>
        <stp>##V3_BDPV12</stp>
        <stp>IT0005215246@CBBT Corp</stp>
        <stp>YAS_BOND_YLD</stp>
        <stp>[Andrea New RollM.xlsm]DB!R74C19</stp>
        <stp>SETTLE_DT=20160909</stp>
        <stp>YAS_BOND_PX=#N/A N/A</stp>
        <tr r="S74" s="23"/>
      </tp>
    </main>
    <main first="marketviewexcelplugin.mkvxp">
      <tp>
        <v>59.400000000000006</v>
        <stp/>
        <stp>0</stp>
        <stp>EUR.PRICING_MAIN.PXE.IT0004759673</stp>
        <stp>MidZSpread</stp>
        <tr r="S38" s="7"/>
      </tp>
      <tp>
        <v>46</v>
        <stp/>
        <stp>0</stp>
        <stp>EUR.PRICING_MAIN.PXE.IT0004009673</stp>
        <stp>MidZSpread</stp>
        <tr r="S34" s="7"/>
      </tp>
      <tp>
        <v>25.5</v>
        <stp/>
        <stp>0</stp>
        <stp>EUR.PRICING_MAIN.PXE.IT0004489610</stp>
        <stp>MidZSpread</stp>
        <tr r="S23" s="7"/>
      </tp>
      <tp>
        <v>26.6</v>
        <stp/>
        <stp>0</stp>
        <stp>EUR.PRICING_MAIN.PXE.IT0005069395</stp>
        <stp>MidZSpread</stp>
        <tr r="S25" s="7"/>
      </tp>
      <tp>
        <v>111</v>
        <stp/>
        <stp>0</stp>
        <stp>EUR.PRICING_MAIN.PXE.IT0004889033</stp>
        <stp>MidZSpread</stp>
        <tr r="S59" s="7"/>
      </tp>
      <tp>
        <v>16.400000000000002</v>
        <stp/>
        <stp>0</stp>
        <stp>EUR.PRICING_MAIN.PXE.IT0005139099</stp>
        <stp>MidZSpread</stp>
        <tr r="S16" s="7"/>
      </tp>
    </main>
    <main first="bloomberg.rtd">
      <tp t="s">
        <v>15/11/2019</v>
        <stp/>
        <stp>##V3_BDPV12</stp>
        <stp>IT0005009839 Corp</stp>
        <stp>Maturity</stp>
        <stp>[Andrea New RollM.xlsm]CCT!R10C4</stp>
        <tr r="D10" s="27"/>
      </tp>
    </main>
    <main first="marketviewexcelplugin.mkvxp">
      <tp>
        <v>-0.68300000000000005</v>
        <stp/>
        <stp>0</stp>
        <stp>EUR.PRICING_MAIN.PXE.DE0001135358</stp>
        <stp>MidYield</stp>
        <tr r="K138" s="23"/>
      </tp>
      <tp>
        <v>-0.28300000000000003</v>
        <stp/>
        <stp>0</stp>
        <stp>EUR.PRICING_MAIN.PXE.DE0001102358</stp>
        <stp>MidYield</stp>
        <tr r="K164" s="23"/>
      </tp>
      <tp>
        <v>-0.58099999999999996</v>
        <stp/>
        <stp>0</stp>
        <stp>EUR.PRICING_MAIN.PXE.FR0000189151</stp>
        <stp>MidYield</stp>
        <tr r="K32" s="23"/>
      </tp>
      <tp>
        <v>98.14</v>
        <stp/>
        <stp>0</stp>
        <stp>EUR.PRICING_MAIN.PXE.IT0005094088</stp>
        <stp>MidPrice</stp>
        <tr r="D63" s="7"/>
      </tp>
      <tp>
        <v>2.2810000000000001</v>
        <stp/>
        <stp>0</stp>
        <stp>EUR.PRICING_MAIN.PXE.IT0004286966</stp>
        <stp>MidYield</stp>
        <tr r="K111" s="23"/>
        <tr r="E68" s="7"/>
      </tp>
      <tp>
        <v>-0.314</v>
        <stp/>
        <stp>0</stp>
        <stp>EUR.PRICING_MAIN.PXE.FR0011196856</stp>
        <stp>MidYield</stp>
        <tr r="K65" s="23"/>
      </tp>
      <tp>
        <v>124.961</v>
        <stp/>
        <stp>0</stp>
        <stp>EUR.PRICING_MAIN.PXE.IT0004953417</stp>
        <stp>MidPrice</stp>
        <tr r="D48" s="7"/>
      </tp>
      <tp>
        <v>100.43</v>
        <stp/>
        <stp>0</stp>
        <stp>EUR.PRICING_MAIN.PXE.IT0005175598</stp>
        <stp>MidPrice</stp>
        <tr r="D33" s="7"/>
      </tp>
      <tp>
        <v>104.288</v>
        <stp/>
        <stp>0</stp>
        <stp>EUR.PRICING_MAIN.PXE.IT0005086886</stp>
        <stp>MidPrice</stp>
        <tr r="D39" s="7"/>
      </tp>
      <tp>
        <v>-0.66800000000000004</v>
        <stp/>
        <stp>0</stp>
        <stp>EUR.PRICING_MAIN.PXE.DE0001104651</stp>
        <stp>MidYield</stp>
        <tr r="K139" s="23"/>
      </tp>
      <tp>
        <v>-0.67</v>
        <stp/>
        <stp>0</stp>
        <stp>EUR.PRICING_MAIN.PXE.FR0010517417</stp>
        <stp>MidYield</stp>
        <tr r="K15" s="23"/>
      </tp>
      <tp>
        <v>-0.68500000000000005</v>
        <stp/>
        <stp>0</stp>
        <stp>EUR.PRICING_MAIN.PXE.DE0001141653</stp>
        <stp>MidYield</stp>
        <tr r="K134" s="23"/>
      </tp>
      <tp>
        <v>1.0980000000000001</v>
        <stp/>
        <stp>0</stp>
        <stp>EUR.PRICING_MAIN.PXE.IT0005001547</stp>
        <stp>MidYield</stp>
        <tr r="E49" s="7"/>
        <tr r="K79" s="23"/>
      </tp>
      <tp>
        <v>-0.51800000000000002</v>
        <stp/>
        <stp>0</stp>
        <stp>EUR.PRICING_MAIN.PXE.DE0001135457</stp>
        <stp>MidYield</stp>
        <tr r="K154" s="23"/>
      </tp>
      <tp>
        <v>100.67700000000001</v>
        <stp/>
        <stp>0</stp>
        <stp>EUR.PRICING_MAIN.PXE.IT0005139099</stp>
        <stp>MidPrice</stp>
        <tr r="D16" s="7"/>
      </tp>
      <tp>
        <v>-5.3000000000000007</v>
        <stp/>
        <stp>0</stp>
        <stp>EUR.PRICING_MAIN.PXE.IT0005058463</stp>
        <stp>MidZSpread</stp>
        <tr r="S11" s="7"/>
      </tp>
      <tp>
        <v>112</v>
        <stp/>
        <stp>0</stp>
        <stp>EUR.PRICING_MAIN.PXE.IT0001278511</stp>
        <stp>MidZSpread</stp>
        <tr r="S60" s="7"/>
      </tp>
      <tp>
        <v>73.900000000000006</v>
        <stp/>
        <stp>0</stp>
        <stp>EUR.PRICING_MAIN.PXE.IT0004898034</stp>
        <stp>MidZSpread</stp>
        <tr r="S44" s="7"/>
      </tp>
      <tp>
        <v>53.400000000000006</v>
        <stp/>
        <stp>0</stp>
        <stp>EUR.PRICING_MAIN.PXE.IT0005028003</stp>
        <stp>MidZSpread</stp>
        <tr r="S37" s="7"/>
      </tp>
      <tp>
        <v>68.5</v>
        <stp/>
        <stp>0</stp>
        <stp>EUR.PRICING_MAIN.PXE.IT0004848831</stp>
        <stp>MidZSpread</stp>
        <tr r="S42" s="7"/>
      </tp>
    </main>
    <main first="bloomberg.rtd">
      <tp t="s">
        <v>15/06/2022</v>
        <stp/>
        <stp>##V3_BDPV12</stp>
        <stp>IT0005104473 Corp</stp>
        <stp>Maturity</stp>
        <stp>[Andrea New RollM.xlsm]CCT!R12C4</stp>
        <tr r="D12" s="27"/>
      </tp>
      <tp t="s">
        <v>01/02/2017</v>
        <stp/>
        <stp>##V3_BDPV12</stp>
        <stp>IT0004164775 Corp</stp>
        <stp>Maturity</stp>
        <stp>[Andrea New RollM.xlsm]CCT!R22C4</stp>
        <tr r="D22" s="27"/>
      </tp>
    </main>
    <main first="marketviewexcelplugin.mkvxp">
      <tp>
        <v>110.565</v>
        <stp/>
        <stp>0</stp>
        <stp>EUR.PRICING_MAIN.PXE.IT0005045270</stp>
        <stp>MidPrice</stp>
        <tr r="D50" s="7"/>
      </tp>
      <tp>
        <v>1.6</v>
        <stp/>
        <stp>0</stp>
        <stp>EUR.PRICING_MAIN.PXE.IT0004889033</stp>
        <stp>MidYield</stp>
        <tr r="K96" s="23"/>
        <tr r="E59" s="7"/>
      </tp>
      <tp>
        <v>108.2</v>
        <stp/>
        <stp>0</stp>
        <stp>EUR.PRICING_MAIN.PXE.IT0004361041</stp>
        <stp>MidPrice</stp>
        <tr r="D15" s="7"/>
      </tp>
      <tp>
        <v>126.158</v>
        <stp/>
        <stp>0</stp>
        <stp>EUR.PRICING_MAIN.PXE.IT0004356843</stp>
        <stp>MidPrice</stp>
        <tr r="D45" s="7"/>
      </tp>
      <tp>
        <v>98.126999999999995</v>
        <stp/>
        <stp>0</stp>
        <stp>EUR.PRICING_MAIN.PXE.IT0005210650</stp>
        <stp>MidPrice</stp>
        <tr r="D57" s="7"/>
      </tp>
      <tp>
        <v>116.07900000000001</v>
        <stp/>
        <stp>0</stp>
        <stp>EUR.PRICING_MAIN.PXE.IT0004009673</stp>
        <stp>MidPrice</stp>
        <tr r="D34" s="7"/>
      </tp>
      <tp>
        <v>0.78100000000000003</v>
        <stp/>
        <stp>0</stp>
        <stp>EUR.PRICING_MAIN.PXE.IT0004898034</stp>
        <stp>MidYield</stp>
        <tr r="E44" s="7"/>
        <tr r="K71" s="23"/>
      </tp>
      <tp>
        <v>0.36</v>
        <stp/>
        <stp>0</stp>
        <stp>EUR.PRICING_MAIN.PXE.FR0011317783</stp>
        <stp>MidYield</stp>
        <tr r="K94" s="23"/>
      </tp>
      <tp>
        <v>-0.26</v>
        <stp/>
        <stp>0</stp>
        <stp>EUR.PRICING_MAIN.PXE.FR0011337880</stp>
        <stp>MidYield</stp>
        <tr r="K68" s="23"/>
      </tp>
      <tp>
        <v>0.439</v>
        <stp/>
        <stp>0</stp>
        <stp>EUR.PRICING_MAIN.PXE.IT0005216491</stp>
        <stp>MidYield</stp>
        <tr r="E36" s="7"/>
        <tr r="K61" s="23"/>
      </tp>
      <tp>
        <v>-0.29799999999999999</v>
        <stp/>
        <stp>0</stp>
        <stp>EUR.PRICING_MAIN.PXE.IT0004960826</stp>
        <stp>MidYield</stp>
        <tr r="E3" s="7"/>
        <tr r="K7" s="23"/>
      </tp>
      <tp>
        <v>2.9359999999999999</v>
        <stp/>
        <stp>0</stp>
        <stp>EUR.PRICING_MAIN.PXE.IT0005217390</stp>
        <stp>MidYield</stp>
        <tr r="E73" s="7"/>
        <tr r="K118" s="23"/>
      </tp>
      <tp>
        <v>-0.14100000000000001</v>
        <stp/>
        <stp>0</stp>
        <stp>EUR.PRICING_MAIN.PXE.IT0004273493</stp>
        <stp>MidYield</stp>
        <tr r="E12" s="7"/>
        <tr r="K18" s="23"/>
      </tp>
      <tp>
        <v>0.68300000000000005</v>
        <stp/>
        <stp>0</stp>
        <stp>EUR.PRICING_MAIN.PXE.IT0004848831</stp>
        <stp>MidYield</stp>
        <tr r="E42" s="7"/>
        <tr r="K69" s="23"/>
      </tp>
      <tp>
        <v>0.20100000000000001</v>
        <stp/>
        <stp>0</stp>
        <stp>EUR.PRICING_MAIN.PXE.FR0010916924</stp>
        <stp>MidYield</stp>
        <tr r="K88" s="23"/>
      </tp>
      <tp>
        <v>28.700000000000003</v>
        <stp/>
        <stp>0</stp>
        <stp>EUR.PRICING_MAIN.PXE.IT0005107708</stp>
        <stp>MidZSpread</stp>
        <tr r="S28" s="7"/>
      </tp>
      <tp>
        <v>15.100000000000001</v>
        <stp/>
        <stp>0</stp>
        <stp>EUR.PRICING_MAIN.PXE.IT0004957574</stp>
        <stp>MidZSpread</stp>
        <tr r="S17" s="7"/>
      </tp>
      <tp>
        <v>208</v>
        <stp/>
        <stp>0</stp>
        <stp>EUR.PRICING_MAIN.PXE.IT0005217390</stp>
        <stp>MidZSpread</stp>
        <tr r="S73" s="7"/>
      </tp>
      <tp>
        <v>23.700000000000003</v>
        <stp/>
        <stp>0</stp>
        <stp>EUR.PRICING_MAIN.PXE.IT0005177271</stp>
        <stp>MidZSpread</stp>
        <tr r="S20" s="7"/>
      </tp>
      <tp>
        <v>-13.3</v>
        <stp/>
        <stp>0</stp>
        <stp>EUR.PRICING_MAIN.PXE.IT0004867070</stp>
        <stp>MidZSpread</stp>
        <tr r="S10" s="7"/>
      </tp>
      <tp>
        <v>-9.9</v>
        <stp/>
        <stp>0</stp>
        <stp>EUR.PRICING_MAIN.PXE.IT0004987191</stp>
        <stp>MidZSpread</stp>
        <tr r="S4" s="7"/>
      </tp>
      <tp>
        <v>101.60000000000001</v>
        <stp/>
        <stp>0</stp>
        <stp>EUR.PRICING_MAIN.PXE.IT0005127086</stp>
        <stp>MidZSpread</stp>
        <tr r="S53" s="7"/>
      </tp>
      <tp>
        <v>27.5</v>
        <stp/>
        <stp>0</stp>
        <stp>EUR.PRICING_MAIN.PXE.IT0005217929</stp>
        <stp>MidZSpread</stp>
        <tr r="S24" s="7"/>
      </tp>
      <tp>
        <v>126</v>
        <stp/>
        <stp>0</stp>
        <stp>EUR.PRICING_MAIN.PXE.IT0005177909</stp>
        <stp>MidZSpread</stp>
        <tr r="S66" s="7"/>
      </tp>
      <tp>
        <v>9.1</v>
        <stp/>
        <stp>0</stp>
        <stp>EUR.PRICING_MAIN.PXE.IT0004907843</stp>
        <stp>MidZSpread</stp>
        <tr r="S14" s="7"/>
      </tp>
    </main>
    <main first="bloomberg.rtd">
      <tp t="s">
        <v>01/09/2020</v>
        <stp/>
        <stp>##V3_BDPV12</stp>
        <stp>IT0004594930 Corp</stp>
        <stp>Maturity</stp>
        <stp>[Andrea New RollM.xlsm]CCT!R33C4</stp>
        <tr r="D33" s="27"/>
      </tp>
      <tp t="s">
        <v>01/08/2017</v>
        <stp/>
        <stp>##V3_BDPV12</stp>
        <stp>IT0003242747 Corp</stp>
        <stp>Maturity</stp>
        <stp>[Andrea New RollM.xlsm]CCT!R25C4</stp>
        <tr r="D25" s="27"/>
      </tp>
      <tp t="s">
        <v>15/12/2020</v>
        <stp/>
        <stp>##V3_BDPV12</stp>
        <stp>IT0005056541 Corp</stp>
        <stp>Maturity</stp>
        <stp>[Andrea New RollM.xlsm]CCT!R11C4</stp>
        <tr r="D11" s="27"/>
      </tp>
      <tp t="s">
        <v>01/09/2022</v>
        <stp/>
        <stp>##V3_BDPV12</stp>
        <stp>IT0004801541 Corp</stp>
        <stp>Maturity</stp>
        <stp>[Andrea New RollM.xlsm]CCT!R36C4</stp>
        <tr r="D36" s="27"/>
      </tp>
      <tp t="s">
        <v>01/12/2018</v>
        <stp/>
        <stp>##V3_BDPV12</stp>
        <stp>IT0004957574 Corp</stp>
        <stp>Maturity</stp>
        <stp>[Andrea New RollM.xlsm]CCT!R30C4</stp>
        <tr r="D30" s="27"/>
      </tp>
    </main>
    <main first="marketviewexcelplugin.mkvxp">
      <tp>
        <v>98.522999999999996</v>
        <stp/>
        <stp>0</stp>
        <stp>EUR.PRICING_MAIN.PXE.IT0005215246</stp>
        <stp>MidPrice</stp>
        <tr r="D46" s="7"/>
      </tp>
      <tp>
        <v>100.16500000000001</v>
        <stp/>
        <stp>0</stp>
        <stp>EUR.PRICING_MAIN.PXE.IT0005177271</stp>
        <stp>MidPrice</stp>
        <tr r="D20" s="7"/>
      </tp>
      <tp>
        <v>101.134</v>
        <stp/>
        <stp>0</stp>
        <stp>EUR.PRICING_MAIN.PXE.IT0005058463</stp>
        <stp>MidPrice</stp>
        <tr r="D11" s="7"/>
      </tp>
      <tp>
        <v>155.458</v>
        <stp/>
        <stp>0</stp>
        <stp>EUR.PRICING_MAIN.PXE.IT0000366655</stp>
        <stp>MidPrice</stp>
        <tr r="D47" s="7"/>
      </tp>
      <tp>
        <v>101.319</v>
        <stp/>
        <stp>0</stp>
        <stp>EUR.PRICING_MAIN.PXE.IT0004164775</stp>
        <stp>MidPrice</stp>
        <tr r="D5" s="7"/>
      </tp>
      <tp>
        <v>104.425</v>
        <stp/>
        <stp>0</stp>
        <stp>EUR.PRICING_MAIN.PXE.IT0003242747</stp>
        <stp>MidPrice</stp>
        <tr r="D9" s="7"/>
      </tp>
      <tp>
        <v>154.69200000000001</v>
        <stp/>
        <stp>0</stp>
        <stp>EUR.PRICING_MAIN.PXE.IT0001086567</stp>
        <stp>MidPrice</stp>
        <tr r="D56" s="7"/>
      </tp>
      <tp>
        <v>-0.43099999999999999</v>
        <stp/>
        <stp>0</stp>
        <stp>EUR.PRICING_MAIN.PXE.FR0012968337</stp>
        <stp>MidYield</stp>
        <tr r="K51" s="23"/>
      </tp>
      <tp>
        <v>114.76300000000001</v>
        <stp/>
        <stp>0</stp>
        <stp>EUR.PRICING_MAIN.PXE.IT0004594930</stp>
        <stp>MidPrice</stp>
        <tr r="D29" s="7"/>
      </tp>
      <tp>
        <v>-0.32300000000000001</v>
        <stp/>
        <stp>0</stp>
        <stp>EUR.PRICING_MAIN.PXE.IT0004820426</stp>
        <stp>MidYield</stp>
        <tr r="E8" s="7"/>
        <tr r="K13" s="23"/>
      </tp>
    </main>
    <main first="marketviewexcelplugin.mkvxp">
      <tp>
        <v>45.1</v>
        <stp/>
        <stp>0</stp>
        <stp>EUR.PRICING_MAIN.PXE.IT0004966401</stp>
        <stp>MidZSpread</stp>
        <tr r="S32" s="7"/>
      </tp>
      <tp>
        <v>51</v>
        <stp/>
        <stp>0</stp>
        <stp>EUR.PRICING_MAIN.PXE.IT0005216491</stp>
        <stp>MidZSpread</stp>
        <tr r="S36" s="7"/>
      </tp>
      <tp>
        <v>79.7</v>
        <stp/>
        <stp>0</stp>
        <stp>EUR.PRICING_MAIN.PXE.IT0000366655</stp>
        <stp>MidZSpread</stp>
        <tr r="S47" s="7"/>
      </tp>
      <tp>
        <v>106.9</v>
        <stp/>
        <stp>0</stp>
        <stp>EUR.PRICING_MAIN.PXE.IT0001086567</stp>
        <stp>MidZSpread</stp>
        <tr r="S56" s="7"/>
      </tp>
      <tp>
        <v>5.7</v>
        <stp/>
        <stp>0</stp>
        <stp>EUR.PRICING_MAIN.PXE.IT0005106049</stp>
        <stp>MidZSpread</stp>
        <tr r="S13" s="7"/>
      </tp>
      <tp>
        <v>121</v>
        <stp/>
        <stp>0</stp>
        <stp>EUR.PRICING_MAIN.PXE.IT0003256820</stp>
        <stp>MidZSpread</stp>
        <tr r="S64" s="7"/>
      </tp>
      <tp>
        <v>73.100000000000009</v>
        <stp/>
        <stp>0</stp>
        <stp>EUR.PRICING_MAIN.PXE.IT0004356843</stp>
        <stp>MidZSpread</stp>
        <tr r="S45" s="7"/>
      </tp>
      <tp>
        <v>29.5</v>
        <stp/>
        <stp>0</stp>
        <stp>EUR.PRICING_MAIN.PXE.IT0004536949</stp>
        <stp>MidZSpread</stp>
        <tr r="S27" s="7"/>
      </tp>
      <tp>
        <v>146</v>
        <stp/>
        <stp>0</stp>
        <stp>EUR.PRICING_MAIN.PXE.IT0004286966</stp>
        <stp>MidZSpread</stp>
        <tr r="S68" s="7"/>
      </tp>
      <tp>
        <v>59.2</v>
        <stp/>
        <stp>0</stp>
        <stp>EUR.PRICING_MAIN.PXE.IT0005086886</stp>
        <stp>MidZSpread</stp>
        <tr r="S39" s="7"/>
      </tp>
    </main>
    <main first="bloomberg.rtd">
      <tp>
        <v>102.69</v>
        <stp/>
        <stp>##V3_BDHV12</stp>
        <stp>ES00000128B8@CBBT Corp</stp>
        <stp>OPEN</stp>
        <stp>09/09/2016 4:15:00 PM</stp>
        <stp>09/09/2016 5:15:00 PM</stp>
        <stp>[Andrea New RollM.xlsm]DB!R57C16</stp>
        <stp>BarSz=60</stp>
        <stp>BarTp=T</stp>
        <stp>RecurDaily=True</stp>
        <stp>TZ=London</stp>
        <stp>DTS=H</stp>
        <tr r="P57" s="23"/>
      </tp>
      <tp t="s">
        <v>01/02/2018</v>
        <stp/>
        <stp>##V3_BDPV12</stp>
        <stp>IT0004273493 Corp</stp>
        <stp>Maturity</stp>
        <stp>[Andrea New RollM.xlsm]CCT!R27C4</stp>
        <tr r="D27" s="27"/>
      </tp>
      <tp t="s">
        <v>01/06/2017</v>
        <stp/>
        <stp>##V3_BDPV12</stp>
        <stp>IT0004820426 Corp</stp>
        <stp>Maturity</stp>
        <stp>[Andrea New RollM.xlsm]CCT!R24C4</stp>
        <tr r="D24" s="27"/>
      </tp>
      <tp t="s">
        <v>15/12/2022</v>
        <stp/>
        <stp>##V3_BDPV12</stp>
        <stp>IT0005137614 Corp</stp>
        <stp>Maturity</stp>
        <stp>[Andrea New RollM.xlsm]CCT!R13C4</stp>
        <tr r="D13" s="27"/>
      </tp>
    </main>
    <main first="marketviewexcelplugin.mkvxp">
      <tp>
        <v>0.627</v>
        <stp/>
        <stp>0</stp>
        <stp>EUR.PRICING_MAIN.PXE.FR0012993103</stp>
        <stp>MidYield</stp>
        <tr r="K101" s="23"/>
      </tp>
      <tp>
        <v>101.82900000000001</v>
        <stp/>
        <stp>0</stp>
        <stp>EUR.PRICING_MAIN.PXE.IT0005142143</stp>
        <stp>MidPrice</stp>
        <tr r="D30" s="7"/>
      </tp>
      <tp>
        <v>127.66800000000001</v>
        <stp/>
        <stp>0</stp>
        <stp>EUR.PRICING_MAIN.PXE.IT0004644735</stp>
        <stp>MidPrice</stp>
        <tr r="D54" s="7"/>
      </tp>
      <tp>
        <v>115.158</v>
        <stp/>
        <stp>0</stp>
        <stp>EUR.PRICING_MAIN.PXE.IT0004634132</stp>
        <stp>MidPrice</stp>
        <tr r="D31" s="7"/>
      </tp>
      <tp>
        <v>104.709</v>
        <stp/>
        <stp>0</stp>
        <stp>EUR.PRICING_MAIN.PXE.IT0005135840</stp>
        <stp>MidPrice</stp>
        <tr r="D41" s="7"/>
      </tp>
      <tp>
        <v>-0.12</v>
        <stp/>
        <stp>0</stp>
        <stp>EUR.PRICING_MAIN.PXE.DE0001102382</stp>
        <stp>MidYield</stp>
        <tr r="K167" s="23"/>
      </tp>
      <tp>
        <v>0.621</v>
        <stp/>
        <stp>0</stp>
        <stp>EUR.PRICING_MAIN.PXE.DE0001135481</stp>
        <stp>MidYield</stp>
        <tr r="K180" s="23"/>
      </tp>
      <tp>
        <v>-0.67700000000000005</v>
        <stp/>
        <stp>0</stp>
        <stp>EUR.PRICING_MAIN.PXE.DE0001141687</stp>
        <stp>MidYield</stp>
        <tr r="K142" s="23"/>
      </tp>
      <tp>
        <v>7.1000000000000008E-2</v>
        <stp/>
        <stp>0</stp>
        <stp>EUR.PRICING_MAIN.PXE.IT0005069395</stp>
        <stp>MidYield</stp>
        <tr r="E25" s="7"/>
        <tr r="K41" s="23"/>
      </tp>
      <tp>
        <v>116.96000000000001</v>
        <stp/>
        <stp>0</stp>
        <stp>EUR.PRICING_MAIN.PXE.IT0005083057</stp>
        <stp>MidPrice</stp>
        <tr r="D71" s="7"/>
      </tp>
      <tp>
        <v>-0.66500000000000004</v>
        <stp/>
        <stp>0</stp>
        <stp>EUR.PRICING_MAIN.PXE.DE0001135382</stp>
        <stp>MidYield</stp>
        <tr r="K144" s="23"/>
      </tp>
      <tp>
        <v>0.04</v>
        <stp/>
        <stp>0</stp>
        <stp>EUR.PRICING_MAIN.PXE.IT0004992308</stp>
        <stp>MidYield</stp>
        <tr r="E21" s="7"/>
        <tr r="K34" s="23"/>
      </tp>
      <tp>
        <v>100.53700000000001</v>
        <stp/>
        <stp>0</stp>
        <stp>EUR.PRICING_MAIN.PXE.IT0005106049</stp>
        <stp>MidPrice</stp>
        <tr r="D13" s="7"/>
      </tp>
      <tp>
        <v>0.04</v>
        <stp/>
        <stp>0</stp>
        <stp>EUR.PRICING_MAIN.PXE.DE0001135085</stp>
        <stp>MidYield</stp>
        <tr r="K172" s="23"/>
      </tp>
      <tp>
        <v>0.34300000000000003</v>
        <stp/>
        <stp>0</stp>
        <stp>EUR.PRICING_MAIN.PXE.IT0004966401</stp>
        <stp>MidYield</stp>
        <tr r="K54" s="23"/>
        <tr r="E32" s="7"/>
      </tp>
      <tp>
        <v>112.081</v>
        <stp/>
        <stp>0</stp>
        <stp>EUR.PRICING_MAIN.PXE.IT0004489610</stp>
        <stp>MidPrice</stp>
        <tr r="D23" s="7"/>
      </tp>
      <tp>
        <v>100.864</v>
        <stp/>
        <stp>0</stp>
        <stp>EUR.PRICING_MAIN.PXE.IT0005023459</stp>
        <stp>MidPrice</stp>
        <tr r="D7" s="7"/>
      </tp>
      <tp>
        <v>-0.73099999999999998</v>
        <stp/>
        <stp>0</stp>
        <stp>EUR.PRICING_MAIN.PXE.DE0001137487</stp>
        <stp>MidYield</stp>
        <tr r="K124" s="23"/>
      </tp>
      <tp>
        <v>1.321</v>
        <stp/>
        <stp>0</stp>
        <stp>EUR.PRICING_MAIN.PXE.IT0005127086</stp>
        <stp>MidYield</stp>
        <tr r="E53" s="7"/>
        <tr r="K86" s="23"/>
      </tp>
      <tp>
        <v>0.48799999999999999</v>
        <stp/>
        <stp>0</stp>
        <stp>EUR.PRICING_MAIN.PXE.IE00BV8C9418</stp>
        <stp>MidYield</stp>
        <tr r="K247" s="23"/>
      </tp>
      <tp>
        <v>-0.41200000000000003</v>
        <stp/>
        <stp>0</stp>
        <stp>EUR.PRICING_MAIN.PXE.IE00B60Z6194</stp>
        <stp>MidYield</stp>
        <tr r="K242" s="23"/>
      </tp>
      <tp>
        <v>128</v>
        <stp/>
        <stp>0</stp>
        <stp>EUR.PRICING_MAIN.PXE.IT0003535157</stp>
        <stp>MidZSpread</stp>
        <tr r="S65" s="7"/>
      </tp>
      <tp>
        <v>45.5</v>
        <stp/>
        <stp>0</stp>
        <stp>EUR.PRICING_MAIN.PXE.IT0005175598</stp>
        <stp>MidZSpread</stp>
        <tr r="S33" s="7"/>
      </tp>
      <tp>
        <v>77.100000000000009</v>
        <stp/>
        <stp>0</stp>
        <stp>EUR.PRICING_MAIN.PXE.IT0005215246</stp>
        <stp>MidZSpread</stp>
        <tr r="S46" s="7"/>
      </tp>
      <tp>
        <v>93.800000000000011</v>
        <stp/>
        <stp>0</stp>
        <stp>EUR.PRICING_MAIN.PXE.IT0005045270</stp>
        <stp>MidZSpread</stp>
        <tr r="S50" s="7"/>
      </tp>
      <tp>
        <v>48.300000000000004</v>
        <stp/>
        <stp>0</stp>
        <stp>EUR.PRICING_MAIN.PXE.IT0004695075</stp>
        <stp>MidZSpread</stp>
        <tr r="S35" s="7"/>
      </tp>
      <tp>
        <v>64</v>
        <stp/>
        <stp>0</stp>
        <stp>EUR.PRICING_MAIN.PXE.IT0005135840</stp>
        <stp>MidZSpread</stp>
        <tr r="S41" s="7"/>
      </tp>
    </main>
    <main first="marketviewexcelplugin.mkvxp">
      <tp>
        <v>-3.7999999999999999E-2</v>
        <stp/>
        <stp>0</stp>
        <stp>EUR.PRICING_MAIN.PXE.IT0005139099</stp>
        <stp>MidYield</stp>
        <tr r="E16" s="7"/>
        <tr r="K25" s="23"/>
      </tp>
      <tp>
        <v>-0.43099999999999999</v>
        <stp/>
        <stp>0</stp>
        <stp>EUR.PRICING_MAIN.PXE.DE0001135499</stp>
        <stp>MidYield</stp>
        <tr r="K158" s="23"/>
      </tp>
      <tp>
        <v>119.994</v>
        <stp/>
        <stp>0</stp>
        <stp>EUR.PRICING_MAIN.PXE.IT0005001547</stp>
        <stp>MidPrice</stp>
        <tr r="D49" s="7"/>
      </tp>
      <tp>
        <v>-0.4</v>
        <stp/>
        <stp>0</stp>
        <stp>EUR.PRICING_MAIN.PXE.FR0010192997</stp>
        <stp>MidYield</stp>
        <tr r="K53" s="23"/>
      </tp>
      <tp>
        <v>0.55700000000000005</v>
        <stp/>
        <stp>0</stp>
        <stp>EUR.PRICING_MAIN.PXE.IT0005086886</stp>
        <stp>MidYield</stp>
        <tr r="E39" s="7"/>
        <tr r="K64" s="23"/>
      </tp>
      <tp>
        <v>-0.438</v>
        <stp/>
        <stp>0</stp>
        <stp>EUR.PRICING_MAIN.PXE.IE0034074488</stp>
        <stp>MidYield</stp>
        <tr r="K241" s="23"/>
      </tp>
      <tp>
        <v>0.35699999999999998</v>
        <stp/>
        <stp>0</stp>
        <stp>EUR.PRICING_MAIN.PXE.IT0005175598</stp>
        <stp>MidYield</stp>
        <tr r="E33" s="7"/>
        <tr r="K56" s="23"/>
      </tp>
      <tp>
        <v>-0.34700000000000003</v>
        <stp/>
        <stp>0</stp>
        <stp>EUR.PRICING_MAIN.PXE.FR0011059088</stp>
        <stp>MidYield</stp>
        <tr r="K60" s="23"/>
      </tp>
      <tp>
        <v>-0.28500000000000003</v>
        <stp/>
        <stp>0</stp>
        <stp>EUR.PRICING_MAIN.PXE.ES0000012783</stp>
        <stp>MidYield</stp>
        <tr r="K185" s="23"/>
      </tp>
      <tp>
        <v>0.98799999999999999</v>
        <stp/>
        <stp>0</stp>
        <stp>EUR.PRICING_MAIN.PXE.IT0004953417</stp>
        <stp>MidYield</stp>
        <tr r="E48" s="7"/>
        <tr r="K77" s="23"/>
      </tp>
      <tp>
        <v>-0.36799999999999999</v>
        <stp/>
        <stp>0</stp>
        <stp>EUR.PRICING_MAIN.PXE.FR0013157096</stp>
        <stp>MidYield</stp>
        <tr r="K55" s="23"/>
      </tp>
      <tp>
        <v>-0.66100000000000003</v>
        <stp/>
        <stp>0</stp>
        <stp>EUR.PRICING_MAIN.PXE.DE0001135390</stp>
        <stp>MidYield</stp>
        <tr r="K146" s="23"/>
      </tp>
      <tp>
        <v>-3.5000000000000003E-2</v>
        <stp/>
        <stp>0</stp>
        <stp>EUR.PRICING_MAIN.PXE.DE0001102390</stp>
        <stp>MidYield</stp>
        <tr r="K168" s="23"/>
      </tp>
      <tp t="e">
        <v>#REF!</v>
        <stp/>
        <stp>0</stp>
        <stp>EUR.PRICING_MAIN.PXE.IT0004019581</stp>
        <stp>MidYield</stp>
        <tr r="K5" s="23"/>
      </tp>
      <tp>
        <v>148.41</v>
        <stp/>
        <stp>0</stp>
        <stp>EUR.PRICING_MAIN.PXE.IT0004286966</stp>
        <stp>MidPrice</stp>
        <tr r="D68" s="7"/>
      </tp>
      <tp>
        <v>-0.67700000000000005</v>
        <stp/>
        <stp>0</stp>
        <stp>EUR.PRICING_MAIN.PXE.DE0001141695</stp>
        <stp>MidYield</stp>
        <tr r="K143" s="23"/>
      </tp>
      <tp>
        <v>1.7969999999999999</v>
        <stp/>
        <stp>0</stp>
        <stp>EUR.PRICING_MAIN.PXE.IT0005094088</stp>
        <stp>MidYield</stp>
        <tr r="E63" s="7"/>
        <tr r="K102" s="23"/>
      </tp>
      <tp>
        <v>-0.748</v>
        <stp/>
        <stp>0</stp>
        <stp>EUR.PRICING_MAIN.PXE.DE0001137495</stp>
        <stp>MidYield</stp>
        <tr r="K126" s="23"/>
      </tp>
      <tp>
        <v>0.17699999999999999</v>
        <stp/>
        <stp>0</stp>
        <stp>EUR.PRICING_MAIN.PXE.FR0012938116</stp>
        <stp>MidYield</stp>
        <tr r="K85" s="23"/>
      </tp>
      <tp>
        <v>-0.47900000000000004</v>
        <stp/>
        <stp>0</stp>
        <stp>EUR.PRICING_MAIN.PXE.IE00B28HXX02</stp>
        <stp>MidYield</stp>
        <tr r="K238" s="23"/>
      </tp>
      <tp>
        <v>116</v>
        <stp/>
        <stp>0</stp>
        <stp>EUR.PRICING_MAIN.PXE.IT0001444378</stp>
        <stp>MidZSpread</stp>
        <tr r="S62" s="7"/>
      </tp>
      <tp>
        <v>-11.5</v>
        <stp/>
        <stp>0</stp>
        <stp>EUR.PRICING_MAIN.PXE.IT0004164775</stp>
        <stp>MidZSpread</stp>
        <tr r="S5" s="7"/>
      </tp>
      <tp>
        <v>105.30000000000001</v>
        <stp/>
        <stp>0</stp>
        <stp>EUR.PRICING_MAIN.PXE.IT0004644735</stp>
        <stp>MidZSpread</stp>
        <tr r="S54" s="7"/>
      </tp>
      <tp>
        <v>111</v>
        <stp/>
        <stp>0</stp>
        <stp>EUR.PRICING_MAIN.PXE.IT0005024234</stp>
        <stp>MidZSpread</stp>
        <tr r="S61" s="7"/>
      </tp>
      <tp>
        <v>111</v>
        <stp/>
        <stp>0</stp>
        <stp>EUR.PRICING_MAIN.PXE.IT0001174611</stp>
        <stp>MidZSpread</stp>
        <tr r="S58" s="7"/>
      </tp>
      <tp>
        <v>29.700000000000003</v>
        <stp/>
        <stp>0</stp>
        <stp>EUR.PRICING_MAIN.PXE.IT0003644769</stp>
        <stp>MidZSpread</stp>
        <tr r="S26" s="7"/>
      </tp>
      <tp>
        <v>38.6</v>
        <stp/>
        <stp>0</stp>
        <stp>EUR.PRICING_MAIN.PXE.IT0004634132</stp>
        <stp>MidZSpread</stp>
        <tr r="S31" s="7"/>
      </tp>
      <tp>
        <v>106</v>
        <stp/>
        <stp>0</stp>
        <stp>EUR.PRICING_MAIN.PXE.IT0005094088</stp>
        <stp>MidZSpread</stp>
        <tr r="S63" s="7"/>
      </tp>
      <tp>
        <v>134</v>
        <stp/>
        <stp>0</stp>
        <stp>EUR.PRICING_MAIN.PXE.IT0003934657</stp>
        <stp>MidZSpread</stp>
        <tr r="S67" s="7"/>
      </tp>
      <tp>
        <v>33</v>
        <stp/>
        <stp>0</stp>
        <stp>EUR.PRICING_MAIN.PXE.IT0004594930</stp>
        <stp>MidZSpread</stp>
        <tr r="S29" s="7"/>
      </tp>
    </main>
    <main first="bloomberg.rtd">
      <tp>
        <v>0.32600000000000001</v>
        <stp/>
        <stp>##V3_BDPV12</stp>
        <stp>FR0013200813@CBBT Corp</stp>
        <stp>YAS_BOND_YLD</stp>
        <stp>[Andrea New RollM.xlsm]DB!R92C17</stp>
        <stp>SETTLE_DT=20161011</stp>
        <stp>YAS_BOND_PX=99.246</stp>
        <tr r="Q92" s="23"/>
      </tp>
    </main>
    <main first="marketviewexcelplugin.mkvxp">
      <tp>
        <v>101.14100000000001</v>
        <stp/>
        <stp>0</stp>
        <stp>EUR.PRICING_MAIN.PXE.IT0005172322</stp>
        <stp>MidPrice</stp>
        <tr r="D43" s="7"/>
      </tp>
      <tp>
        <v>121.4</v>
        <stp/>
        <stp>0</stp>
        <stp>EUR.PRICING_MAIN.PXE.IT0005024234</stp>
        <stp>MidPrice</stp>
        <tr r="D61" s="7"/>
      </tp>
      <tp>
        <v>141.84</v>
        <stp/>
        <stp>0</stp>
        <stp>EUR.PRICING_MAIN.PXE.IT0001278511</stp>
        <stp>MidPrice</stp>
        <tr r="D60" s="7"/>
      </tp>
      <tp>
        <v>153.93</v>
        <stp/>
        <stp>0</stp>
        <stp>EUR.PRICING_MAIN.PXE.IT0001444378</stp>
        <stp>MidPrice</stp>
        <tr r="D62" s="7"/>
      </tp>
      <tp>
        <v>-0.57799999999999996</v>
        <stp/>
        <stp>0</stp>
        <stp>EUR.PRICING_MAIN.PXE.FR0011708080</stp>
        <stp>MidYield</stp>
        <tr r="K35" s="23"/>
      </tp>
      <tp>
        <v>104.76</v>
        <stp/>
        <stp>0</stp>
        <stp>EUR.PRICING_MAIN.PXE.IT0005162828</stp>
        <stp>MidPrice</stp>
        <tr r="D72" s="7"/>
      </tp>
      <tp>
        <v>-0.20600000000000002</v>
        <stp/>
        <stp>0</stp>
        <stp>EUR.PRICING_MAIN.PXE.IT0004867070</stp>
        <stp>MidYield</stp>
        <tr r="E10" s="7"/>
        <tr r="K16" s="23"/>
      </tp>
    </main>
    <main first="bloomberg.rtd">
      <tp t="b">
        <v>0</v>
        <stp/>
        <stp>##V3_BCURVESTRIPV12</stp>
        <stp>[Andrea New RollM.xlsm]SPF!R14C2</stp>
        <stp>EUR.OIS</stp>
        <stp>CurveName</stp>
        <stp/>
        <stp>CurveDate</stp>
        <stp>20161012</stp>
        <stp>Interpolation</stp>
        <stp>Step_Forward</stp>
        <stp>ParallelShift</stp>
        <stp/>
        <tr r="B14" s="4"/>
      </tp>
      <tp t="s">
        <v>#N/A Invalid Override</v>
        <stp/>
        <stp>##V3_BDPV12</stp>
        <stp>IT0005217929@CBBT Corp</stp>
        <stp>YAS_BOND_YLD</stp>
        <stp>[Andrea New RollM.xlsm]DB!R38C17</stp>
        <stp>SETTLE_DT=20161011</stp>
        <stp>YAS_BOND_PX=#N/A N/A</stp>
        <tr r="Q38" s="23"/>
      </tp>
    </main>
    <main first="marketviewexcelplugin.mkvxp">
      <tp>
        <v>96.5</v>
        <stp/>
        <stp>0</stp>
        <stp>EUR.PRICING_MAIN.PXE.IT0004513641</stp>
        <stp>MidZSpread</stp>
        <tr r="S51" s="7"/>
      </tp>
      <tp>
        <v>-14.700000000000001</v>
        <stp/>
        <stp>0</stp>
        <stp>EUR.PRICING_MAIN.PXE.IT0004793474</stp>
        <stp>MidZSpread</stp>
        <tr r="S6" s="7"/>
      </tp>
      <tp>
        <v>-3.3000000000000003</v>
        <stp/>
        <stp>0</stp>
        <stp>EUR.PRICING_MAIN.PXE.IT0004273493</stp>
        <stp>MidZSpread</stp>
        <tr r="S12" s="7"/>
      </tp>
      <tp>
        <v>87.2</v>
        <stp/>
        <stp>0</stp>
        <stp>EUR.PRICING_MAIN.PXE.IT0004953417</stp>
        <stp>MidZSpread</stp>
        <tr r="S48" s="7"/>
      </tp>
      <tp>
        <v>20.200000000000003</v>
        <stp/>
        <stp>0</stp>
        <stp>EUR.PRICING_MAIN.PXE.IT0003493258</stp>
        <stp>MidZSpread</stp>
        <tr r="S18" s="7"/>
      </tp>
      <tp>
        <v>-13.9</v>
        <stp/>
        <stp>0</stp>
        <stp>EUR.PRICING_MAIN.PXE.IT0005023459</stp>
        <stp>MidZSpread</stp>
        <tr r="S7" s="7"/>
      </tp>
      <tp>
        <v>158</v>
        <stp/>
        <stp>0</stp>
        <stp>EUR.PRICING_MAIN.PXE.IT0005083057</stp>
        <stp>MidZSpread</stp>
        <tr r="S71" s="7"/>
      </tp>
      <tp>
        <v>157</v>
        <stp/>
        <stp>0</stp>
        <stp>EUR.PRICING_MAIN.PXE.IT0004923998</stp>
        <stp>MidZSpread</stp>
        <tr r="S70" s="7"/>
      </tp>
      <tp>
        <v>19.5</v>
        <stp/>
        <stp>0</stp>
        <stp>EUR.PRICING_MAIN.PXE.IT0004423957</stp>
        <stp>MidZSpread</stp>
        <tr r="S19" s="7"/>
      </tp>
    </main>
    <main first="bloomberg.rtd">
      <tp t="s">
        <v>#N/A Invalid Override</v>
        <stp/>
        <stp>##V3_BDPV12</stp>
        <stp>IT0005217390@CBBT Corp</stp>
        <stp>YAS_BOND_YLD</stp>
        <stp>[Andrea New RollM.xlsm]DB!R118C19</stp>
        <stp>SETTLE_DT=20160909</stp>
        <stp>YAS_BOND_PX=#N/A N/A</stp>
        <tr r="S118" s="23"/>
      </tp>
    </main>
    <main first="marketviewexcelplugin.mkvxp">
      <tp>
        <v>0.53700000000000003</v>
        <stp/>
        <stp>0</stp>
        <stp>EUR.PRICING_MAIN.PXE.FR0011883966</stp>
        <stp>MidYield</stp>
        <tr r="K99" s="23"/>
      </tp>
      <tp>
        <v>-0.63100000000000001</v>
        <stp/>
        <stp>0</stp>
        <stp>EUR.PRICING_MAIN.PXE.FR0010604983</stp>
        <stp>MidYield</stp>
        <tr r="K20" s="23"/>
      </tp>
      <tp>
        <v>-0.54100000000000004</v>
        <stp/>
        <stp>0</stp>
        <stp>EUR.PRICING_MAIN.PXE.FR0011993179</stp>
        <stp>MidYield</stp>
        <tr r="K40" s="23"/>
      </tp>
      <tp>
        <v>101.876</v>
        <stp/>
        <stp>0</stp>
        <stp>EUR.PRICING_MAIN.PXE.IT0005170839</stp>
        <stp>MidPrice</stp>
        <tr r="D55" s="7"/>
      </tp>
      <tp>
        <v>-0.05</v>
        <stp/>
        <stp>0</stp>
        <stp>EUR.PRICING_MAIN.PXE.IT0004957574</stp>
        <stp>MidYield</stp>
        <tr r="E17" s="7"/>
        <tr r="K28" s="23"/>
      </tp>
      <tp>
        <v>0.998</v>
        <stp/>
        <stp>0</stp>
        <stp>EUR.PRICING_MAIN.PXE.FR0010773192</stp>
        <stp>MidYield</stp>
        <tr r="K113" s="23"/>
      </tp>
    </main>
    <main first="bloomberg.rtd">
      <tp t="s">
        <v>#N/A Invalid Override</v>
        <stp/>
        <stp>##V3_BDPV12</stp>
        <stp>IT0005217929@CBBT Corp</stp>
        <stp>YAS_BOND_YLD</stp>
        <stp>[Andrea New RollM.xlsm]DB!R38C19</stp>
        <stp>SETTLE_DT=20160909</stp>
        <stp>YAS_BOND_PX=#N/A N/A</stp>
        <tr r="S38" s="23"/>
      </tp>
      <tp t="s">
        <v>#N/A Invalid Override</v>
        <stp/>
        <stp>##V3_BDPV12</stp>
        <stp>IT0005217929@CBBT Corp</stp>
        <stp>YAS_BOND_YLD</stp>
        <stp>[Andrea New RollM.xlsm]DB!R38C18</stp>
        <stp>SETTLE_DT=20161004</stp>
        <stp>YAS_BOND_PX=#N/A N/A</stp>
        <tr r="R38" s="23"/>
      </tp>
    </main>
    <main first="marketviewexcelplugin.mkvxp">
      <tp>
        <v>151</v>
        <stp/>
        <stp>0</stp>
        <stp>EUR.PRICING_MAIN.PXE.IT0004532559</stp>
        <stp>MidZSpread</stp>
        <tr r="S69" s="7"/>
      </tp>
      <tp>
        <v>72.400000000000006</v>
        <stp/>
        <stp>0</stp>
        <stp>EUR.PRICING_MAIN.PXE.IT0005172322</stp>
        <stp>MidZSpread</stp>
        <tr r="S43" s="7"/>
      </tp>
      <tp>
        <v>24.200000000000003</v>
        <stp/>
        <stp>0</stp>
        <stp>EUR.PRICING_MAIN.PXE.IT0004992308</stp>
        <stp>MidZSpread</stp>
        <tr r="S21" s="7"/>
      </tp>
      <tp>
        <v>-15.5</v>
        <stp/>
        <stp>0</stp>
        <stp>EUR.PRICING_MAIN.PXE.IT0003242747</stp>
        <stp>MidZSpread</stp>
        <tr r="S9" s="7"/>
      </tp>
      <tp>
        <v>33.200000000000003</v>
        <stp/>
        <stp>0</stp>
        <stp>EUR.PRICING_MAIN.PXE.IT0005142143</stp>
        <stp>MidZSpread</stp>
        <tr r="S30" s="7"/>
      </tp>
      <tp>
        <v>160</v>
        <stp/>
        <stp>0</stp>
        <stp>EUR.PRICING_MAIN.PXE.IT0005162828</stp>
        <stp>MidZSpread</stp>
        <tr r="S72" s="7"/>
      </tp>
    </main>
    <main first="bloomberg.rtd">
      <tp t="s">
        <v>01/05/2023</v>
        <stp/>
        <stp>##V3_BDPV12</stp>
        <stp>IT0004898034 Corp</stp>
        <stp>Maturity</stp>
        <stp>[Andrea New RollM.xlsm]CCT!R38C4</stp>
        <tr r="D38" s="27"/>
      </tp>
      <tp t="s">
        <v>01/03/2021</v>
        <stp/>
        <stp>##V3_BDPV12</stp>
        <stp>IT0004634132 Corp</stp>
        <stp>Maturity</stp>
        <stp>[Andrea New RollM.xlsm]CCT!R34C4</stp>
        <tr r="D34" s="27"/>
      </tp>
      <tp t="s">
        <v>01/05/2017</v>
        <stp/>
        <stp>##V3_BDPV12</stp>
        <stp>IT0004793474 Corp</stp>
        <stp>Maturity</stp>
        <stp>[Andrea New RollM.xlsm]CCT!R23C4</stp>
        <tr r="D23" s="27"/>
      </tp>
    </main>
    <main first="marketviewexcelplugin.mkvxp">
      <tp>
        <v>110.73100000000001</v>
        <stp/>
        <stp>0</stp>
        <stp>EUR.PRICING_MAIN.PXE.IT0004423957</stp>
        <stp>MidPrice</stp>
        <tr r="D19" s="7"/>
      </tp>
      <tp>
        <v>109.76900000000001</v>
        <stp/>
        <stp>0</stp>
        <stp>EUR.PRICING_MAIN.PXE.IT0003493258</stp>
        <stp>MidPrice</stp>
        <tr r="D18" s="7"/>
      </tp>
      <tp>
        <v>102.312</v>
        <stp/>
        <stp>0</stp>
        <stp>EUR.PRICING_MAIN.PXE.IT0005090318</stp>
        <stp>MidPrice</stp>
        <tr r="D52" s="7"/>
      </tp>
      <tp>
        <v>130.50399999999999</v>
        <stp/>
        <stp>0</stp>
        <stp>EUR.PRICING_MAIN.PXE.IT0004513641</stp>
        <stp>MidPrice</stp>
        <tr r="D51" s="7"/>
      </tp>
      <tp>
        <v>121.042</v>
        <stp/>
        <stp>0</stp>
        <stp>EUR.PRICING_MAIN.PXE.IT0004695075</stp>
        <stp>MidPrice</stp>
        <tr r="D35" s="7"/>
      </tp>
      <tp>
        <v>-0.06</v>
        <stp/>
        <stp>0</stp>
        <stp>EUR.PRICING_MAIN.PXE.IT0004907843</stp>
        <stp>MidYield</stp>
        <tr r="E14" s="7"/>
        <tr r="K23" s="23"/>
      </tp>
      <tp>
        <v>102.51</v>
        <stp/>
        <stp>0</stp>
        <stp>EUR.PRICING_MAIN.PXE.IT0005177909</stp>
        <stp>MidPrice</stp>
        <tr r="D66" s="7"/>
      </tp>
      <tp>
        <v>1.3280000000000001</v>
        <stp/>
        <stp>0</stp>
        <stp>EUR.PRICING_MAIN.PXE.FR0010870956</stp>
        <stp>MidYield</stp>
        <tr r="K120" s="23"/>
      </tp>
      <tp>
        <v>102.054</v>
        <stp/>
        <stp>0</stp>
        <stp>EUR.PRICING_MAIN.PXE.IT0005107708</stp>
        <stp>MidPrice</stp>
        <tr r="D28" s="7"/>
      </tp>
      <tp>
        <v>113.944</v>
        <stp/>
        <stp>0</stp>
        <stp>EUR.PRICING_MAIN.PXE.IT0004536949</stp>
        <stp>MidPrice</stp>
        <tr r="D27" s="7"/>
      </tp>
    </main>
    <main first="marketviewexcelplugin.mkvxp">
      <tp>
        <v>93</v>
        <stp/>
        <stp>0</stp>
        <stp>EUR.PRICING_MAIN.PXE.IT0005001547</stp>
        <stp>MidZSpread</stp>
        <tr r="S49" s="7"/>
      </tp>
      <tp>
        <v>63.2</v>
        <stp/>
        <stp>0</stp>
        <stp>EUR.PRICING_MAIN.PXE.IT0004801541</stp>
        <stp>MidZSpread</stp>
        <tr r="S40" s="7"/>
      </tp>
      <tp>
        <v>11.8</v>
        <stp/>
        <stp>0</stp>
        <stp>EUR.PRICING_MAIN.PXE.IT0004361041</stp>
        <stp>MidZSpread</stp>
        <tr r="S15" s="7"/>
      </tp>
    </main>
    <main first="bloomberg.rtd">
      <tp t="s">
        <v>01/11/2017</v>
        <stp/>
        <stp>##V3_BDPV12</stp>
        <stp>IT0004867070 Corp</stp>
        <stp>Maturity</stp>
        <stp>[Andrea New RollM.xlsm]CCT!R26C4</stp>
        <tr r="D26" s="27"/>
      </tp>
      <tp t="s">
        <v>15/07/2023</v>
        <stp/>
        <stp>##V3_BDPV12</stp>
        <stp>IT0005185456 Corp</stp>
        <stp>Maturity</stp>
        <stp>[Andrea New RollM.xlsm]CCT!R14C4</stp>
        <tr r="D14" s="27"/>
      </tp>
    </main>
    <main first="marketviewexcelplugin.mkvxp">
      <tp>
        <v>153.97999999999999</v>
        <stp/>
        <stp>0</stp>
        <stp>EUR.PRICING_MAIN.PXE.IT0003256820</stp>
        <stp>MidPrice</stp>
        <tr r="D64" s="7"/>
      </tp>
      <tp>
        <v>144.62</v>
        <stp/>
        <stp>0</stp>
        <stp>EUR.PRICING_MAIN.PXE.IT0003535157</stp>
        <stp>MidPrice</stp>
        <tr r="D65" s="7"/>
      </tp>
      <tp>
        <v>104.056</v>
        <stp/>
        <stp>0</stp>
        <stp>EUR.PRICING_MAIN.PXE.IT0005030504</stp>
        <stp>MidPrice</stp>
        <tr r="D22" s="7"/>
      </tp>
      <tp>
        <v>150.51</v>
        <stp/>
        <stp>0</stp>
        <stp>EUR.PRICING_MAIN.PXE.IT0001174611</stp>
        <stp>MidPrice</stp>
        <tr r="D58" s="7"/>
      </tp>
      <tp>
        <v>123.62400000000001</v>
        <stp/>
        <stp>0</stp>
        <stp>EUR.PRICING_MAIN.PXE.IT0004759673</stp>
        <stp>MidPrice</stp>
        <tr r="D38" s="7"/>
      </tp>
      <tp>
        <v>108.57300000000001</v>
        <stp/>
        <stp>0</stp>
        <stp>EUR.PRICING_MAIN.PXE.IT0005028003</stp>
        <stp>MidPrice</stp>
        <tr r="D37" s="7"/>
      </tp>
      <tp>
        <v>114.43900000000001</v>
        <stp/>
        <stp>0</stp>
        <stp>EUR.PRICING_MAIN.PXE.IT0003644769</stp>
        <stp>MidPrice</stp>
        <tr r="D26" s="7"/>
      </tp>
      <tp>
        <v>102.79900000000001</v>
        <stp/>
        <stp>0</stp>
        <stp>EUR.PRICING_MAIN.PXE.IT0004793474</stp>
        <stp>MidPrice</stp>
        <tr r="D6" s="7"/>
      </tp>
      <tp>
        <v>0.61699999999999999</v>
        <stp/>
        <stp>0</stp>
        <stp>EUR.PRICING_MAIN.PXE.IT0004801541</stp>
        <stp>MidYield</stp>
        <tr r="E40" s="7"/>
        <tr r="K66" s="23"/>
      </tp>
      <tp>
        <v>100.328</v>
        <stp/>
        <stp>0</stp>
        <stp>EUR.PRICING_MAIN.PXE.IT0004987191</stp>
        <stp>MidPrice</stp>
        <tr r="D4" s="7"/>
      </tp>
      <tp>
        <v>99.935000000000002</v>
        <stp/>
        <stp>0</stp>
        <stp>EUR.PRICING_MAIN.PXE.IT0005217929</stp>
        <stp>MidPrice</stp>
        <tr r="D24" s="7"/>
      </tp>
      <tp>
        <v>2.1470000000000002</v>
        <stp/>
        <stp>0</stp>
        <stp>EUR.PRICING_MAIN.PXE.IT0003934657</stp>
        <stp>MidYield</stp>
        <tr r="K109" s="23"/>
        <tr r="E67" s="7"/>
      </tp>
      <tp>
        <v>147.21</v>
        <stp/>
        <stp>0</stp>
        <stp>EUR.PRICING_MAIN.PXE.IT0004923998</stp>
        <stp>MidPrice</stp>
        <tr r="D70" s="7"/>
      </tp>
      <tp>
        <v>148.86000000000001</v>
        <stp/>
        <stp>0</stp>
        <stp>EUR.PRICING_MAIN.PXE.IT0004532559</stp>
        <stp>MidPrice</stp>
        <tr r="D69" s="7"/>
      </tp>
      <tp>
        <v>-0.45200000000000001</v>
        <stp/>
        <stp>0</stp>
        <stp>EUR.PRICING_MAIN.PXE.FR0010949651</stp>
        <stp>MidYield</stp>
        <tr r="K48" s="23"/>
      </tp>
      <tp>
        <v>104.7</v>
        <stp/>
        <stp>0</stp>
        <stp>EUR.PRICING_MAIN.PXE.IT0005210650</stp>
        <stp>MidZSpread</stp>
        <tr r="S57" s="7"/>
      </tp>
      <tp>
        <v>25.200000000000003</v>
        <stp/>
        <stp>0</stp>
        <stp>EUR.PRICING_MAIN.PXE.IT0005030504</stp>
        <stp>MidZSpread</stp>
        <tr r="S22" s="7"/>
      </tp>
      <tp>
        <v>-15.4</v>
        <stp/>
        <stp>0</stp>
        <stp>EUR.PRICING_MAIN.PXE.IT0004820426</stp>
        <stp>MidZSpread</stp>
        <tr r="S8" s="7"/>
      </tp>
      <tp>
        <v>96</v>
        <stp/>
        <stp>0</stp>
        <stp>EUR.PRICING_MAIN.PXE.IT0005090318</stp>
        <stp>MidZSpread</stp>
        <tr r="S52" s="7"/>
      </tp>
      <tp>
        <v>4.6000000000000005</v>
        <stp/>
        <stp>0</stp>
        <stp>EUR.PRICING_MAIN.PXE.IT0004960826</stp>
        <stp>MidZSpread</stp>
        <tr r="S3" s="7"/>
      </tp>
      <tp>
        <v>104</v>
        <stp/>
        <stp>0</stp>
        <stp>EUR.PRICING_MAIN.PXE.IT0005170839</stp>
        <stp>MidZSpread</stp>
        <tr r="S55" s="7"/>
      </tp>
      <tp>
        <v>4</v>
        <stp/>
        <stp>0</stp>
        <stp>EUR.CM_INSTRUMENT.PXE.IT0004594930</stp>
        <stp>CouponInterest</stp>
        <tr r="B29" s="7"/>
      </tp>
      <tp>
        <v>4</v>
        <stp/>
        <stp>0</stp>
        <stp>EUR.CM_INSTRUMENT.PXE.IT0004164775</stp>
        <stp>CouponInterest</stp>
        <tr r="B5" s="7"/>
      </tp>
      <tp>
        <v>4.5</v>
        <stp/>
        <stp>0</stp>
        <stp>EUR.CM_INSTRUMENT.PXE.IT0004644735</stp>
        <stp>CouponInterest</stp>
        <tr r="B54" s="7"/>
      </tp>
      <tp>
        <v>6</v>
        <stp/>
        <stp>0</stp>
        <stp>EUR.CM_INSTRUMENT.PXE.IT0001444378</stp>
        <stp>CouponInterest</stp>
        <tr r="B62" s="7"/>
      </tp>
      <tp>
        <v>4</v>
        <stp/>
        <stp>0</stp>
        <stp>EUR.CM_INSTRUMENT.PXE.IT0003934657</stp>
        <stp>CouponInterest</stp>
        <tr r="B67" s="7"/>
      </tp>
      <tp>
        <v>1.65</v>
        <stp/>
        <stp>0</stp>
        <stp>EUR.CM_INSTRUMENT.PXE.IT0005094088</stp>
        <stp>CouponInterest</stp>
        <tr r="B63" s="7"/>
      </tp>
      <tp>
        <v>3.75</v>
        <stp/>
        <stp>0</stp>
        <stp>EUR.CM_INSTRUMENT.PXE.IT0004634132</stp>
        <stp>CouponInterest</stp>
        <tr r="B31" s="7"/>
      </tp>
      <tp>
        <v>4.5</v>
        <stp/>
        <stp>0</stp>
        <stp>EUR.CM_INSTRUMENT.PXE.IT0003644769</stp>
        <stp>CouponInterest</stp>
        <tr r="B26" s="7"/>
      </tp>
      <tp>
        <v>3.5</v>
        <stp/>
        <stp>0</stp>
        <stp>EUR.CM_INSTRUMENT.PXE.IT0005024234</stp>
        <stp>CouponInterest</stp>
        <tr r="B61" s="7"/>
      </tp>
      <tp>
        <v>6.5</v>
        <stp/>
        <stp>0</stp>
        <stp>EUR.CM_INSTRUMENT.PXE.IT0001174611</stp>
        <stp>CouponInterest</stp>
        <tr r="B58" s="7"/>
      </tp>
    </main>
    <main first="bloomberg.rtd">
      <tp>
        <v>-0.35</v>
        <stp/>
        <stp>##V3_BDPV12</stp>
        <stp>EUSWEA CMPN Curncy</stp>
        <stp>bid</stp>
        <stp>[Andrea New RollM.xlsm]Crv!R11C4</stp>
        <tr r="D11" s="1"/>
      </tp>
      <tp>
        <v>-0.39100000000000001</v>
        <stp/>
        <stp>##V3_BDPV12</stp>
        <stp>EUSWEK CMPN Curncy</stp>
        <stp>bid</stp>
        <stp>[Andrea New RollM.xlsm]Crv!R21C4</stp>
        <tr r="D21" s="1"/>
      </tp>
      <tp t="s">
        <v>01/09/2016</v>
        <stp/>
        <stp>##V3_BDPV12</stp>
        <stp>IT0004584204 Corp</stp>
        <stp>PREV_CPN_DT</stp>
        <stp>[Andrea New RollM.xlsm]CCT!R5C24</stp>
        <tr r="X5" s="27"/>
      </tp>
    </main>
    <main first="marketviewexcelplugin.mkvxp">
      <tp>
        <v>119.33499999999999</v>
        <stp/>
        <stp>0</stp>
        <stp>EUR.PRICING_MAIN.PXE.IE00B6089D15</stp>
        <stp>CurrentClosingPriceMid</stp>
        <tr r="L240" s="23"/>
      </tp>
    </main>
    <main first="bloomberg.rtd">
      <tp>
        <v>-0.54300000000000004</v>
        <stp/>
        <stp>##V3_BDPV12</stp>
        <stp>DE0001141737@CBBT Corp</stp>
        <stp>YAS_BOND_YLD</stp>
        <stp>[Andrea New RollM.xlsm]DB!R152C17</stp>
        <stp>SETTLE_DT=20161011</stp>
        <stp>YAS_BOND_PX=102.476</stp>
        <tr r="Q152" s="23"/>
      </tp>
      <tp>
        <v>8.9999999999999993E-3</v>
        <stp/>
        <stp>##V3_BDPV12</stp>
        <stp>DE0001135069@CBBT Corp</stp>
        <stp>YAS_BOND_YLD</stp>
        <stp>[Andrea New RollM.xlsm]DB!R171C17</stp>
        <stp>SETTLE_DT=20161011</stp>
        <stp>YAS_BOND_PX=163.052</stp>
        <tr r="Q171" s="23"/>
      </tp>
      <tp>
        <v>-0.60099999999999998</v>
        <stp/>
        <stp>##V3_BDPV12</stp>
        <stp>DE0001135416@CBBT Corp</stp>
        <stp>YAS_BOND_YLD</stp>
        <stp>[Andrea New RollM.xlsm]DB!R149C19</stp>
        <stp>SETTLE_DT=20160909</stp>
        <stp>YAS_BOND_PX=111.539</stp>
        <tr r="S149" s="23"/>
      </tp>
      <tp>
        <v>-3.5999999999999997E-2</v>
        <stp/>
        <stp>##V3_BDPV12</stp>
        <stp>EUSWE8 CMPN Curncy</stp>
        <stp>bid</stp>
        <stp>[Andrea New RollM.xlsm]Crv!R31C4</stp>
        <tr r="D31" s="1"/>
      </tp>
    </main>
    <main first="marketviewexcelplugin.mkvxp">
      <tp>
        <v>104.765</v>
        <stp/>
        <stp>0</stp>
        <stp>EUR.PRICING_MAIN.PXE.IE00BV8C9418</stp>
        <stp>CurrentClosingPriceMid</stp>
        <tr r="L247" s="23"/>
      </tp>
    </main>
    <main first="bloomberg.rtd">
      <tp>
        <v>-0.69799999999999995</v>
        <stp/>
        <stp>##V3_BDPV12</stp>
        <stp>DE0001137487@CBBT Corp</stp>
        <stp>YAS_BOND_YLD</stp>
        <stp>[Andrea New RollM.xlsm]DB!R124C17</stp>
        <stp>SETTLE_DT=20161011</stp>
        <stp>YAS_BOND_PX=100.126</stp>
        <tr r="Q124" s="23"/>
      </tp>
      <tp>
        <v>0.626</v>
        <stp/>
        <stp>##V3_BDPV12</stp>
        <stp>DE0001135481@CBBT Corp</stp>
        <stp>YAS_BOND_YLD</stp>
        <stp>[Andrea New RollM.xlsm]DB!R180C17</stp>
        <stp>SETTLE_DT=20161011</stp>
        <stp>YAS_BOND_PX=147.561</stp>
        <tr r="Q180" s="23"/>
      </tp>
    </main>
    <main first="marketviewexcelplugin.mkvxp">
      <tp>
        <v>115.46</v>
        <stp/>
        <stp>0</stp>
        <stp>EUR.PRICING_MAIN.PXE.IE00BV8C9186</stp>
        <stp>CurrentClosingPriceMid</stp>
        <tr r="L249" s="23"/>
      </tp>
    </main>
    <main first="bloomberg.rtd">
      <tp>
        <v>-0.68500000000000005</v>
        <stp/>
        <stp>##V3_BDPV12</stp>
        <stp>DE0001104610@CBBT Corp</stp>
        <stp>YAS_BOND_YLD</stp>
        <stp>[Andrea New RollM.xlsm]DB!R130C17</stp>
        <stp>SETTLE_DT=20161011</stp>
        <stp>YAS_BOND_PX=100.64</stp>
        <tr r="Q130" s="23"/>
      </tp>
      <tp>
        <v>100.80500000000001</v>
        <stp/>
        <stp>##V3_BDPV12</stp>
        <stp>IT0004652175 Corp</stp>
        <stp>ASK</stp>
        <stp>[Andrea New RollM.xlsm]CCT!R7C9</stp>
        <tr r="I7" s="27"/>
      </tp>
    </main>
    <main first="bloomberg.rtd">
      <tp>
        <v>98.8</v>
        <stp/>
        <stp>##V3_BDHV12</stp>
        <stp>PTOTESOE0013@CBBT Corp</stp>
        <stp>OPEN</stp>
        <stp>09/09/2016 4:15:00 PM</stp>
        <stp>09/09/2016 5:15:00 PM</stp>
        <stp>[Andrea New RollM.xlsm]DB!R228C16</stp>
        <stp>BarSz=60</stp>
        <stp>BarTp=T</stp>
        <stp>RecurDaily=True</stp>
        <stp>TZ=London</stp>
        <stp>DTS=H</stp>
        <tr r="P228" s="23"/>
      </tp>
    </main>
    <main first="marketviewexcelplugin.mkvxp">
      <tp>
        <v>1.45</v>
        <stp/>
        <stp>0</stp>
        <stp>EUR.CM_INSTRUMENT.PXE.IT0005135840</stp>
        <stp>CouponInterest</stp>
        <tr r="B41" s="7"/>
      </tp>
      <tp>
        <v>0.45</v>
        <stp/>
        <stp>0</stp>
        <stp>EUR.CM_INSTRUMENT.PXE.IT0005175598</stp>
        <stp>CouponInterest</stp>
        <tr r="B33" s="7"/>
      </tp>
      <tp>
        <v>5</v>
        <stp/>
        <stp>0</stp>
        <stp>EUR.CM_INSTRUMENT.PXE.IT0003535157</stp>
        <stp>CouponInterest</stp>
        <tr r="B65" s="7"/>
      </tp>
      <tp>
        <v>4.75</v>
        <stp/>
        <stp>0</stp>
        <stp>EUR.CM_INSTRUMENT.PXE.IT0004695075</stp>
        <stp>CouponInterest</stp>
        <tr r="B35" s="7"/>
      </tp>
      <tp>
        <v>2.5</v>
        <stp/>
        <stp>0</stp>
        <stp>EUR.CM_INSTRUMENT.PXE.IT0005045270</stp>
        <stp>CouponInterest</stp>
        <tr r="B50" s="7"/>
      </tp>
      <tp>
        <v>0.65</v>
        <stp/>
        <stp>0</stp>
        <stp>EUR.CM_INSTRUMENT.PXE.IT0005215246</stp>
        <stp>CouponInterest</stp>
        <tr r="B46" s="7"/>
      </tp>
    </main>
    <main first="bloomberg.rtd">
      <tp>
        <v>-0.38900000000000001</v>
        <stp/>
        <stp>##V3_BDPV12</stp>
        <stp>EUSWEJ CMPN Curncy</stp>
        <stp>bid</stp>
        <stp>[Andrea New RollM.xlsm]Crv!R20C4</stp>
        <tr r="D20" s="1"/>
      </tp>
      <tp>
        <v>-0.66900000000000004</v>
        <stp/>
        <stp>##V3_BDPV12</stp>
        <stp>DE0001104644@CBBT Corp</stp>
        <stp>YAS_BOND_YLD</stp>
        <stp>[Andrea New RollM.xlsm]DB!R137C17</stp>
        <stp>SETTLE_DT=20161011</stp>
        <stp>YAS_BOND_PX=101.131</stp>
        <tr r="Q137" s="23"/>
      </tp>
      <tp>
        <v>-0.28399999999999997</v>
        <stp/>
        <stp>##V3_BDPV12</stp>
        <stp>DE0001102358@CBBT Corp</stp>
        <stp>YAS_BOND_YLD</stp>
        <stp>[Andrea New RollM.xlsm]DB!R164C17</stp>
        <stp>SETTLE_DT=20161011</stp>
        <stp>YAS_BOND_PX=113.713</stp>
        <tr r="Q164" s="23"/>
      </tp>
      <tp>
        <v>-0.14099999999999999</v>
        <stp/>
        <stp>##V3_BDPV12</stp>
        <stp>EUSWE7 CMPN Curncy</stp>
        <stp>bid</stp>
        <stp>[Andrea New RollM.xlsm]Crv!R30C4</stp>
        <tr r="D30" s="1"/>
      </tp>
      <tp>
        <v>-0.72499999999999998</v>
        <stp/>
        <stp>##V3_BDPV12</stp>
        <stp>DE0001137495@CBBT Corp</stp>
        <stp>YAS_BOND_YLD</stp>
        <stp>[Andrea New RollM.xlsm]DB!R126C17</stp>
        <stp>SETTLE_DT=20161011</stp>
        <stp>YAS_BOND_PX=100.299</stp>
        <tr r="Q126" s="23"/>
      </tp>
      <tp>
        <v>-1.9E-2</v>
        <stp/>
        <stp>##V3_BDPV12</stp>
        <stp>DE0001135044@CBBT Corp</stp>
        <stp>YAS_BOND_YLD</stp>
        <stp>[Andrea New RollM.xlsm]DB!R170C17</stp>
        <stp>SETTLE_DT=20161011</stp>
        <stp>YAS_BOND_PX=170.026</stp>
        <tr r="Q170" s="23"/>
      </tp>
      <tp>
        <v>-0.51300000000000001</v>
        <stp/>
        <stp>##V3_BDPV12</stp>
        <stp>DE0001135457@CBBT Corp</stp>
        <stp>YAS_BOND_YLD</stp>
        <stp>[Andrea New RollM.xlsm]DB!R154C19</stp>
        <stp>SETTLE_DT=20160909</stp>
        <stp>YAS_BOND_PX=113.991</stp>
        <tr r="S154" s="23"/>
      </tp>
      <tp>
        <v>-5.1999999999999998E-2</v>
        <stp/>
        <stp>##V3_BDPV12</stp>
        <stp>DE0001102390@CBBT Corp</stp>
        <stp>YAS_BOND_YLD</stp>
        <stp>[Andrea New RollM.xlsm]DB!R168C19</stp>
        <stp>SETTLE_DT=20160909</stp>
        <stp>YAS_BOND_PX=105.223</stp>
        <tr r="S168" s="23"/>
      </tp>
      <tp>
        <v>-0.34799999999999998</v>
        <stp/>
        <stp>##V3_BDPV12</stp>
        <stp>EUSWE1Z CMPN Curncy</stp>
        <stp>bid</stp>
        <stp>[Andrea New RollM.xlsm]Crv!R9C4</stp>
        <tr r="D9" s="1"/>
      </tp>
      <tp>
        <v>97.707999999999998</v>
        <stp/>
        <stp>##V3_BDHV12</stp>
        <stp>PTOTETOE0012@CBBT Corp</stp>
        <stp>OPEN</stp>
        <stp>09/09/2016 4:15:00 PM</stp>
        <stp>09/09/2016 5:15:00 PM</stp>
        <stp>[Andrea New RollM.xlsm]DB!R232C16</stp>
        <stp>BarSz=60</stp>
        <stp>BarTp=T</stp>
        <stp>RecurDaily=True</stp>
        <stp>TZ=London</stp>
        <stp>DTS=H</stp>
        <tr r="P232" s="23"/>
      </tp>
    </main>
    <main first="marketviewexcelplugin.mkvxp">
      <tp>
        <v>5.75</v>
        <stp/>
        <stp>0</stp>
        <stp>EUR.CM_INSTRUMENT.PXE.IT0003256820</stp>
        <stp>CouponInterest</stp>
        <tr r="B64" s="7"/>
      </tp>
      <tp>
        <v>1.35</v>
        <stp/>
        <stp>0</stp>
        <stp>EUR.CM_INSTRUMENT.PXE.IT0005086886</stp>
        <stp>CouponInterest</stp>
        <tr r="B39" s="7"/>
      </tp>
      <tp>
        <v>5</v>
        <stp/>
        <stp>0</stp>
        <stp>EUR.CM_INSTRUMENT.PXE.IT0004286966</stp>
        <stp>CouponInterest</stp>
        <tr r="B68" s="7"/>
      </tp>
      <tp>
        <v>4.25</v>
        <stp/>
        <stp>0</stp>
        <stp>EUR.CM_INSTRUMENT.PXE.IT0004536949</stp>
        <stp>CouponInterest</stp>
        <tr r="B27" s="7"/>
      </tp>
      <tp>
        <v>4.75</v>
        <stp/>
        <stp>0</stp>
        <stp>EUR.CM_INSTRUMENT.PXE.IT0004356843</stp>
        <stp>CouponInterest</stp>
        <tr r="B45" s="7"/>
      </tp>
      <tp>
        <v>0.35</v>
        <stp/>
        <stp>0</stp>
        <stp>EUR.CM_INSTRUMENT.PXE.IT0005216491</stp>
        <stp>CouponInterest</stp>
        <tr r="B36" s="7"/>
      </tp>
      <tp>
        <v>3.75</v>
        <stp/>
        <stp>0</stp>
        <stp>EUR.CM_INSTRUMENT.PXE.IT0004966401</stp>
        <stp>CouponInterest</stp>
        <tr r="B32" s="7"/>
      </tp>
      <tp>
        <v>0.25</v>
        <stp/>
        <stp>0</stp>
        <stp>EUR.CM_INSTRUMENT.PXE.IT0005106049</stp>
        <stp>CouponInterest</stp>
        <tr r="B13" s="7"/>
      </tp>
      <tp>
        <v>7.25</v>
        <stp/>
        <stp>0</stp>
        <stp>EUR.CM_INSTRUMENT.PXE.IT0001086567</stp>
        <stp>CouponInterest</stp>
        <tr r="B56" s="7"/>
      </tp>
    </main>
    <main first="marketviewexcelplugin.mkvxp">
      <tp>
        <v>9</v>
        <stp/>
        <stp>0</stp>
        <stp>EUR.CM_INSTRUMENT.PXE.IT0000366655</stp>
        <stp>CouponInterest</stp>
        <tr r="B47" s="7"/>
      </tp>
    </main>
    <main first="bloomberg.rtd">
      <tp>
        <v>-0.35199999999999998</v>
        <stp/>
        <stp>##V3_BDPV12</stp>
        <stp>EUSWEC CMPN Curncy</stp>
        <stp>bid</stp>
        <stp>[Andrea New RollM.xlsm]Crv!R13C4</stp>
        <tr r="D13" s="1"/>
      </tp>
      <tp>
        <v>0.312</v>
        <stp/>
        <stp>##V3_BDPV12</stp>
        <stp>DE0001135226@CBBT Corp</stp>
        <stp>YAS_BOND_YLD</stp>
        <stp>[Andrea New RollM.xlsm]DB!R175C17</stp>
        <stp>SETTLE_DT=20161011</stp>
        <stp>YAS_BOND_PX=176.434</stp>
        <tr r="Q175" s="23"/>
      </tp>
      <tp>
        <v>-0.36</v>
        <stp/>
        <stp>##V3_BDPV12</stp>
        <stp>DE0001134922@CBBT Corp</stp>
        <stp>YAS_BOND_YLD</stp>
        <stp>[Andrea New RollM.xlsm]DB!R162C19</stp>
        <stp>SETTLE_DT=20160909</stp>
        <stp>YAS_BOND_PX=149.116</stp>
        <tr r="S162" s="23"/>
      </tp>
      <tp>
        <v>-0.313</v>
        <stp/>
        <stp>##V3_BDPV12</stp>
        <stp>DE0001102333@CBBT Corp</stp>
        <stp>YAS_BOND_YLD</stp>
        <stp>[Andrea New RollM.xlsm]DB!R163C17</stp>
        <stp>SETTLE_DT=20161011</stp>
        <stp>YAS_BOND_PX=115.361</stp>
        <tr r="Q163" s="23"/>
      </tp>
      <tp>
        <v>-0.60099999999999998</v>
        <stp/>
        <stp>##V3_BDPV12</stp>
        <stp>DE0001141729@CBBT Corp</stp>
        <stp>YAS_BOND_YLD</stp>
        <stp>[Andrea New RollM.xlsm]DB!R150C17</stp>
        <stp>SETTLE_DT=20161011</stp>
        <stp>YAS_BOND_PX=103.468</stp>
        <tr r="Q150" s="23"/>
      </tp>
      <tp>
        <v>-0.47199999999999998</v>
        <stp/>
        <stp>##V3_BDPV12</stp>
        <stp>DE0001135465@CBBT Corp</stp>
        <stp>YAS_BOND_YLD</stp>
        <stp>[Andrea New RollM.xlsm]DB!R156C17</stp>
        <stp>SETTLE_DT=20161011</stp>
        <stp>YAS_BOND_PX=113.126</stp>
        <tr r="Q156" s="23"/>
      </tp>
      <tp>
        <v>-0.65900000000000003</v>
        <stp/>
        <stp>##V3_BDPV12</stp>
        <stp>DE0001135382@CBBT Corp</stp>
        <stp>YAS_BOND_YLD</stp>
        <stp>[Andrea New RollM.xlsm]DB!R144C17</stp>
        <stp>SETTLE_DT=20161011</stp>
        <stp>YAS_BOND_PX=111.493</stp>
        <tr r="Q144" s="23"/>
      </tp>
      <tp>
        <v>0.53200000000000003</v>
        <stp/>
        <stp>##V3_BDPV12</stp>
        <stp>DE0001135366@CBBT Corp</stp>
        <stp>YAS_BOND_YLD</stp>
        <stp>[Andrea New RollM.xlsm]DB!R178C17</stp>
        <stp>SETTLE_DT=20161011</stp>
        <stp>YAS_BOND_PX=193.802</stp>
        <tr r="Q178" s="23"/>
      </tp>
      <tp>
        <v>-0.627</v>
        <stp/>
        <stp>##V3_BDPV12</stp>
        <stp>DE0001104602@CBBT Corp</stp>
        <stp>YAS_BOND_YLD</stp>
        <stp>[Andrea New RollM.xlsm]DB!R128C19</stp>
        <stp>SETTLE_DT=20160909</stp>
        <stp>YAS_BOND_PX=100.483</stp>
        <tr r="S128" s="23"/>
      </tp>
      <tp>
        <v>-0.63100000000000001</v>
        <stp/>
        <stp>##V3_BDPV12</stp>
        <stp>DE0001141711@CBBT Corp</stp>
        <stp>YAS_BOND_YLD</stp>
        <stp>[Andrea New RollM.xlsm]DB!R147C17</stp>
        <stp>SETTLE_DT=20161011</stp>
        <stp>YAS_BOND_PX=102.25</stp>
        <tr r="Q147" s="23"/>
      </tp>
      <tp t="b">
        <v>0</v>
        <stp/>
        <stp>##V3_BCURVEINTV12</stp>
        <stp>[Andrea New RollM.xlsm]SPF!R7C8</stp>
        <stp>EUR.OIS:BLOOMBERG DC 272086</stp>
        <stp>Zc.Mid</stp>
        <stp>20180416</stp>
        <stp>Frequency=Annual</stp>
        <stp>DayCount=D30_360_EOMC</stp>
        <tr r="H7" s="4"/>
      </tp>
      <tp t="b">
        <v>0</v>
        <stp/>
        <stp>##V3_BCURVEINTV12</stp>
        <stp>[Andrea New RollM.xlsm]SPF!R5C8</stp>
        <stp>EUR.OIS:BLOOMBERG DC 272086</stp>
        <stp>Zc.Mid</stp>
        <stp>20170418</stp>
        <stp>Frequency=Annual</stp>
        <stp>DayCount=D30_360_EOMC</stp>
        <tr r="H5" s="4"/>
      </tp>
      <tp>
        <v>0.66200000000000003</v>
        <stp/>
        <stp>##V3_BDPV12</stp>
        <stp>IT0004652175 Corp</stp>
        <stp>CPN</stp>
        <stp>[Andrea New RollM.xlsm]CCT!R7C6</stp>
        <tr r="F7" s="27"/>
      </tp>
      <tp t="b">
        <v>0</v>
        <stp/>
        <stp>##V3_BCURVEINTV12</stp>
        <stp>[Andrea New RollM.xlsm]SPF!R9C8</stp>
        <stp>EUR.OIS:BLOOMBERG DC 272086</stp>
        <stp>Zc.Mid</stp>
        <stp>20190415</stp>
        <stp>Frequency=Annual</stp>
        <stp>DayCount=D30_360_EOMC</stp>
        <tr r="H9" s="4"/>
      </tp>
      <tp>
        <v>0.161</v>
        <stp/>
        <stp>##V3_BDPV12</stp>
        <stp>ES00000123B9@CBBT Corp</stp>
        <stp>YAS_BOND_YLD</stp>
        <stp>[Andrea New RollM.xlsm]DB!R199C19</stp>
        <stp>SETTLE_DT=20160909</stp>
        <stp>YAS_BOND_PX=124.65</stp>
        <tr r="S199" s="23"/>
      </tp>
      <tp>
        <v>106.932</v>
        <stp/>
        <stp>##V3_BDHV12</stp>
        <stp>PTOTENOE0018@CBBT Corp</stp>
        <stp>OPEN</stp>
        <stp>11/10/2016 4:15:00 PM</stp>
        <stp>11/10/2016 5:15:00 PM</stp>
        <stp>[Andrea New RollM.xlsm]DB!R224C14</stp>
        <stp>BarSz=60</stp>
        <stp>BarTp=T</stp>
        <stp>RecurDaily=True</stp>
        <stp>TZ=London</stp>
        <stp>DTS=H</stp>
        <tr r="N224" s="23"/>
      </tp>
      <tp>
        <v>-0.109</v>
        <stp/>
        <stp>##V3_BDPV12</stp>
        <stp>ES00000124B7@CBBT Corp</stp>
        <stp>YAS_BOND_YLD</stp>
        <stp>[Andrea New RollM.xlsm]DB!R190C19</stp>
        <stp>SETTLE_DT=20160909</stp>
        <stp>YAS_BOND_PX=108.28</stp>
        <tr r="S190" s="23"/>
      </tp>
    </main>
    <main first="bloomberg.rtd">
      <tp>
        <v>-0.34200000000000003</v>
        <stp/>
        <stp>##V3_BDPV12</stp>
        <stp>EUSWE1Z CMPN Curncy</stp>
        <stp>ask</stp>
        <stp>[Andrea New RollM.xlsm]Crv!R9C5</stp>
        <tr r="E9" s="1"/>
      </tp>
      <tp>
        <v>114.61499999999999</v>
        <stp/>
        <stp>##V3_BDHV12</stp>
        <stp>PTOTEAOE0021@CBBT Corp</stp>
        <stp>OPEN</stp>
        <stp>09/09/2016 4:15:00 PM</stp>
        <stp>09/09/2016 5:15:00 PM</stp>
        <stp>[Andrea New RollM.xlsm]DB!R229C16</stp>
        <stp>BarSz=60</stp>
        <stp>BarTp=T</stp>
        <stp>RecurDaily=True</stp>
        <stp>TZ=London</stp>
        <stp>DTS=H</stp>
        <tr r="P229" s="23"/>
      </tp>
      <tp>
        <v>99.137</v>
        <stp/>
        <stp>##V3_BDHV12</stp>
        <stp>PTOTEKOE0011@CBBT Corp</stp>
        <stp>OPEN</stp>
        <stp>09/09/2016 4:15:00 PM</stp>
        <stp>09/09/2016 5:15:00 PM</stp>
        <stp>[Andrea New RollM.xlsm]DB!R231C16</stp>
        <stp>BarSz=60</stp>
        <stp>BarTp=T</stp>
        <stp>RecurDaily=True</stp>
        <stp>TZ=London</stp>
        <stp>DTS=H</stp>
        <tr r="P231" s="23"/>
      </tp>
    </main>
    <main first="marketviewexcelplugin.mkvxp">
      <tp>
        <v>3.5</v>
        <stp/>
        <stp>0</stp>
        <stp>EUR.CM_INSTRUMENT.PXE.IT0004907843</stp>
        <stp>CouponInterest</stp>
        <tr r="B14" s="7"/>
      </tp>
      <tp>
        <v>2.25</v>
        <stp/>
        <stp>0</stp>
        <stp>EUR.CM_INSTRUMENT.PXE.IT0005177909</stp>
        <stp>CouponInterest</stp>
        <tr r="B66" s="7"/>
      </tp>
      <tp>
        <v>0.05</v>
        <stp/>
        <stp>0</stp>
        <stp>EUR.CM_INSTRUMENT.PXE.IT0005217929</stp>
        <stp>CouponInterest</stp>
        <tr r="B24" s="7"/>
      </tp>
      <tp>
        <v>3.5</v>
        <stp/>
        <stp>0</stp>
        <stp>EUR.CM_INSTRUMENT.PXE.IT0004957574</stp>
        <stp>CouponInterest</stp>
        <tr r="B17" s="7"/>
      </tp>
      <tp>
        <v>0.7</v>
        <stp/>
        <stp>0</stp>
        <stp>EUR.CM_INSTRUMENT.PXE.IT0005107708</stp>
        <stp>CouponInterest</stp>
        <tr r="B28" s="7"/>
      </tp>
      <tp>
        <v>2</v>
        <stp/>
        <stp>0</stp>
        <stp>EUR.CM_INSTRUMENT.PXE.IT0005127086</stp>
        <stp>CouponInterest</stp>
        <tr r="B53" s="7"/>
      </tp>
      <tp>
        <v>1.5</v>
        <stp/>
        <stp>0</stp>
        <stp>EUR.CM_INSTRUMENT.PXE.IT0004987191</stp>
        <stp>CouponInterest</stp>
        <tr r="B4" s="7"/>
      </tp>
      <tp>
        <v>3.5</v>
        <stp/>
        <stp>0</stp>
        <stp>EUR.CM_INSTRUMENT.PXE.IT0004867070</stp>
        <stp>CouponInterest</stp>
        <tr r="B10" s="7"/>
      </tp>
    </main>
    <main first="marketviewexcelplugin.mkvxp">
      <tp>
        <v>0.1</v>
        <stp/>
        <stp>0</stp>
        <stp>EUR.CM_INSTRUMENT.PXE.IT0005177271</stp>
        <stp>CouponInterest</stp>
        <tr r="B20" s="7"/>
      </tp>
      <tp>
        <v>2.8</v>
        <stp/>
        <stp>0</stp>
        <stp>EUR.CM_INSTRUMENT.PXE.IT0005217390</stp>
        <stp>CouponInterest</stp>
        <tr r="B73" s="7"/>
      </tp>
    </main>
    <main first="bloomberg.rtd">
      <tp>
        <v>-0.35</v>
        <stp/>
        <stp>##V3_BDPV12</stp>
        <stp>EUSWEB CMPN Curncy</stp>
        <stp>bid</stp>
        <stp>[Andrea New RollM.xlsm]Crv!R12C4</stp>
        <tr r="D12" s="1"/>
      </tp>
      <tp>
        <v>4.1000000000000002E-2</v>
        <stp/>
        <stp>##V3_BDPV12</stp>
        <stp>DE0001135085@CBBT Corp</stp>
        <stp>YAS_BOND_YLD</stp>
        <stp>[Andrea New RollM.xlsm]DB!R172C17</stp>
        <stp>SETTLE_DT=20161011</stp>
        <stp>YAS_BOND_PX=155.086</stp>
        <tr r="Q172" s="23"/>
      </tp>
      <tp>
        <v>-0.38400000000000001</v>
        <stp/>
        <stp>##V3_BDPV12</stp>
        <stp>EUSWE1 CMPN Curncy</stp>
        <stp>bid</stp>
        <stp>[Andrea New RollM.xlsm]Crv!R22C4</stp>
        <tr r="D22" s="1"/>
      </tp>
      <tp>
        <v>0.17799999999999999</v>
        <stp/>
        <stp>##V3_BDPV12</stp>
        <stp>DE0001135176@CBBT Corp</stp>
        <stp>YAS_BOND_YLD</stp>
        <stp>[Andrea New RollM.xlsm]DB!R174C17</stp>
        <stp>SETTLE_DT=20161011</stp>
        <stp>YAS_BOND_PX=174.719</stp>
        <tr r="Q174" s="23"/>
      </tp>
      <tp>
        <v>0.55400000000000005</v>
        <stp/>
        <stp>##V3_BDPV12</stp>
        <stp>DE0001135432@CBBT Corp</stp>
        <stp>YAS_BOND_YLD</stp>
        <stp>[Andrea New RollM.xlsm]DB!R179C19</stp>
        <stp>SETTLE_DT=20160909</stp>
        <stp>YAS_BOND_PX=164.691</stp>
        <tr r="S179" s="23"/>
      </tp>
      <tp>
        <v>6.8000000000000005E-2</v>
        <stp/>
        <stp>##V3_BDPV12</stp>
        <stp>EUSWE9 CMPN Curncy</stp>
        <stp>bid</stp>
        <stp>[Andrea New RollM.xlsm]Crv!R32C4</stp>
        <tr r="D32" s="1"/>
      </tp>
      <tp t="b">
        <v>0</v>
        <stp/>
        <stp>##V3_BCURVEINTV12</stp>
        <stp>[Andrea New RollM.xlsm]SPF!R6C8</stp>
        <stp>EUR.OIS:BLOOMBERG DC 272086</stp>
        <stp>Zc.Mid</stp>
        <stp>20171016</stp>
        <stp>Frequency=Annual</stp>
        <stp>DayCount=D30_360_EOMC</stp>
        <tr r="H6" s="4"/>
      </tp>
      <tp t="b">
        <v>0</v>
        <stp/>
        <stp>##V3_BCURVEINTV12</stp>
        <stp>[Andrea New RollM.xlsm]SPF!R8C8</stp>
        <stp>EUR.OIS:BLOOMBERG DC 272086</stp>
        <stp>Zc.Mid</stp>
        <stp>20181015</stp>
        <stp>Frequency=Annual</stp>
        <stp>DayCount=D30_360_EOMC</stp>
        <tr r="H8" s="4"/>
      </tp>
      <tp>
        <v>100.795</v>
        <stp/>
        <stp>##V3_BDPV12</stp>
        <stp>IT0004652175 Corp</stp>
        <stp>BID</stp>
        <stp>[Andrea New RollM.xlsm]CCT!R7C7</stp>
        <tr r="G7" s="27"/>
      </tp>
      <tp>
        <v>111.245</v>
        <stp/>
        <stp>##V3_BDHV12</stp>
        <stp>PTOTECOE0029@CBBT Corp</stp>
        <stp>OPEN</stp>
        <stp>11/10/2016 4:15:00 PM</stp>
        <stp>11/10/2016 5:15:00 PM</stp>
        <stp>[Andrea New RollM.xlsm]DB!R226C14</stp>
        <stp>BarSz=60</stp>
        <stp>BarTp=T</stp>
        <stp>RecurDaily=True</stp>
        <stp>TZ=London</stp>
        <stp>DTS=H</stp>
        <tr r="N226" s="23"/>
      </tp>
      <tp>
        <v>-0.128</v>
        <stp/>
        <stp>##V3_BDPV12</stp>
        <stp>ES00000127D6@CBBT Corp</stp>
        <stp>YAS_BOND_YLD</stp>
        <stp>[Andrea New RollM.xlsm]DB!R188C19</stp>
        <stp>SETTLE_DT=20160909</stp>
        <stp>YAS_BOND_PX=100.62</stp>
        <tr r="S188" s="23"/>
      </tp>
      <tp>
        <v>-0.159</v>
        <stp/>
        <stp>##V3_BDPV12</stp>
        <stp>ES00000120J8@CBBT Corp</stp>
        <stp>YAS_BOND_YLD</stp>
        <stp>[Andrea New RollM.xlsm]DB!R183C19</stp>
        <stp>SETTLE_DT=20160909</stp>
        <stp>YAS_BOND_PX=101.56</stp>
        <tr r="S183" s="23"/>
      </tp>
    </main>
    <main first="bloomberg.rtd">
      <tp>
        <v>104.72799999999999</v>
        <stp/>
        <stp>##V3_BDHV12</stp>
        <stp>PTOTELOE0010@CBBT Corp</stp>
        <stp>OPEN</stp>
        <stp>09/09/2016 4:15:00 PM</stp>
        <stp>09/09/2016 5:15:00 PM</stp>
        <stp>[Andrea New RollM.xlsm]DB!R223C16</stp>
        <stp>BarSz=60</stp>
        <stp>BarTp=T</stp>
        <stp>RecurDaily=True</stp>
        <stp>TZ=London</stp>
        <stp>DTS=H</stp>
        <tr r="P223" s="23"/>
      </tp>
      <tp>
        <v>101.44499999999999</v>
        <stp/>
        <stp>##V3_BDHV12</stp>
        <stp>PTOTEBOE0020@CBBT Corp</stp>
        <stp>OPEN</stp>
        <stp>09/09/2016 4:15:00 PM</stp>
        <stp>09/09/2016 5:15:00 PM</stp>
        <stp>[Andrea New RollM.xlsm]DB!R233C16</stp>
        <stp>BarSz=60</stp>
        <stp>BarTp=T</stp>
        <stp>RecurDaily=True</stp>
        <stp>TZ=London</stp>
        <stp>DTS=H</stp>
        <tr r="P233" s="23"/>
      </tp>
      <tp>
        <v>101.44499999999999</v>
        <stp/>
        <stp>##V3_BDHV12</stp>
        <stp>PTOTEBOE0020@CBBT Corp</stp>
        <stp>OPEN</stp>
        <stp>09/09/2016 4:15:00 PM</stp>
        <stp>09/09/2016 5:15:00 PM</stp>
        <stp>[Andrea New RollM.xlsm]DB!R236C16</stp>
        <stp>BarSz=60</stp>
        <stp>BarTp=T</stp>
        <stp>RecurDaily=True</stp>
        <stp>TZ=London</stp>
        <stp>DTS=H</stp>
        <tr r="P236" s="23"/>
      </tp>
    </main>
    <main first="marketviewexcelplugin.mkvxp">
      <tp>
        <v>1.6</v>
        <stp/>
        <stp>0</stp>
        <stp>EUR.CM_INSTRUMENT.PXE.IT0005170839</stp>
        <stp>CouponInterest</stp>
        <tr r="B55" s="7"/>
      </tp>
      <tp>
        <v>2.75</v>
        <stp/>
        <stp>0</stp>
        <stp>EUR.CM_INSTRUMENT.PXE.IT0004960826</stp>
        <stp>CouponInterest</stp>
        <tr r="B3" s="7"/>
      </tp>
      <tp>
        <v>4.75</v>
        <stp/>
        <stp>0</stp>
        <stp>EUR.CM_INSTRUMENT.PXE.IT0004820426</stp>
        <stp>CouponInterest</stp>
        <tr r="B8" s="7"/>
      </tp>
      <tp>
        <v>1.5</v>
        <stp/>
        <stp>0</stp>
        <stp>EUR.CM_INSTRUMENT.PXE.IT0005030504</stp>
        <stp>CouponInterest</stp>
        <tr r="B22" s="7"/>
      </tp>
      <tp>
        <v>1.25</v>
        <stp/>
        <stp>0</stp>
        <stp>EUR.CM_INSTRUMENT.PXE.IT0005210650</stp>
        <stp>CouponInterest</stp>
        <tr r="B57" s="7"/>
      </tp>
    </main>
    <main first="marketviewexcelplugin.mkvxp">
      <tp>
        <v>1.5</v>
        <stp/>
        <stp>0</stp>
        <stp>EUR.CM_INSTRUMENT.PXE.IT0005090318</stp>
        <stp>CouponInterest</stp>
        <tr r="B52" s="7"/>
      </tp>
    </main>
    <main first="bloomberg.rtd">
      <tp>
        <v>-8.0000000000000002E-3</v>
        <stp/>
        <stp>##V3_BDPV12</stp>
        <stp>DE0001102374@CBBT Corp</stp>
        <stp>YAS_BOND_YLD</stp>
        <stp>[Andrea New RollM.xlsm]DB!R166C27</stp>
        <stp>SETTLE_DT=20160610</stp>
        <stp>YAS_BOND_PX=104.41031413</stp>
        <tr r="AA166" s="23"/>
      </tp>
      <tp>
        <v>-0.372</v>
        <stp/>
        <stp>##V3_BDPV12</stp>
        <stp>EUSWEE CMPN Curncy</stp>
        <stp>bid</stp>
        <stp>[Andrea New RollM.xlsm]Crv!R15C4</stp>
        <tr r="D15" s="1"/>
      </tp>
      <tp t="s">
        <v>15/04/2016</v>
        <stp/>
        <stp>##V3_BDPV12</stp>
        <stp>IT0004716319 Corp</stp>
        <stp>PREV_CPN_DT</stp>
        <stp>[Andrea New RollM.xlsm]CCT!R8C24</stp>
        <tr r="X8" s="27"/>
      </tp>
      <tp t="s">
        <v>15/12/2016</v>
        <stp/>
        <stp>##V3_BDPV12</stp>
        <stp>IT0004809809 Corp</stp>
        <stp>NXT_CPN_DT</stp>
        <stp>[Andrea New RollM.xlsm]CCT!R6C23</stp>
        <tr r="W6" s="27"/>
      </tp>
      <tp>
        <v>-0.66300000000000003</v>
        <stp/>
        <stp>##V3_BDPV12</stp>
        <stp>DE0001141703@CBBT Corp</stp>
        <stp>YAS_BOND_YLD</stp>
        <stp>[Andrea New RollM.xlsm]DB!R145C17</stp>
        <stp>SETTLE_DT=20161011</stp>
        <stp>YAS_BOND_PX=102.776</stp>
        <tr r="Q145" s="23"/>
      </tp>
      <tp>
        <v>-0.63200000000000001</v>
        <stp/>
        <stp>##V3_BDPV12</stp>
        <stp>DE0001104628@CBBT Corp</stp>
        <stp>YAS_BOND_YLD</stp>
        <stp>[Andrea New RollM.xlsm]DB!R132C19</stp>
        <stp>SETTLE_DT=20160909</stp>
        <stp>YAS_BOND_PX=100.805</stp>
        <tr r="S132" s="23"/>
      </tp>
      <tp>
        <v>-0.55000000000000004</v>
        <stp/>
        <stp>##V3_BDPV12</stp>
        <stp>DE0001135440@CBBT Corp</stp>
        <stp>YAS_BOND_YLD</stp>
        <stp>[Andrea New RollM.xlsm]DB!R153C17</stp>
        <stp>SETTLE_DT=20161011</stp>
        <stp>YAS_BOND_PX=118.256</stp>
        <tr r="Q153" s="23"/>
      </tp>
      <tp>
        <v>-0.38500000000000001</v>
        <stp/>
        <stp>##V3_BDPV12</stp>
        <stp>DE0001102317@CBBT Corp</stp>
        <stp>YAS_BOND_YLD</stp>
        <stp>[Andrea New RollM.xlsm]DB!R160C17</stp>
        <stp>SETTLE_DT=20161011</stp>
        <stp>YAS_BOND_PX=112.613</stp>
        <tr r="Q160" s="23"/>
      </tp>
      <tp>
        <v>0.50800000000000001</v>
        <stp/>
        <stp>##V3_BDPV12</stp>
        <stp>DE0001135325@CBBT Corp</stp>
        <stp>YAS_BOND_YLD</stp>
        <stp>[Andrea New RollM.xlsm]DB!R177C17</stp>
        <stp>SETTLE_DT=20161011</stp>
        <stp>YAS_BOND_PX=180.144</stp>
        <tr r="Q177" s="23"/>
      </tp>
      <tp>
        <v>-0.63400000000000001</v>
        <stp/>
        <stp>##V3_BDPV12</stp>
        <stp>DE0001141695@CBBT Corp</stp>
        <stp>YAS_BOND_YLD</stp>
        <stp>[Andrea New RollM.xlsm]DB!R143C19</stp>
        <stp>SETTLE_DT=20160909</stp>
        <stp>YAS_BOND_PX=102.969</stp>
        <tr r="S143" s="23"/>
      </tp>
      <tp>
        <v>-0.67500000000000004</v>
        <stp/>
        <stp>##V3_BDPV12</stp>
        <stp>DE0001141679@CBBT Corp</stp>
        <stp>YAS_BOND_YLD</stp>
        <stp>[Andrea New RollM.xlsm]DB!R140C17</stp>
        <stp>SETTLE_DT=20161011</stp>
        <stp>YAS_BOND_PX=103.389</stp>
        <tr r="Q140" s="23"/>
      </tp>
      <tp>
        <v>1.6579999999999999</v>
        <stp/>
        <stp>##V3_BDPV12</stp>
        <stp>IT0004922909 Corp</stp>
        <stp>CPN</stp>
        <stp>[Andrea New RollM.xlsm]CCT!R9C6</stp>
        <tr r="F9" s="27"/>
      </tp>
      <tp>
        <v>0.03</v>
        <stp/>
        <stp>##V3_BDPV12</stp>
        <stp>DE0001141612@CBBT Corp</stp>
        <stp>YAS_BOND_YLD</stp>
        <stp>[Andrea New RollM.xlsm]DB!R123C17</stp>
        <stp>SETTLE_DT=20161011</stp>
        <stp>YAS_BOND_PX=100.01</stp>
        <tr r="Q123" s="23"/>
      </tp>
      <tp>
        <v>6.0000000000000012E-2</v>
        <stp/>
        <stp>##V3_BDPV12</stp>
        <stp>IT0004584204 Corp</stp>
        <stp>CPN</stp>
        <stp>[Andrea New RollM.xlsm]CCT!R5C6</stp>
        <tr r="F5" s="27"/>
      </tp>
      <tp>
        <v>0.90100000000000002</v>
        <stp/>
        <stp>##V3_BDPV12</stp>
        <stp>ES00000122E5@CBBT Corp</stp>
        <stp>YAS_BOND_YLD</stp>
        <stp>[Andrea New RollM.xlsm]DB!R207C17</stp>
        <stp>SETTLE_DT=20161011</stp>
        <stp>YAS_BOND_PX=131.58</stp>
        <tr r="Q207" s="23"/>
      </tp>
      <tp>
        <v>1.02</v>
        <stp/>
        <stp>##V3_BDPV12</stp>
        <stp>ES00000127Z9@CBBT Corp</stp>
        <stp>YAS_BOND_YLD</stp>
        <stp>[Andrea New RollM.xlsm]DB!R209C17</stp>
        <stp>SETTLE_DT=20161011</stp>
        <stp>YAS_BOND_PX=108.42</stp>
        <tr r="Q209" s="23"/>
      </tp>
    </main>
    <main first="bloomberg.rtd">
      <tp>
        <v>108.602</v>
        <stp/>
        <stp>##V3_BDHV12</stp>
        <stp>PTOTEYOE0007@CBBT Corp</stp>
        <stp>OPEN</stp>
        <stp>09/09/2016 4:15:00 PM</stp>
        <stp>09/09/2016 5:15:00 PM</stp>
        <stp>[Andrea New RollM.xlsm]DB!R227C16</stp>
        <stp>BarSz=60</stp>
        <stp>BarTp=T</stp>
        <stp>RecurDaily=True</stp>
        <stp>TZ=London</stp>
        <stp>DTS=H</stp>
        <tr r="P227" s="23"/>
      </tp>
      <tp>
        <v>110.22799999999999</v>
        <stp/>
        <stp>##V3_BDHV12</stp>
        <stp>PTOTEMOE0027@CBBT Corp</stp>
        <stp>OPEN</stp>
        <stp>09/09/2016 4:15:00 PM</stp>
        <stp>09/09/2016 5:15:00 PM</stp>
        <stp>[Andrea New RollM.xlsm]DB!R225C16</stp>
        <stp>BarSz=60</stp>
        <stp>BarTp=T</stp>
        <stp>RecurDaily=True</stp>
        <stp>TZ=London</stp>
        <stp>DTS=H</stp>
        <tr r="P225" s="23"/>
      </tp>
      <tp>
        <v>103.682</v>
        <stp/>
        <stp>##V3_BDHV12</stp>
        <stp>PTOTE5OE0007@CBBT Corp</stp>
        <stp>OPEN</stp>
        <stp>09/09/2016 4:15:00 PM</stp>
        <stp>09/09/2016 5:15:00 PM</stp>
        <stp>[Andrea New RollM.xlsm]DB!R235C16</stp>
        <stp>BarSz=60</stp>
        <stp>BarTp=T</stp>
        <stp>RecurDaily=True</stp>
        <stp>TZ=London</stp>
        <stp>DTS=H</stp>
        <tr r="P235" s="23"/>
      </tp>
    </main>
    <main first="marketviewexcelplugin.mkvxp">
      <tp>
        <v>5.5</v>
        <stp/>
        <stp>0</stp>
        <stp>EUR.CM_INSTRUMENT.PXE.IT0004801541</stp>
        <stp>CouponInterest</stp>
        <tr r="B40" s="7"/>
      </tp>
      <tp>
        <v>3.75</v>
        <stp/>
        <stp>0</stp>
        <stp>EUR.CM_INSTRUMENT.PXE.IT0005001547</stp>
        <stp>CouponInterest</stp>
        <tr r="B49" s="7"/>
      </tp>
      <tp>
        <v>4.5</v>
        <stp/>
        <stp>0</stp>
        <stp>EUR.CM_INSTRUMENT.PXE.IT0004361041</stp>
        <stp>CouponInterest</stp>
        <tr r="B15" s="7"/>
      </tp>
    </main>
    <main first="bloomberg.rtd">
      <tp>
        <v>-0.36699999999999999</v>
        <stp/>
        <stp>##V3_BDPV12</stp>
        <stp>EUSWED CMPN Curncy</stp>
        <stp>bid</stp>
        <stp>[Andrea New RollM.xlsm]Crv!R14C4</stp>
        <tr r="D14" s="1"/>
      </tp>
      <tp t="s">
        <v>01/11/2016</v>
        <stp/>
        <stp>##V3_BDPV12</stp>
        <stp>IT0004922909 Corp</stp>
        <stp>NXT_CPN_DT</stp>
        <stp>[Andrea New RollM.xlsm]CCT!R9C23</stp>
        <tr r="W9" s="27"/>
      </tp>
      <tp t="s">
        <v>15/06/2016</v>
        <stp/>
        <stp>##V3_BDPV12</stp>
        <stp>IT0004809809 Corp</stp>
        <stp>PREV_CPN_DT</stp>
        <stp>[Andrea New RollM.xlsm]CCT!R6C24</stp>
        <tr r="X6" s="27"/>
      </tp>
      <tp>
        <v>0.42899999999999999</v>
        <stp/>
        <stp>##V3_BDPV12</stp>
        <stp>DE0001135275@CBBT Corp</stp>
        <stp>YAS_BOND_YLD</stp>
        <stp>[Andrea New RollM.xlsm]DB!R176C17</stp>
        <stp>SETTLE_DT=20161011</stp>
        <stp>YAS_BOND_PX=169.072</stp>
        <tr r="Q176" s="23"/>
      </tp>
      <tp>
        <v>-0.40600000000000003</v>
        <stp/>
        <stp>##V3_BDPV12</stp>
        <stp>EUSWE2 CMPN Curncy</stp>
        <stp>bid</stp>
        <stp>[Andrea New RollM.xlsm]Crv!R24C4</stp>
        <tr r="D24" s="1"/>
      </tp>
      <tp>
        <v>0.66200000000000003</v>
        <stp/>
        <stp>##V3_BDPV12</stp>
        <stp>DE0001102341@CBBT Corp</stp>
        <stp>YAS_BOND_YLD</stp>
        <stp>[Andrea New RollM.xlsm]DB!R181C17</stp>
        <stp>SETTLE_DT=20161011</stp>
        <stp>YAS_BOND_PX=149.635</stp>
        <tr r="Q181" s="23"/>
      </tp>
      <tp>
        <v>-0.44500000000000001</v>
        <stp/>
        <stp>##V3_BDPV12</stp>
        <stp>DE0001135473@CBBT Corp</stp>
        <stp>YAS_BOND_YLD</stp>
        <stp>[Andrea New RollM.xlsm]DB!R157C17</stp>
        <stp>SETTLE_DT=20161011</stp>
        <stp>YAS_BOND_PX=112.764</stp>
        <tr r="Q157" s="23"/>
      </tp>
      <tp>
        <v>-0.42399999999999999</v>
        <stp/>
        <stp>##V3_BDPV12</stp>
        <stp>IE0034074488@CBBT Corp</stp>
        <stp>YAS_BOND_YLD</stp>
        <stp>[Andrea New RollM.xlsm]DB!R241C17</stp>
        <stp>SETTLE_DT=20161011</stp>
        <stp>YAS_BOND_PX=117.493</stp>
        <tr r="Q241" s="23"/>
      </tp>
      <tp>
        <v>-0.69199999999999995</v>
        <stp/>
        <stp>##V3_BDPV12</stp>
        <stp>DE0001141638@CBBT Corp</stp>
        <stp>YAS_BOND_YLD</stp>
        <stp>[Andrea New RollM.xlsm]DB!R127C17</stp>
        <stp>SETTLE_DT=20161011</stp>
        <stp>YAS_BOND_PX=100.584</stp>
        <tr r="Q127" s="23"/>
      </tp>
      <tp>
        <v>0.40500000000000003</v>
        <stp/>
        <stp>##V3_BDPV12</stp>
        <stp>DE0001135275@CBBT Corp</stp>
        <stp>YAS_BOND_YLD</stp>
        <stp>[Andrea New RollM.xlsm]DB!R176C19</stp>
        <stp>SETTLE_DT=20160909</stp>
        <stp>YAS_BOND_PX=169.985</stp>
        <tr r="S176" s="23"/>
      </tp>
      <tp>
        <v>-0.67500000000000004</v>
        <stp/>
        <stp>##V3_BDPV12</stp>
        <stp>DE0001141687@CBBT Corp</stp>
        <stp>YAS_BOND_YLD</stp>
        <stp>[Andrea New RollM.xlsm]DB!R142C17</stp>
        <stp>SETTLE_DT=20161011</stp>
        <stp>YAS_BOND_PX=104.009</stp>
        <tr r="Q142" s="23"/>
      </tp>
      <tp>
        <v>7.5999999999999998E-2</v>
        <stp/>
        <stp>##V3_BDPV12</stp>
        <stp>DE0001135143@CBBT Corp</stp>
        <stp>YAS_BOND_YLD</stp>
        <stp>[Andrea New RollM.xlsm]DB!R173C17</stp>
        <stp>SETTLE_DT=20161011</stp>
        <stp>YAS_BOND_PX=181.26</stp>
        <tr r="Q173" s="23"/>
      </tp>
      <tp>
        <v>-0.66600000000000004</v>
        <stp/>
        <stp>##V3_BDPV12</stp>
        <stp>DE0001141661@CBBT Corp</stp>
        <stp>YAS_BOND_YLD</stp>
        <stp>[Andrea New RollM.xlsm]DB!R136C17</stp>
        <stp>SETTLE_DT=20161011</stp>
        <stp>YAS_BOND_PX=101.39</stp>
        <tr r="Q136" s="23"/>
      </tp>
      <tp>
        <v>-0.67400000000000004</v>
        <stp/>
        <stp>##V3_BDPV12</stp>
        <stp>DE0001141653@CBBT Corp</stp>
        <stp>YAS_BOND_YLD</stp>
        <stp>[Andrea New RollM.xlsm]DB!R134C17</stp>
        <stp>SETTLE_DT=20161011</stp>
        <stp>YAS_BOND_PX=101.62</stp>
        <tr r="Q134" s="23"/>
      </tp>
      <tp>
        <v>1.927</v>
        <stp/>
        <stp>##V3_BDPV12</stp>
        <stp>ES00000120N0@CBBT Corp</stp>
        <stp>YAS_BOND_YLD</stp>
        <stp>[Andrea New RollM.xlsm]DB!R217C17</stp>
        <stp>SETTLE_DT=20161011</stp>
        <stp>YAS_BOND_PX=156.31</stp>
        <tr r="Q217" s="23"/>
      </tp>
      <tp>
        <v>1.4430000000000001</v>
        <stp/>
        <stp>##V3_BDPV12</stp>
        <stp>ES0000012411@CBBT Corp</stp>
        <stp>YAS_BOND_YLD</stp>
        <stp>[Andrea New RollM.xlsm]DB!R215C17</stp>
        <stp>SETTLE_DT=20161011</stp>
        <stp>YAS_BOND_PX=160.45</stp>
        <tr r="Q215" s="23"/>
      </tp>
    </main>
    <main first="bloomberg.rtd">
      <tp>
        <v>1.7589999999999999</v>
        <stp/>
        <stp>##V3_BDPV12</stp>
        <stp>ES0000012932@CBBT Corp</stp>
        <stp>YAS_BOND_YLD</stp>
        <stp>[Andrea New RollM.xlsm]DB!R216C17</stp>
        <stp>SETTLE_DT=20161011</stp>
        <stp>YAS_BOND_PX=141.36</stp>
        <tr r="Q216" s="23"/>
      </tp>
      <tp>
        <v>1.96</v>
        <stp/>
        <stp>##V3_BDPV12</stp>
        <stp>ES00000121S7@CBBT Corp</stp>
        <stp>YAS_BOND_YLD</stp>
        <stp>[Andrea New RollM.xlsm]DB!R218C17</stp>
        <stp>SETTLE_DT=20161011</stp>
        <stp>YAS_BOND_PX=153.41</stp>
        <tr r="Q218" s="23"/>
      </tp>
      <tp>
        <v>103.41500000000001</v>
        <stp/>
        <stp>##V3_BDPV12</stp>
        <stp>IT0004922909 Corp</stp>
        <stp>BID</stp>
        <stp>[Andrea New RollM.xlsm]CCT!R9C7</stp>
        <tr r="G9" s="27"/>
      </tp>
      <tp>
        <v>100.12</v>
        <stp/>
        <stp>##V3_BDPV12</stp>
        <stp>IT0004584204 Corp</stp>
        <stp>BID</stp>
        <stp>[Andrea New RollM.xlsm]CCT!R5C7</stp>
        <tr r="G5" s="27"/>
      </tp>
      <tp>
        <v>100.387</v>
        <stp/>
        <stp>##V3_BDHV12</stp>
        <stp>PTOTE6OE0006@CBBT Corp</stp>
        <stp>OPEN</stp>
        <stp>09/09/2016 4:15:00 PM</stp>
        <stp>09/09/2016 5:15:00 PM</stp>
        <stp>[Andrea New RollM.xlsm]DB!R222C16</stp>
        <stp>BarSz=60</stp>
        <stp>BarTp=T</stp>
        <stp>RecurDaily=True</stp>
        <stp>TZ=London</stp>
        <stp>DTS=H</stp>
        <tr r="P222" s="23"/>
      </tp>
    </main>
    <main first="marketviewexcelplugin.mkvxp">
      <tp>
        <v>2.7</v>
        <stp/>
        <stp>0</stp>
        <stp>EUR.CM_INSTRUMENT.PXE.IT0005162828</stp>
        <stp>CouponInterest</stp>
        <tr r="B72" s="7"/>
      </tp>
      <tp>
        <v>5</v>
        <stp/>
        <stp>0</stp>
        <stp>EUR.CM_INSTRUMENT.PXE.IT0004532559</stp>
        <stp>CouponInterest</stp>
        <tr r="B69" s="7"/>
      </tp>
      <tp>
        <v>5.25</v>
        <stp/>
        <stp>0</stp>
        <stp>EUR.CM_INSTRUMENT.PXE.IT0003242747</stp>
        <stp>CouponInterest</stp>
        <tr r="B9" s="7"/>
      </tp>
      <tp>
        <v>0.65</v>
        <stp/>
        <stp>0</stp>
        <stp>EUR.CM_INSTRUMENT.PXE.IT0005142143</stp>
        <stp>CouponInterest</stp>
        <tr r="B30" s="7"/>
      </tp>
    </main>
    <main first="marketviewexcelplugin.mkvxp">
      <tp>
        <v>2.5</v>
        <stp/>
        <stp>0</stp>
        <stp>EUR.CM_INSTRUMENT.PXE.IT0004992308</stp>
        <stp>CouponInterest</stp>
        <tr r="B21" s="7"/>
      </tp>
      <tp>
        <v>0.95</v>
        <stp/>
        <stp>0</stp>
        <stp>EUR.CM_INSTRUMENT.PXE.IT0005172322</stp>
        <stp>CouponInterest</stp>
        <tr r="B43" s="7"/>
      </tp>
    </main>
    <main first="bloomberg.rtd">
      <tp>
        <v>-0.38</v>
        <stp/>
        <stp>##V3_BDPV12</stp>
        <stp>EUSWEG CMPN Curncy</stp>
        <stp>bid</stp>
        <stp>[Andrea New RollM.xlsm]Crv!R17C4</stp>
        <tr r="D17" s="1"/>
      </tp>
    </main>
    <main first="bloomberg.rtd">
      <tp>
        <v>-0.51700000000000002</v>
        <stp/>
        <stp>##V3_BDPV12</stp>
        <stp>DE0001135457@CBBT Corp</stp>
        <stp>YAS_BOND_YLD</stp>
        <stp>[Andrea New RollM.xlsm]DB!R154C17</stp>
        <stp>SETTLE_DT=20161011</stp>
        <stp>YAS_BOND_PX=113.763</stp>
        <tr r="Q154" s="23"/>
      </tp>
    </main>
    <main first="bloomberg.rtd">
      <tp>
        <v>-0.4</v>
        <stp/>
        <stp>##V3_BDPV12</stp>
        <stp>DE0001102309@CBBT Corp</stp>
        <stp>YAS_BOND_YLD</stp>
        <stp>[Andrea New RollM.xlsm]DB!R159C19</stp>
        <stp>SETTLE_DT=20160909</stp>
        <stp>YAS_BOND_PX=112.408</stp>
        <tr r="S159" s="23"/>
      </tp>
      <tp>
        <v>-0.57999999999999996</v>
        <stp/>
        <stp>##V3_BDPV12</stp>
        <stp>DE0001135424@CBBT Corp</stp>
        <stp>YAS_BOND_YLD</stp>
        <stp>[Andrea New RollM.xlsm]DB!R151C17</stp>
        <stp>SETTLE_DT=20161011</stp>
        <stp>YAS_BOND_PX=113.239</stp>
        <tr r="Q151" s="23"/>
      </tp>
      <tp>
        <v>-0.374</v>
        <stp/>
        <stp>##V3_BDPV12</stp>
        <stp>EUSWE4 CMPN Curncy</stp>
        <stp>bid</stp>
        <stp>[Andrea New RollM.xlsm]Crv!R27C4</stp>
        <tr r="D27" s="1"/>
      </tp>
      <tp t="b">
        <v>0</v>
        <stp/>
        <stp>##V3_BCURVESTRIPV12</stp>
        <stp>[Andrea New RollM.xlsm]Fwd !R15C2</stp>
        <stp>EUR.OIS</stp>
        <stp>CurveName</stp>
        <stp/>
        <stp>CurveDate</stp>
        <stp>20161012</stp>
        <stp>Interpolation</stp>
        <stp>Step_Forward</stp>
        <stp>ParallelShift</stp>
        <stp>10</stp>
        <tr r="B15" s="3"/>
      </tp>
    </main>
    <main first="bloomberg.rtd">
      <tp>
        <v>1.44</v>
        <stp/>
        <stp>##V3_BDPV12</stp>
        <stp>IT0005210650@CBBT Corp</stp>
        <stp>YAS_BOND_YLD</stp>
        <stp>[Andrea New RollM.xlsm]DB!R93C17</stp>
        <stp>SETTLE_DT=20161011</stp>
        <stp>YAS_BOND_PX=98.26</stp>
        <tr r="Q93" s="23"/>
      </tp>
      <tp>
        <v>103.43</v>
        <stp/>
        <stp>##V3_BDPV12</stp>
        <stp>IT0004922909 Corp</stp>
        <stp>ASK</stp>
        <stp>[Andrea New RollM.xlsm]CCT!R9C9</stp>
        <tr r="I9" s="27"/>
      </tp>
      <tp>
        <v>100.125</v>
        <stp/>
        <stp>##V3_BDPV12</stp>
        <stp>IT0004584204 Corp</stp>
        <stp>ASK</stp>
        <stp>[Andrea New RollM.xlsm]CCT!R5C9</stp>
        <tr r="I5" s="27"/>
      </tp>
    </main>
    <main first="marketviewexcelplugin.mkvxp">
      <tp t="s">
        <v>IRISH</v>
        <stp/>
        <stp>0</stp>
        <stp>EUR.CM_INSTRUMENT.PXE.IE00B28HXX02</stp>
        <stp>Ticker</stp>
        <tr r="B238" s="23"/>
      </tp>
    </main>
    <main first="bloomberg.rtd">
      <tp>
        <v>-0.65800000000000003</v>
        <stp/>
        <stp>##V3_BDPV12</stp>
        <stp>DE0001135390@CBBT Corp</stp>
        <stp>YAS_BOND_YLD</stp>
        <stp>[Andrea New RollM.xlsm]DB!R146C17</stp>
        <stp>SETTLE_DT=20161011</stp>
        <stp>YAS_BOND_PX=112.81</stp>
        <tr r="Q146" s="23"/>
      </tp>
      <tp>
        <v>-0.627</v>
        <stp/>
        <stp>##V3_BDPV12</stp>
        <stp>DE0001135416@CBBT Corp</stp>
        <stp>YAS_BOND_YLD</stp>
        <stp>[Andrea New RollM.xlsm]DB!R149C17</stp>
        <stp>SETTLE_DT=20161011</stp>
        <stp>YAS_BOND_PX=111.39</stp>
        <tr r="Q149" s="23"/>
      </tp>
    </main>
    <main first="bloomberg.rtd">
      <tp>
        <v>111.295</v>
        <stp/>
        <stp>##V3_BDHV12</stp>
        <stp>PTOTECOE0029@CBBT Corp</stp>
        <stp>OPEN</stp>
        <stp>04/10/2016 4:15:00 PM</stp>
        <stp>04/10/2016 5:15:00 PM</stp>
        <stp>[Andrea New RollM.xlsm]DB!R226C15</stp>
        <stp>BarSz=60</stp>
        <stp>BarTp=T</stp>
        <stp>RecurDaily=True</stp>
        <stp>TZ=London</stp>
        <stp>DTS=H</stp>
        <tr r="O226" s="23"/>
      </tp>
      <tp>
        <v>1.2490000000000001</v>
        <stp/>
        <stp>##V3_BDPV12</stp>
        <stp>ES0000011868@CBBT Corp</stp>
        <stp>YAS_BOND_YLD</stp>
        <stp>[Andrea New RollM.xlsm]DB!R213C17</stp>
        <stp>SETTLE_DT=20161011</stp>
        <stp>YAS_BOND_PX=153.87</stp>
        <tr r="Q213" s="23"/>
      </tp>
    </main>
    <main first="bloomberg.rtd">
      <tp>
        <v>118.18</v>
        <stp/>
        <stp>##V3_BDHV12</stp>
        <stp>PTOTEQOE0015@CBBT Corp</stp>
        <stp>OPEN</stp>
        <stp>09/09/2016 4:15:00 PM</stp>
        <stp>09/09/2016 5:15:00 PM</stp>
        <stp>[Andrea New RollM.xlsm]DB!R230C16</stp>
        <stp>BarSz=60</stp>
        <stp>BarTp=T</stp>
        <stp>RecurDaily=True</stp>
        <stp>TZ=London</stp>
        <stp>DTS=H</stp>
        <tr r="P230" s="23"/>
      </tp>
      <tp t="b">
        <v>0</v>
        <stp/>
        <stp>##V3_BCURVEFWDV12</stp>
        <stp>[Andrea New RollM.xlsm]Fwd !R4C8</stp>
        <stp>EUR.OIS:BLOOMBERG DC 225737</stp>
        <stp>Par.Mid_x0002_Zc.Mid_x0002_Df.Mid</stp>
        <stp>Tenor</stp>
        <stp>{#02}1 DY_x0002__x0003_1 WK_x0002__x0003_2 WK_x0002__x0003_1 MO_x0002__x0003_2 MO_x0002__x0003_3 MO_x0002__x0003_4 MO_x0002__x0003_5 MO_x0002__x0003_6 MO_x0002__x0003_7 MO_x0002__x0003_8 MO_x0002__x0003_9 MO_x0002__x0003_10 MO_x0002__x0003_11 MO_x0002__x0003_12 MO_x0002__x0003_18 MO_x0002__x0003_2 YR_x0002__x0003_30 MO_x0002__x0003_3 YR_x0002__x0003_4 YR_x0002__x0003_5 YR_x0002__x0003_6 YR_x0002__x0003_7 YR_x0002__x0003_8 YR_x0002__x0003_9 YR_x0002__x0003_10 YR_x0002__x0003_11 YR_x0002__x0003_12 YR_x0002__x0003_15 YR_x0002__x0003_20 YR_x0002__x0003_25 YR_x0002__x0003_30 YR_x0002__x0003_35 YR_x0002__x0003_40 YR_x0002__x0003_50 YR_x0002__x0003__x0002__x0003__x0002__x0003__x0002__x0003__x0002__x0003__x0002__x0003__x0002__x0003__x0002__x0003__x0002__x0003__x0002__x0003__x0002__x0003__x0002__x0003__x0002__x0003_</stp>
        <stp>_x0002__x0003__x0002__x0003__x0002__x0003__x0002__x0003__x0002__x0003__x0002__x0003__x0002__x0003__x0002__x0003__x0002__x0003__x0002__x0003__x0002__x0003__x0002__x0003__x0002__x0003__x0002__x0003__x0002__x0003__x0002__x0003__x0002__x0003__x0002__x0003__x0002__x0003__x0002__x0003__x0002__x0003__x0002__x0003__x0002__x0003__x0002__x0003__x0002__x0003__x0002__x0003__x0002__x0003__x0002__x0003__x0002__x0003__x0002__x0003__x0002__x0003__x0002__x0003__x0002__x0003__x0002__x0003__x0002__x0003_</stp>
        <stp>Term</stp>
        <stp>3m_x0002_5y_x0002_10y</stp>
        <stp>GroupBy</stp>
        <stp>Term</stp>
        <tr r="H4" s="3"/>
      </tp>
    </main>
    <main first="marketviewexcelplugin.mkvxp">
      <tp>
        <v>4.5</v>
        <stp/>
        <stp>0</stp>
        <stp>EUR.CM_INSTRUMENT.PXE.IT0004423957</stp>
        <stp>CouponInterest</stp>
        <tr r="B19" s="7"/>
      </tp>
      <tp>
        <v>4.75</v>
        <stp/>
        <stp>0</stp>
        <stp>EUR.CM_INSTRUMENT.PXE.IT0004923998</stp>
        <stp>CouponInterest</stp>
        <tr r="B70" s="7"/>
      </tp>
      <tp>
        <v>1.1499999999999999</v>
        <stp/>
        <stp>0</stp>
        <stp>EUR.CM_INSTRUMENT.PXE.IT0005023459</stp>
        <stp>CouponInterest</stp>
        <tr r="B7" s="7"/>
      </tp>
      <tp>
        <v>4.25</v>
        <stp/>
        <stp>0</stp>
        <stp>EUR.CM_INSTRUMENT.PXE.IT0003493258</stp>
        <stp>CouponInterest</stp>
        <tr r="B18" s="7"/>
      </tp>
      <tp>
        <v>4.5</v>
        <stp/>
        <stp>0</stp>
        <stp>EUR.CM_INSTRUMENT.PXE.IT0004273493</stp>
        <stp>CouponInterest</stp>
        <tr r="B12" s="7"/>
      </tp>
      <tp>
        <v>4.5</v>
        <stp/>
        <stp>0</stp>
        <stp>EUR.CM_INSTRUMENT.PXE.IT0004953417</stp>
        <stp>CouponInterest</stp>
        <tr r="B48" s="7"/>
      </tp>
      <tp>
        <v>4.75</v>
        <stp/>
        <stp>0</stp>
        <stp>EUR.CM_INSTRUMENT.PXE.IT0004793474</stp>
        <stp>CouponInterest</stp>
        <tr r="B6" s="7"/>
      </tp>
      <tp>
        <v>5</v>
        <stp/>
        <stp>0</stp>
        <stp>EUR.CM_INSTRUMENT.PXE.IT0004513641</stp>
        <stp>CouponInterest</stp>
        <tr r="B51" s="7"/>
      </tp>
      <tp>
        <v>3.25</v>
        <stp/>
        <stp>0</stp>
        <stp>EUR.CM_INSTRUMENT.PXE.IT0005083057</stp>
        <stp>CouponInterest</stp>
        <tr r="B71" s="7"/>
      </tp>
    </main>
    <main first="bloomberg.rtd">
      <tp>
        <v>-0.38800000000000001</v>
        <stp/>
        <stp>##V3_BDPV12</stp>
        <stp>EUSWEF CMPN Curncy</stp>
        <stp>bid</stp>
        <stp>[Andrea New RollM.xlsm]Crv!R16C4</stp>
        <tr r="D16" s="1"/>
      </tp>
      <tp t="s">
        <v>01/05/2016</v>
        <stp/>
        <stp>##V3_BDPV12</stp>
        <stp>IT0004922909 Corp</stp>
        <stp>PREV_CPN_DT</stp>
        <stp>[Andrea New RollM.xlsm]CCT!R9C24</stp>
        <tr r="X9" s="27"/>
      </tp>
      <tp>
        <v>-0.71499999999999997</v>
        <stp/>
        <stp>##V3_BDPV12</stp>
        <stp>DE0001141620@CBBT Corp</stp>
        <stp>YAS_BOND_YLD</stp>
        <stp>[Andrea New RollM.xlsm]DB!R125C17</stp>
        <stp>SETTLE_DT=20161011</stp>
        <stp>YAS_BOND_PX=100.547</stp>
        <tr r="Q125" s="23"/>
      </tp>
      <tp>
        <v>-0.41299999999999998</v>
        <stp/>
        <stp>##V3_BDPV12</stp>
        <stp>EUSWE3 CMPN Curncy</stp>
        <stp>bid</stp>
        <stp>[Andrea New RollM.xlsm]Crv!R26C4</stp>
        <tr r="D26" s="1"/>
      </tp>
      <tp>
        <v>-0.36699999999999999</v>
        <stp/>
        <stp>##V3_BDPV12</stp>
        <stp>DE0001102325@CBBT Corp</stp>
        <stp>YAS_BOND_YLD</stp>
        <stp>[Andrea New RollM.xlsm]DB!R161C17</stp>
        <stp>SETTLE_DT=20161011</stp>
        <stp>YAS_BOND_PX=116.439</stp>
        <tr r="Q161" s="23"/>
      </tp>
      <tp>
        <v>-0.48499999999999999</v>
        <stp/>
        <stp>##V3_BDPV12</stp>
        <stp>DE0001141745@CBBT Corp</stp>
        <stp>YAS_BOND_YLD</stp>
        <stp>[Andrea New RollM.xlsm]DB!R155C17</stp>
        <stp>SETTLE_DT=20161011</stp>
        <stp>YAS_BOND_PX=102.457</stp>
        <tr r="Q155" s="23"/>
      </tp>
      <tp>
        <v>-0.68</v>
        <stp/>
        <stp>##V3_BDPV12</stp>
        <stp>DE0001141646@CBBT Corp</stp>
        <stp>YAS_BOND_YLD</stp>
        <stp>[Andrea New RollM.xlsm]DB!R131C17</stp>
        <stp>SETTLE_DT=20161011</stp>
        <stp>YAS_BOND_PX=101.195</stp>
        <tr r="Q131" s="23"/>
      </tp>
      <tp>
        <v>2.2679999999999998</v>
        <stp/>
        <stp>##V3_BDPV12</stp>
        <stp>IT0004923998@CBBT Corp</stp>
        <stp>YAS_BOND_YLD</stp>
        <stp>[Andrea New RollM.xlsm]DB!R114C19</stp>
        <stp>SETTLE_DT=20160909</stp>
        <stp>YAS_BOND_PX=151.55</stp>
        <tr r="S114" s="23"/>
      </tp>
      <tp>
        <v>106.83799999999999</v>
        <stp/>
        <stp>##V3_BDHV12</stp>
        <stp>PTOTENOE0018@CBBT Corp</stp>
        <stp>OPEN</stp>
        <stp>04/10/2016 4:15:00 PM</stp>
        <stp>04/10/2016 5:15:00 PM</stp>
        <stp>[Andrea New RollM.xlsm]DB!R224C15</stp>
        <stp>BarSz=60</stp>
        <stp>BarTp=T</stp>
        <stp>RecurDaily=True</stp>
        <stp>TZ=London</stp>
        <stp>DTS=H</stp>
        <tr r="O224" s="23"/>
      </tp>
    </main>
    <main first="bloomberg.rtd">
      <tp>
        <v>2.3140000000000001</v>
        <stp/>
        <stp>##V3_BDPV12</stp>
        <stp>IT0005083057@CBBT Corp</stp>
        <stp>YAS_BOND_YLD</stp>
        <stp>[Andrea New RollM.xlsm]DB!R116C19</stp>
        <stp>SETTLE_DT=20160909</stp>
        <stp>YAS_BOND_PX=120.47</stp>
        <tr r="S116" s="23"/>
      </tp>
      <tp>
        <v>103.027</v>
        <stp/>
        <stp>##V3_BDHV12</stp>
        <stp>PTOTEROE0014@CBBT Corp</stp>
        <stp>OPEN</stp>
        <stp>09/09/2016 4:15:00 PM</stp>
        <stp>09/09/2016 5:15:00 PM</stp>
        <stp>[Andrea New RollM.xlsm]DB!R234C16</stp>
        <stp>BarSz=60</stp>
        <stp>BarTp=T</stp>
        <stp>RecurDaily=True</stp>
        <stp>TZ=London</stp>
        <stp>DTS=H</stp>
        <tr r="P234" s="23"/>
      </tp>
    </main>
    <main first="bloomberg.rtd">
      <tp>
        <v>-0.38600000000000001</v>
        <stp/>
        <stp>##V3_BDPV12</stp>
        <stp>EUSWEI CMPN Curncy</stp>
        <stp>bid</stp>
        <stp>[Andrea New RollM.xlsm]Crv!R19C4</stp>
        <tr r="D19" s="1"/>
      </tp>
      <tp>
        <v>-0.63700000000000001</v>
        <stp/>
        <stp>##V3_BDPV12</stp>
        <stp>DE0001104644@CBBT Corp</stp>
        <stp>YAS_BOND_YLD</stp>
        <stp>[Andrea New RollM.xlsm]DB!R137C19</stp>
        <stp>SETTLE_DT=20160909</stp>
        <stp>YAS_BOND_PX=101.133</stp>
        <tr r="S137" s="23"/>
      </tp>
      <tp>
        <v>-0.629</v>
        <stp/>
        <stp>##V3_BDPV12</stp>
        <stp>DE0001104610@CBBT Corp</stp>
        <stp>YAS_BOND_YLD</stp>
        <stp>[Andrea New RollM.xlsm]DB!R130C19</stp>
        <stp>SETTLE_DT=20160909</stp>
        <stp>YAS_BOND_PX=100.643</stp>
        <tr r="S130" s="23"/>
      </tp>
      <tp>
        <v>-0.624</v>
        <stp/>
        <stp>##V3_BDPV12</stp>
        <stp>DE0001135374@CBBT Corp</stp>
        <stp>YAS_BOND_YLD</stp>
        <stp>[Andrea New RollM.xlsm]DB!R141C19</stp>
        <stp>SETTLE_DT=20160909</stp>
        <stp>YAS_BOND_PX=110.254</stp>
        <tr r="S141" s="23"/>
      </tp>
      <tp>
        <v>-0.23699999999999999</v>
        <stp/>
        <stp>##V3_BDPV12</stp>
        <stp>EUSWE6 CMPN Curncy</stp>
        <stp>bid</stp>
        <stp>[Andrea New RollM.xlsm]Crv!R29C4</stp>
        <tr r="D29" s="1"/>
      </tp>
      <tp>
        <v>-0.43099999999999999</v>
        <stp/>
        <stp>##V3_BDPV12</stp>
        <stp>DE0001135499@CBBT Corp</stp>
        <stp>YAS_BOND_YLD</stp>
        <stp>[Andrea New RollM.xlsm]DB!R158C17</stp>
        <stp>SETTLE_DT=20161011</stp>
        <stp>YAS_BOND_PX=111.562</stp>
        <tr r="Q158" s="23"/>
      </tp>
      <tp>
        <v>-0.61399999999999999</v>
        <stp/>
        <stp>##V3_BDPV12</stp>
        <stp>DE0001135382@CBBT Corp</stp>
        <stp>YAS_BOND_YLD</stp>
        <stp>[Andrea New RollM.xlsm]DB!R144C19</stp>
        <stp>SETTLE_DT=20160909</stp>
        <stp>YAS_BOND_PX=111.726</stp>
        <tr r="S144" s="23"/>
      </tp>
      <tp>
        <v>101.375</v>
        <stp/>
        <stp>##V3_BDPV12</stp>
        <stp>IT0004716319 Corp</stp>
        <stp>ASK</stp>
        <stp>[Andrea New RollM.xlsm]CCT!R8C9</stp>
        <tr r="I8" s="27"/>
      </tp>
      <tp>
        <v>101.765</v>
        <stp/>
        <stp>##V3_BDPV12</stp>
        <stp>IT0004809809 Corp</stp>
        <stp>ASK</stp>
        <stp>[Andrea New RollM.xlsm]CCT!R6C9</stp>
        <tr r="I6" s="27"/>
      </tp>
      <tp>
        <v>0.43099999999999999</v>
        <stp/>
        <stp>##V3_BDPV12</stp>
        <stp>IT0005216491@CBBT Corp</stp>
        <stp>YAS_BOND_YLD</stp>
        <stp>[Andrea New RollM.xlsm]DB!R61C17</stp>
        <stp>SETTLE_DT=20161011</stp>
        <stp>YAS_BOND_PX=99.6</stp>
        <tr r="Q61" s="23"/>
      </tp>
      <tp>
        <v>-0.46700000000000003</v>
        <stp/>
        <stp>##V3_BDPV12</stp>
        <stp>IE00B28HXX02@CBBT Corp</stp>
        <stp>YAS_BOND_YLD</stp>
        <stp>[Andrea New RollM.xlsm]DB!R238C17</stp>
        <stp>SETTLE_DT=20161011</stp>
        <stp>YAS_BOND_PX=110.1</stp>
        <tr r="Q238" s="23"/>
      </tp>
      <tp>
        <v>108.38</v>
        <stp/>
        <stp>##V3_BDHV12</stp>
        <stp>PTOTEYOE0007@CBBT Corp</stp>
        <stp>OPEN</stp>
        <stp>04/10/2016 4:15:00 PM</stp>
        <stp>04/10/2016 5:15:00 PM</stp>
        <stp>[Andrea New RollM.xlsm]DB!R227C15</stp>
        <stp>BarSz=60</stp>
        <stp>BarTp=T</stp>
        <stp>RecurDaily=True</stp>
        <stp>TZ=London</stp>
        <stp>DTS=H</stp>
        <tr r="O227" s="23"/>
      </tp>
      <tp>
        <v>109.997</v>
        <stp/>
        <stp>##V3_BDHV12</stp>
        <stp>PTOTEMOE0027@CBBT Corp</stp>
        <stp>OPEN</stp>
        <stp>04/10/2016 4:15:00 PM</stp>
        <stp>04/10/2016 5:15:00 PM</stp>
        <stp>[Andrea New RollM.xlsm]DB!R225C15</stp>
        <stp>BarSz=60</stp>
        <stp>BarTp=T</stp>
        <stp>RecurDaily=True</stp>
        <stp>TZ=London</stp>
        <stp>DTS=H</stp>
        <tr r="O225" s="23"/>
      </tp>
      <tp>
        <v>100.435</v>
        <stp/>
        <stp>##V3_BDHV12</stp>
        <stp>PTOTE5OE0007@CBBT Corp</stp>
        <stp>OPEN</stp>
        <stp>04/10/2016 4:15:00 PM</stp>
        <stp>04/10/2016 5:15:00 PM</stp>
        <stp>[Andrea New RollM.xlsm]DB!R235C15</stp>
        <stp>BarSz=60</stp>
        <stp>BarTp=T</stp>
        <stp>RecurDaily=True</stp>
        <stp>TZ=London</stp>
        <stp>DTS=H</stp>
        <tr r="O235" s="23"/>
      </tp>
      <tp>
        <v>96.018000000000001</v>
        <stp/>
        <stp>##V3_BDHV12</stp>
        <stp>PTOTETOE0012@CBBT Corp</stp>
        <stp>OPEN</stp>
        <stp>11/10/2016 4:15:00 PM</stp>
        <stp>11/10/2016 5:15:00 PM</stp>
        <stp>[Andrea New RollM.xlsm]DB!R232C14</stp>
        <stp>BarSz=60</stp>
        <stp>BarTp=T</stp>
        <stp>RecurDaily=True</stp>
        <stp>TZ=London</stp>
        <stp>DTS=H</stp>
        <tr r="N232" s="23"/>
      </tp>
    </main>
    <main first="bloomberg.rtd">
      <tp>
        <v>-1E-3</v>
        <stp/>
        <stp>##V3_BDPV12</stp>
        <stp>IE00B4S3JD47@CBBT Corp</stp>
        <stp>YAS_BOND_YLD</stp>
        <stp>[Andrea New RollM.xlsm]DB!R244C19</stp>
        <stp>SETTLE_DT=20160909</stp>
        <stp>YAS_BOND_PX=125.46</stp>
        <tr r="S244" s="23"/>
      </tp>
      <tp>
        <v>-0.371</v>
        <stp/>
        <stp>##V3_BDPV12</stp>
        <stp>EUSWEH CMPN Curncy</stp>
        <stp>bid</stp>
        <stp>[Andrea New RollM.xlsm]Crv!R18C4</stp>
        <tr r="D18" s="1"/>
      </tp>
      <tp t="s">
        <v>01/03/2017</v>
        <stp/>
        <stp>##V3_BDPV12</stp>
        <stp>IT0004584204 Corp</stp>
        <stp>NXT_CPN_DT</stp>
        <stp>[Andrea New RollM.xlsm]CCT!R5C23</stp>
        <tr r="W5" s="27"/>
      </tp>
    </main>
    <main first="marketviewexcelplugin.mkvxp">
      <tp>
        <v>141.565</v>
        <stp/>
        <stp>0</stp>
        <stp>EUR.PRICING_MAIN.PXE.IE00B4TV0D44</stp>
        <stp>CurrentClosingPriceMid</stp>
        <tr r="L246" s="23"/>
      </tp>
    </main>
    <main first="bloomberg.rtd">
      <tp>
        <v>-0.69699999999999995</v>
        <stp/>
        <stp>##V3_BDPV12</stp>
        <stp>DE0001135341@CBBT Corp</stp>
        <stp>YAS_BOND_YLD</stp>
        <stp>[Andrea New RollM.xlsm]DB!R133C17</stp>
        <stp>SETTLE_DT=20161011</stp>
        <stp>YAS_BOND_PX=105.836</stp>
        <tr r="Q133" s="23"/>
      </tp>
      <tp>
        <v>-0.53100000000000003</v>
        <stp/>
        <stp>##V3_BDPV12</stp>
        <stp>DE0001141737@CBBT Corp</stp>
        <stp>YAS_BOND_YLD</stp>
        <stp>[Andrea New RollM.xlsm]DB!R152C19</stp>
        <stp>SETTLE_DT=20160909</stp>
        <stp>YAS_BOND_PX=102.469</stp>
        <tr r="S152" s="23"/>
      </tp>
      <tp>
        <v>-0.57299999999999995</v>
        <stp/>
        <stp>##V3_BDPV12</stp>
        <stp>DE0001135424@CBBT Corp</stp>
        <stp>YAS_BOND_YLD</stp>
        <stp>[Andrea New RollM.xlsm]DB!R151C19</stp>
        <stp>SETTLE_DT=20160909</stp>
        <stp>YAS_BOND_PX=113.479</stp>
        <tr r="S151" s="23"/>
      </tp>
      <tp>
        <v>-0.4</v>
        <stp/>
        <stp>##V3_BDPV12</stp>
        <stp>DE0001102309@CBBT Corp</stp>
        <stp>YAS_BOND_YLD</stp>
        <stp>[Andrea New RollM.xlsm]DB!R159C17</stp>
        <stp>SETTLE_DT=20161011</stp>
        <stp>YAS_BOND_PX=112.239</stp>
        <tr r="Q159" s="23"/>
      </tp>
      <tp>
        <v>-0.61799999999999999</v>
        <stp/>
        <stp>##V3_BDPV12</stp>
        <stp>DE0001135341@CBBT Corp</stp>
        <stp>YAS_BOND_YLD</stp>
        <stp>[Andrea New RollM.xlsm]DB!R133C19</stp>
        <stp>SETTLE_DT=20160909</stp>
        <stp>YAS_BOND_PX=106.141</stp>
        <tr r="S133" s="23"/>
      </tp>
      <tp>
        <v>-0.34399999999999997</v>
        <stp/>
        <stp>##V3_BDPV12</stp>
        <stp>DE0001134922@CBBT Corp</stp>
        <stp>YAS_BOND_YLD</stp>
        <stp>[Andrea New RollM.xlsm]DB!R162C17</stp>
        <stp>SETTLE_DT=20161011</stp>
        <stp>YAS_BOND_PX=148.375</stp>
        <tr r="Q162" s="23"/>
      </tp>
      <tp>
        <v>-0.3145</v>
        <stp/>
        <stp>##V3_BDPV12</stp>
        <stp>EUSWE5 CMPN Curncy</stp>
        <stp>bid</stp>
        <stp>[Andrea New RollM.xlsm]Crv!R28C4</stp>
        <tr r="D28" s="1"/>
      </tp>
      <tp>
        <v>-0.48</v>
        <stp/>
        <stp>##V3_BDPV12</stp>
        <stp>DE0001135465@CBBT Corp</stp>
        <stp>YAS_BOND_YLD</stp>
        <stp>[Andrea New RollM.xlsm]DB!R156C19</stp>
        <stp>SETTLE_DT=20160909</stp>
        <stp>YAS_BOND_PX=113.395</stp>
        <tr r="S156" s="23"/>
      </tp>
      <tp>
        <v>-0.6</v>
        <stp/>
        <stp>##V3_BDPV12</stp>
        <stp>DE0001137487@CBBT Corp</stp>
        <stp>YAS_BOND_YLD</stp>
        <stp>[Andrea New RollM.xlsm]DB!R124C19</stp>
        <stp>SETTLE_DT=20160909</stp>
        <stp>YAS_BOND_PX=100.161</stp>
        <tr r="S124" s="23"/>
      </tp>
      <tp>
        <v>-0.63800000000000001</v>
        <stp/>
        <stp>##V3_BDPV12</stp>
        <stp>DE0001137495@CBBT Corp</stp>
        <stp>YAS_BOND_YLD</stp>
        <stp>[Andrea New RollM.xlsm]DB!R126C19</stp>
        <stp>SETTLE_DT=20160909</stp>
        <stp>YAS_BOND_PX=100.319</stp>
        <tr r="S126" s="23"/>
      </tp>
      <tp>
        <v>2.3279999999999998</v>
        <stp/>
        <stp>##V3_BDPV12</stp>
        <stp>IT0004532559@CBBT Corp</stp>
        <stp>YAS_BOND_YLD</stp>
        <stp>[Andrea New RollM.xlsm]DB!R112C17</stp>
        <stp>SETTLE_DT=20161011</stp>
        <stp>YAS_BOND_PX=149.05</stp>
        <tr r="Q112" s="23"/>
      </tp>
      <tp>
        <v>100.11499999999999</v>
        <stp/>
        <stp>##V3_BDHV12</stp>
        <stp>PTOTE6OE0006@CBBT Corp</stp>
        <stp>OPEN</stp>
        <stp>04/10/2016 4:15:00 PM</stp>
        <stp>04/10/2016 5:15:00 PM</stp>
        <stp>[Andrea New RollM.xlsm]DB!R222C15</stp>
        <stp>BarSz=60</stp>
        <stp>BarTp=T</stp>
        <stp>RecurDaily=True</stp>
        <stp>TZ=London</stp>
        <stp>DTS=H</stp>
        <tr r="O222" s="23"/>
      </tp>
      <tp>
        <v>98.632000000000005</v>
        <stp/>
        <stp>##V3_BDHV12</stp>
        <stp>PTOTESOE0013@CBBT Corp</stp>
        <stp>OPEN</stp>
        <stp>11/10/2016 4:15:00 PM</stp>
        <stp>11/10/2016 5:15:00 PM</stp>
        <stp>[Andrea New RollM.xlsm]DB!R228C14</stp>
        <stp>BarSz=60</stp>
        <stp>BarTp=T</stp>
        <stp>RecurDaily=True</stp>
        <stp>TZ=London</stp>
        <stp>DTS=H</stp>
        <tr r="N228" s="23"/>
      </tp>
      <tp>
        <v>2.2170000000000001</v>
        <stp/>
        <stp>##V3_BDPV12</stp>
        <stp>ES00000128C6@CBBT Corp</stp>
        <stp>YAS_BOND_YLD</stp>
        <stp>[Andrea New RollM.xlsm]DB!R220C19</stp>
        <stp>SETTLE_DT=20160909</stp>
        <stp>YAS_BOND_PX=114.91</stp>
        <tr r="S220" s="23"/>
      </tp>
    </main>
    <main first="bloomberg.rtd">
      <tp t="s">
        <v>15/10/2016</v>
        <stp/>
        <stp>##V3_BDPV12</stp>
        <stp>IT0004716319 Corp</stp>
        <stp>NXT_CPN_DT</stp>
        <stp>[Andrea New RollM.xlsm]CCT!R8C23</stp>
        <tr r="W8" s="27"/>
      </tp>
      <tp>
        <v>-0.61499999999999999</v>
        <stp/>
        <stp>##V3_BDPV12</stp>
        <stp>DE0001141711@CBBT Corp</stp>
        <stp>YAS_BOND_YLD</stp>
        <stp>[Andrea New RollM.xlsm]DB!R147C19</stp>
        <stp>SETTLE_DT=20160909</stp>
        <stp>YAS_BOND_PX=102.249</stp>
        <tr r="S147" s="23"/>
      </tp>
      <tp>
        <v>-0.60899999999999999</v>
        <stp/>
        <stp>##V3_BDPV12</stp>
        <stp>DE0001135358@CBBT Corp</stp>
        <stp>YAS_BOND_YLD</stp>
        <stp>[Andrea New RollM.xlsm]DB!R138C19</stp>
        <stp>SETTLE_DT=20160909</stp>
        <stp>YAS_BOND_PX=108.905</stp>
        <tr r="S138" s="23"/>
      </tp>
      <tp>
        <v>-0.53400000000000003</v>
        <stp/>
        <stp>##V3_BDPV12</stp>
        <stp>DE0001135440@CBBT Corp</stp>
        <stp>YAS_BOND_YLD</stp>
        <stp>[Andrea New RollM.xlsm]DB!R153C19</stp>
        <stp>SETTLE_DT=20160909</stp>
        <stp>YAS_BOND_PX=118.513</stp>
        <tr r="S153" s="23"/>
      </tp>
      <tp>
        <v>-0.66900000000000004</v>
        <stp/>
        <stp>##V3_BDPV12</stp>
        <stp>DE0001135374@CBBT Corp</stp>
        <stp>YAS_BOND_YLD</stp>
        <stp>[Andrea New RollM.xlsm]DB!R141C17</stp>
        <stp>SETTLE_DT=20161011</stp>
        <stp>YAS_BOND_PX=109.974</stp>
        <tr r="Q141" s="23"/>
      </tp>
      <tp>
        <v>-3.7999999999999999E-2</v>
        <stp/>
        <stp>##V3_BDPV12</stp>
        <stp>DE0001102390@CBBT Corp</stp>
        <stp>YAS_BOND_YLD</stp>
        <stp>[Andrea New RollM.xlsm]DB!R168C17</stp>
        <stp>SETTLE_DT=20161011</stp>
        <stp>YAS_BOND_PX=105.039</stp>
        <tr r="Q168" s="23"/>
      </tp>
      <tp>
        <v>2.3420000000000001</v>
        <stp/>
        <stp>##V3_BDPV12</stp>
        <stp>IT0004809809 Corp</stp>
        <stp>CPN</stp>
        <stp>[Andrea New RollM.xlsm]CCT!R6C6</stp>
        <tr r="F6" s="27"/>
      </tp>
      <tp>
        <v>0.86199999999999999</v>
        <stp/>
        <stp>##V3_BDPV12</stp>
        <stp>IT0004716319 Corp</stp>
        <stp>CPN</stp>
        <stp>[Andrea New RollM.xlsm]CCT!R8C6</stp>
        <tr r="F8" s="27"/>
      </tp>
      <tp>
        <v>0.498</v>
        <stp/>
        <stp>##V3_BDPV12</stp>
        <stp>DE0001135366@CBBT Corp</stp>
        <stp>YAS_BOND_YLD</stp>
        <stp>[Andrea New RollM.xlsm]DB!R178C19</stp>
        <stp>SETTLE_DT=20160909</stp>
        <stp>YAS_BOND_PX=195.26</stp>
        <tr r="S178" s="23"/>
      </tp>
    </main>
    <main first="bloomberg.rtd">
      <tp>
        <v>0.47399999999999998</v>
        <stp/>
        <stp>##V3_BDPV12</stp>
        <stp>DE0001135325@CBBT Corp</stp>
        <stp>YAS_BOND_YLD</stp>
        <stp>[Andrea New RollM.xlsm]DB!R177C19</stp>
        <stp>SETTLE_DT=20160909</stp>
        <stp>YAS_BOND_PX=181.48</stp>
        <tr r="S177" s="23"/>
      </tp>
      <tp>
        <v>-0.63100000000000001</v>
        <stp/>
        <stp>##V3_BDPV12</stp>
        <stp>DE0001141653@CBBT Corp</stp>
        <stp>YAS_BOND_YLD</stp>
        <stp>[Andrea New RollM.xlsm]DB!R134C19</stp>
        <stp>SETTLE_DT=20160909</stp>
        <stp>YAS_BOND_PX=101.66</stp>
        <tr r="S134" s="23"/>
      </tp>
      <tp>
        <v>0.18099999999999999</v>
        <stp/>
        <stp>##V3_BDPV12</stp>
        <stp>DE0001135176@CBBT Corp</stp>
        <stp>YAS_BOND_YLD</stp>
        <stp>[Andrea New RollM.xlsm]DB!R174C19</stp>
        <stp>SETTLE_DT=20160909</stp>
        <stp>YAS_BOND_PX=175.12</stp>
        <tr r="S174" s="23"/>
      </tp>
      <tp>
        <v>-0.64700000000000002</v>
        <stp/>
        <stp>##V3_BDPV12</stp>
        <stp>DE0001141661@CBBT Corp</stp>
        <stp>YAS_BOND_YLD</stp>
        <stp>[Andrea New RollM.xlsm]DB!R136C19</stp>
        <stp>SETTLE_DT=20160909</stp>
        <stp>YAS_BOND_PX=101.44</stp>
        <tr r="S136" s="23"/>
      </tp>
      <tp>
        <v>104.44</v>
        <stp/>
        <stp>##V3_BDHV12</stp>
        <stp>PTOTELOE0010@CBBT Corp</stp>
        <stp>OPEN</stp>
        <stp>11/10/2016 4:15:00 PM</stp>
        <stp>11/10/2016 5:15:00 PM</stp>
        <stp>[Andrea New RollM.xlsm]DB!R223C14</stp>
        <stp>BarSz=60</stp>
        <stp>BarTp=T</stp>
        <stp>RecurDaily=True</stp>
        <stp>TZ=London</stp>
        <stp>DTS=H</stp>
        <tr r="N223" s="23"/>
      </tp>
      <tp>
        <v>116.613</v>
        <stp/>
        <stp>##V3_BDHV12</stp>
        <stp>PTOTEQOE0015@CBBT Corp</stp>
        <stp>OPEN</stp>
        <stp>04/10/2016 4:15:00 PM</stp>
        <stp>04/10/2016 5:15:00 PM</stp>
        <stp>[Andrea New RollM.xlsm]DB!R230C15</stp>
        <stp>BarSz=60</stp>
        <stp>BarTp=T</stp>
        <stp>RecurDaily=True</stp>
        <stp>TZ=London</stp>
        <stp>DTS=H</stp>
        <tr r="O230" s="23"/>
      </tp>
      <tp>
        <v>97.277000000000001</v>
        <stp/>
        <stp>##V3_BDHV12</stp>
        <stp>PTOTEBOE0020@CBBT Corp</stp>
        <stp>OPEN</stp>
        <stp>11/10/2016 4:15:00 PM</stp>
        <stp>11/10/2016 5:15:00 PM</stp>
        <stp>[Andrea New RollM.xlsm]DB!R233C14</stp>
        <stp>BarSz=60</stp>
        <stp>BarTp=T</stp>
        <stp>RecurDaily=True</stp>
        <stp>TZ=London</stp>
        <stp>DTS=H</stp>
        <tr r="N233" s="23"/>
      </tp>
      <tp>
        <v>97.277000000000001</v>
        <stp/>
        <stp>##V3_BDHV12</stp>
        <stp>PTOTEBOE0020@CBBT Corp</stp>
        <stp>OPEN</stp>
        <stp>11/10/2016 4:15:00 PM</stp>
        <stp>11/10/2016 5:15:00 PM</stp>
        <stp>[Andrea New RollM.xlsm]DB!R236C14</stp>
        <stp>BarSz=60</stp>
        <stp>BarTp=T</stp>
        <stp>RecurDaily=True</stp>
        <stp>TZ=London</stp>
        <stp>DTS=H</stp>
        <tr r="N236" s="23"/>
      </tp>
      <tp>
        <v>1.1120000000000001</v>
        <stp/>
        <stp>##V3_BDPV12</stp>
        <stp>ES00000123C7@CBBT Corp</stp>
        <stp>YAS_BOND_YLD</stp>
        <stp>[Andrea New RollM.xlsm]DB!R210C19</stp>
        <stp>SETTLE_DT=20160909</stp>
        <stp>YAS_BOND_PX=144.59</stp>
        <tr r="S210" s="23"/>
      </tp>
      <tp>
        <v>1.3360000000000001</v>
        <stp/>
        <stp>##V3_BDPV12</stp>
        <stp>ES00000124C5@CBBT Corp</stp>
        <stp>YAS_BOND_YLD</stp>
        <stp>[Andrea New RollM.xlsm]DB!R212C19</stp>
        <stp>SETTLE_DT=20160909</stp>
        <stp>YAS_BOND_PX=142.49</stp>
        <tr r="S212" s="23"/>
      </tp>
      <tp>
        <v>111.702</v>
        <stp/>
        <stp>##V3_BDHV12</stp>
        <stp>PTOTECOE0029@CBBT Corp</stp>
        <stp>OPEN</stp>
        <stp>09/09/2016 4:15:00 PM</stp>
        <stp>09/09/2016 5:15:00 PM</stp>
        <stp>[Andrea New RollM.xlsm]DB!R226C16</stp>
        <stp>BarSz=60</stp>
        <stp>BarTp=T</stp>
        <stp>RecurDaily=True</stp>
        <stp>TZ=London</stp>
        <stp>DTS=H</stp>
        <tr r="P226" s="23"/>
      </tp>
    </main>
    <main first="bloomberg.rtd">
      <tp>
        <v>-0.61399999999999999</v>
        <stp/>
        <stp>##V3_BDPV12</stp>
        <stp>DE0001135408@CBBT Corp</stp>
        <stp>YAS_BOND_YLD</stp>
        <stp>[Andrea New RollM.xlsm]DB!R148C17</stp>
        <stp>SETTLE_DT=20161011</stp>
        <stp>YAS_BOND_PX=113.675</stp>
        <tr r="Q148" s="23"/>
      </tp>
      <tp>
        <v>-0.66600000000000004</v>
        <stp/>
        <stp>##V3_BDPV12</stp>
        <stp>DE0001104636@CBBT Corp</stp>
        <stp>YAS_BOND_YLD</stp>
        <stp>[Andrea New RollM.xlsm]DB!R135C17</stp>
        <stp>SETTLE_DT=20161011</stp>
        <stp>YAS_BOND_PX=100.958</stp>
        <tr r="Q135" s="23"/>
      </tp>
      <tp>
        <v>-0.57399999999999995</v>
        <stp/>
        <stp>##V3_BDPV12</stp>
        <stp>DE0001135333@CBBT Corp</stp>
        <stp>YAS_BOND_YLD</stp>
        <stp>[Andrea New RollM.xlsm]DB!R129C19</stp>
        <stp>SETTLE_DT=20160909</stp>
        <stp>YAS_BOND_PX=103.961</stp>
        <tr r="S129" s="23"/>
      </tp>
      <tp>
        <v>-0.45900000000000002</v>
        <stp/>
        <stp>##V3_BDPV12</stp>
        <stp>DE0001135473@CBBT Corp</stp>
        <stp>YAS_BOND_YLD</stp>
        <stp>[Andrea New RollM.xlsm]DB!R157C19</stp>
        <stp>SETTLE_DT=20160909</stp>
        <stp>YAS_BOND_PX=113.053</stp>
        <tr r="S157" s="23"/>
      </tp>
      <tp>
        <v>-0.70499999999999996</v>
        <stp/>
        <stp>##V3_BDPV12</stp>
        <stp>DE0001104602@CBBT Corp</stp>
        <stp>YAS_BOND_YLD</stp>
        <stp>[Andrea New RollM.xlsm]DB!R128C17</stp>
        <stp>SETTLE_DT=20161011</stp>
        <stp>YAS_BOND_PX=100.481</stp>
        <tr r="Q128" s="23"/>
      </tp>
      <tp>
        <v>0.62</v>
        <stp/>
        <stp>##V3_BDPV12</stp>
        <stp>DE0001102341@CBBT Corp</stp>
        <stp>YAS_BOND_YLD</stp>
        <stp>[Andrea New RollM.xlsm]DB!R181C19</stp>
        <stp>SETTLE_DT=20160909</stp>
        <stp>YAS_BOND_PX=151.199</stp>
        <tr r="S181" s="23"/>
      </tp>
      <tp>
        <v>-0.59499999999999997</v>
        <stp/>
        <stp>##V3_BDPV12</stp>
        <stp>DE0001141620@CBBT Corp</stp>
        <stp>YAS_BOND_YLD</stp>
        <stp>[Andrea New RollM.xlsm]DB!R125C19</stp>
        <stp>SETTLE_DT=20160909</stp>
        <stp>YAS_BOND_PX=100.62</stp>
        <tr r="S125" s="23"/>
      </tp>
    </main>
    <main first="bloomberg.rtd">
      <tp>
        <v>113.167</v>
        <stp/>
        <stp>##V3_BDHV12</stp>
        <stp>PTOTEAOE0021@CBBT Corp</stp>
        <stp>OPEN</stp>
        <stp>11/10/2016 4:15:00 PM</stp>
        <stp>11/10/2016 5:15:00 PM</stp>
        <stp>[Andrea New RollM.xlsm]DB!R229C14</stp>
        <stp>BarSz=60</stp>
        <stp>BarTp=T</stp>
        <stp>RecurDaily=True</stp>
        <stp>TZ=London</stp>
        <stp>DTS=H</stp>
        <tr r="N229" s="23"/>
      </tp>
      <tp>
        <v>100.563</v>
        <stp/>
        <stp>##V3_BDHV12</stp>
        <stp>PTOTEROE0014@CBBT Corp</stp>
        <stp>OPEN</stp>
        <stp>04/10/2016 4:15:00 PM</stp>
        <stp>04/10/2016 5:15:00 PM</stp>
        <stp>[Andrea New RollM.xlsm]DB!R234C15</stp>
        <stp>BarSz=60</stp>
        <stp>BarTp=T</stp>
        <stp>RecurDaily=True</stp>
        <stp>TZ=London</stp>
        <stp>DTS=H</stp>
        <tr r="O234" s="23"/>
      </tp>
      <tp>
        <v>97.715000000000003</v>
        <stp/>
        <stp>##V3_BDHV12</stp>
        <stp>PTOTEKOE0011@CBBT Corp</stp>
        <stp>OPEN</stp>
        <stp>11/10/2016 4:15:00 PM</stp>
        <stp>11/10/2016 5:15:00 PM</stp>
        <stp>[Andrea New RollM.xlsm]DB!R231C14</stp>
        <stp>BarSz=60</stp>
        <stp>BarTp=T</stp>
        <stp>RecurDaily=True</stp>
        <stp>TZ=London</stp>
        <stp>DTS=H</stp>
        <tr r="N231" s="23"/>
      </tp>
    </main>
    <main first="bloomberg.rtd">
      <tp>
        <v>101.36499999999999</v>
        <stp/>
        <stp>##V3_BDPV12</stp>
        <stp>IT0004716319 Corp</stp>
        <stp>BID</stp>
        <stp>[Andrea New RollM.xlsm]CCT!R8C7</stp>
        <tr r="G8" s="27"/>
      </tp>
      <tp>
        <v>1.1140000000000001</v>
        <stp/>
        <stp>##V3_BDPV12</stp>
        <stp>FR0011461037@CBBT Corp</stp>
        <stp>YAS_BOND_YLD</stp>
        <stp>[Andrea New RollM.xlsm]DB!R115C19</stp>
        <stp>SETTLE_DT=20160909</stp>
        <stp>YAS_BOND_PX=152.22</stp>
        <tr r="S115" s="23"/>
      </tp>
      <tp>
        <v>1.085</v>
        <stp/>
        <stp>##V3_BDPV12</stp>
        <stp>ES00000127Z9@CBBT Corp</stp>
        <stp>YAS_BOND_YLD</stp>
        <stp>[Andrea New RollM.xlsm]DB!R209C19</stp>
        <stp>SETTLE_DT=20160909</stp>
        <stp>YAS_BOND_PX=107.87</stp>
        <tr r="S209" s="23"/>
      </tp>
      <tp>
        <v>101.76</v>
        <stp/>
        <stp>##V3_BDPV12</stp>
        <stp>IT0004809809 Corp</stp>
        <stp>BID</stp>
        <stp>[Andrea New RollM.xlsm]CCT!R6C7</stp>
        <tr r="G6" s="27"/>
      </tp>
      <tp>
        <v>106.88200000000001</v>
        <stp/>
        <stp>##V3_BDHV12</stp>
        <stp>PTOTENOE0018@CBBT Corp</stp>
        <stp>OPEN</stp>
        <stp>09/09/2016 4:15:00 PM</stp>
        <stp>09/09/2016 5:15:00 PM</stp>
        <stp>[Andrea New RollM.xlsm]DB!R224C16</stp>
        <stp>BarSz=60</stp>
        <stp>BarTp=T</stp>
        <stp>RecurDaily=True</stp>
        <stp>TZ=London</stp>
        <stp>DTS=H</stp>
        <tr r="P224" s="23"/>
      </tp>
      <tp>
        <v>0.63800000000000001</v>
        <stp/>
        <stp>##V3_BDPV12</stp>
        <stp>ES00000123X3@CBBT Corp</stp>
        <stp>YAS_BOND_YLD</stp>
        <stp>[Andrea New RollM.xlsm]DB!R202C19</stp>
        <stp>SETTLE_DT=20160909</stp>
        <stp>YAS_BOND_PX=126.18</stp>
        <tr r="S202" s="23"/>
      </tp>
    </main>
    <main first="marketviewexcelplugin.mkvxp">
      <tp>
        <v>5.5</v>
        <stp/>
        <stp>0</stp>
        <stp>EUR.CM_INSTRUMENT.PXE.IT0004848831</stp>
        <stp>CouponInterest</stp>
        <tr r="B42" s="7"/>
      </tp>
      <tp>
        <v>0.75</v>
        <stp/>
        <stp>0</stp>
        <stp>EUR.CM_INSTRUMENT.PXE.IT0005058463</stp>
        <stp>CouponInterest</stp>
        <tr r="B11" s="7"/>
      </tp>
      <tp>
        <v>2.15</v>
        <stp/>
        <stp>0</stp>
        <stp>EUR.CM_INSTRUMENT.PXE.IT0005028003</stp>
        <stp>CouponInterest</stp>
        <tr r="B37" s="7"/>
      </tp>
      <tp>
        <v>4.5</v>
        <stp/>
        <stp>0</stp>
        <stp>EUR.CM_INSTRUMENT.PXE.IT0004898034</stp>
        <stp>CouponInterest</stp>
        <tr r="B44" s="7"/>
      </tp>
      <tp>
        <v>5.25</v>
        <stp/>
        <stp>0</stp>
        <stp>EUR.CM_INSTRUMENT.PXE.IT0001278511</stp>
        <stp>CouponInterest</stp>
        <tr r="B60" s="7"/>
      </tp>
    </main>
    <main first="marketviewexcelplugin.mkvxp">
      <tp>
        <v>4.0508850000000001</v>
        <stp/>
        <stp>0</stp>
        <stp>EUR.PRICING_MAIN.PXE.PTOTE5OE0007</stp>
        <stp>CurrentClosingYieldMid</stp>
        <tr r="J235" s="23"/>
      </tp>
      <tp>
        <v>-1.23031</v>
        <stp/>
        <stp>0</stp>
        <stp>EUR.PRICING_MAIN.PXE.PTOTE6OE0006</stp>
        <stp>CurrentClosingYieldMid</stp>
        <tr r="J222" s="23"/>
      </tp>
    </main>
    <main first="bloomberg.rtd">
      <tp t="s">
        <v>15/04/2016</v>
        <stp/>
        <stp>##V3_BDPV12</stp>
        <stp>IT0004652175 Corp</stp>
        <stp>PREV_CPN_DT</stp>
        <stp>[Andrea New RollM.xlsm]CCT!R7C24</stp>
        <tr r="X7" s="27"/>
      </tp>
    </main>
    <main first="marketviewexcelplugin.mkvxp">
      <tp>
        <v>3.357958</v>
        <stp/>
        <stp>0</stp>
        <stp>EUR.PRICING_MAIN.PXE.PTOTETOE0012</stp>
        <stp>CurrentClosingYieldMid</stp>
        <tr r="J232" s="23"/>
      </tp>
      <tp>
        <v>3.0953919999999999</v>
        <stp/>
        <stp>0</stp>
        <stp>EUR.PRICING_MAIN.PXE.PTOTEQOE0015</stp>
        <stp>CurrentClosingYieldMid</stp>
        <tr r="J230" s="23"/>
      </tp>
      <tp>
        <v>2.446895</v>
        <stp/>
        <stp>0</stp>
        <stp>EUR.PRICING_MAIN.PXE.PTOTESOE0013</stp>
        <stp>CurrentClosingYieldMid</stp>
        <tr r="J228" s="23"/>
      </tp>
      <tp>
        <v>3.8214779999999999</v>
        <stp/>
        <stp>0</stp>
        <stp>EUR.PRICING_MAIN.PXE.PTOTEROE0014</stp>
        <stp>CurrentClosingYieldMid</stp>
        <tr r="J234" s="23"/>
      </tp>
      <tp>
        <v>1.8995489999999999</v>
        <stp/>
        <stp>0</stp>
        <stp>EUR.PRICING_MAIN.PXE.PTOTEYOE0007</stp>
        <stp>CurrentClosingYieldMid</stp>
        <tr r="J227" s="23"/>
      </tp>
    </main>
    <main first="bloomberg.rtd">
      <tp>
        <v>-0.38400000000000001</v>
        <stp/>
        <stp>##V3_BDPV12</stp>
        <stp>DE0001102317@CBBT Corp</stp>
        <stp>YAS_BOND_YLD</stp>
        <stp>[Andrea New RollM.xlsm]DB!R160C19</stp>
        <stp>SETTLE_DT=20160909</stp>
        <stp>YAS_BOND_PX=112.773</stp>
        <tr r="S160" s="23"/>
      </tp>
      <tp>
        <v>-0.36899999999999999</v>
        <stp/>
        <stp>##V3_BDPV12</stp>
        <stp>DE0001102325@CBBT Corp</stp>
        <stp>YAS_BOND_YLD</stp>
        <stp>[Andrea New RollM.xlsm]DB!R161C19</stp>
        <stp>SETTLE_DT=20160909</stp>
        <stp>YAS_BOND_PX=116.662</stp>
        <tr r="S161" s="23"/>
      </tp>
      <tp>
        <v>-0.34599999999999997</v>
        <stp/>
        <stp>##V3_BDPV12</stp>
        <stp>DE0001141612@CBBT Corp</stp>
        <stp>YAS_BOND_YLD</stp>
        <stp>[Andrea New RollM.xlsm]DB!R123C19</stp>
        <stp>SETTLE_DT=20160909</stp>
        <stp>YAS_BOND_PX=100.153</stp>
        <tr r="S123" s="23"/>
      </tp>
    </main>
    <main first="marketviewexcelplugin.mkvxp">
      <tp>
        <v>2.855359</v>
        <stp/>
        <stp>0</stp>
        <stp>EUR.PRICING_MAIN.PXE.PTOTEAOE0021</stp>
        <stp>CurrentClosingYieldMid</stp>
        <tr r="J229" s="23"/>
      </tp>
    </main>
    <main first="bloomberg.rtd">
      <tp>
        <v>-0.19400000000000001</v>
        <stp/>
        <stp>##V3_BDPV12</stp>
        <stp>DE0001102374@CBBT Corp</stp>
        <stp>YAS_BOND_YLD</stp>
        <stp>[Andrea New RollM.xlsm]DB!R166C17</stp>
        <stp>SETTLE_DT=20161011</stp>
        <stp>YAS_BOND_PX=105.847</stp>
        <tr r="Q166" s="23"/>
      </tp>
      <tp>
        <v>-0.122</v>
        <stp/>
        <stp>##V3_BDPV12</stp>
        <stp>DE0001102382@CBBT Corp</stp>
        <stp>YAS_BOND_YLD</stp>
        <stp>[Andrea New RollM.xlsm]DB!R167C17</stp>
        <stp>SETTLE_DT=20161011</stp>
        <stp>YAS_BOND_PX=109.983</stp>
        <tr r="Q167" s="23"/>
      </tp>
    </main>
    <main first="marketviewexcelplugin.mkvxp">
      <tp>
        <v>1.6193310000000001</v>
        <stp/>
        <stp>0</stp>
        <stp>EUR.PRICING_MAIN.PXE.PTOTECOE0029</stp>
        <stp>CurrentClosingYieldMid</stp>
        <tr r="J226" s="23"/>
      </tp>
      <tp>
        <v>4.2653999999999996</v>
        <stp/>
        <stp>0</stp>
        <stp>EUR.PRICING_MAIN.PXE.PTOTEBOE0020</stp>
        <stp>CurrentClosingYieldMid</stp>
        <tr r="J233" s="23"/>
        <tr r="J236" s="23"/>
      </tp>
      <tp>
        <v>0.90061500000000005</v>
        <stp/>
        <stp>0</stp>
        <stp>EUR.PRICING_MAIN.PXE.PTOTEMOE0027</stp>
        <stp>CurrentClosingYieldMid</stp>
        <tr r="J225" s="23"/>
      </tp>
    </main>
    <main first="bloomberg.rtd">
      <tp>
        <v>-0.63700000000000001</v>
        <stp/>
        <stp>##V3_BDPV12</stp>
        <stp>DE0001141687@CBBT Corp</stp>
        <stp>YAS_BOND_YLD</stp>
        <stp>[Andrea New RollM.xlsm]DB!R142C19</stp>
        <stp>SETTLE_DT=20160909</stp>
        <stp>YAS_BOND_PX=104.061</stp>
        <tr r="S142" s="23"/>
      </tp>
    </main>
    <main first="marketviewexcelplugin.mkvxp">
      <tp>
        <v>-5.6356999999999997E-2</v>
        <stp/>
        <stp>0</stp>
        <stp>EUR.PRICING_MAIN.PXE.PTOTELOE0010</stp>
        <stp>CurrentClosingYieldMid</stp>
        <tr r="J223" s="23"/>
      </tp>
    </main>
    <main first="bloomberg.rtd">
      <tp>
        <v>0.58499999999999996</v>
        <stp/>
        <stp>##V3_BDPV12</stp>
        <stp>DE0001135481@CBBT Corp</stp>
        <stp>YAS_BOND_YLD</stp>
        <stp>[Andrea New RollM.xlsm]DB!R180C19</stp>
        <stp>SETTLE_DT=20160909</stp>
        <stp>YAS_BOND_PX=149.012</stp>
        <tr r="S180" s="23"/>
      </tp>
    </main>
    <main first="marketviewexcelplugin.mkvxp">
      <tp>
        <v>123.745</v>
        <stp/>
        <stp>0</stp>
        <stp>EUR.PRICING_MAIN.PXE.IE00B6X95T99</stp>
        <stp>CurrentClosingPriceMid</stp>
        <tr r="L245" s="23"/>
      </tp>
      <tp>
        <v>0.28379900000000002</v>
        <stp/>
        <stp>0</stp>
        <stp>EUR.PRICING_MAIN.PXE.PTOTENOE0018</stp>
        <stp>CurrentClosingYieldMid</stp>
        <tr r="J224" s="23"/>
      </tp>
    </main>
    <main first="bloomberg.rtd">
      <tp>
        <v>5.0000000000000001E-3</v>
        <stp/>
        <stp>##V3_BDPV12</stp>
        <stp>DE0001135069@CBBT Corp</stp>
        <stp>YAS_BOND_YLD</stp>
        <stp>[Andrea New RollM.xlsm]DB!R171C19</stp>
        <stp>SETTLE_DT=20160909</stp>
        <stp>YAS_BOND_PX=163.592</stp>
        <tr r="S171" s="23"/>
      </tp>
      <tp>
        <v>-0.443</v>
        <stp/>
        <stp>##V3_BDPV12</stp>
        <stp>DE0001135499@CBBT Corp</stp>
        <stp>YAS_BOND_YLD</stp>
        <stp>[Andrea New RollM.xlsm]DB!R158C19</stp>
        <stp>SETTLE_DT=20160909</stp>
        <stp>YAS_BOND_PX=111.811</stp>
        <tr r="S158" s="23"/>
      </tp>
    </main>
    <main first="marketviewexcelplugin.mkvxp">
      <tp>
        <v>3.1699679999999999</v>
        <stp/>
        <stp>0</stp>
        <stp>EUR.PRICING_MAIN.PXE.PTOTEKOE0011</stp>
        <stp>CurrentClosingYieldMid</stp>
        <tr r="J231" s="23"/>
      </tp>
    </main>
    <main first="bloomberg.rtd">
      <tp>
        <v>-0.19900000000000001</v>
        <stp/>
        <stp>##V3_BDPV12</stp>
        <stp>DE0001102374@CBBT Corp</stp>
        <stp>YAS_BOND_YLD</stp>
        <stp>[Andrea New RollM.xlsm]DB!R166C19</stp>
        <stp>SETTLE_DT=20160909</stp>
        <stp>YAS_BOND_PX=105.95</stp>
        <tr r="S166" s="23"/>
      </tp>
    </main>
    <main first="bloomberg.rtd">
      <tp>
        <v>-0.58399999999999996</v>
        <stp/>
        <stp>##V3_BDPV12</stp>
        <stp>DE0001141729@CBBT Corp</stp>
        <stp>YAS_BOND_YLD</stp>
        <stp>[Andrea New RollM.xlsm]DB!R150C19</stp>
        <stp>SETTLE_DT=20160909</stp>
        <stp>YAS_BOND_PX=103.47</stp>
        <tr r="S150" s="23"/>
      </tp>
      <tp>
        <v>-0.247</v>
        <stp/>
        <stp>##V3_BDPV12</stp>
        <stp>ES0000012783@CBBT Corp</stp>
        <stp>YAS_BOND_YLD</stp>
        <stp>[Andrea New RollM.xlsm]DB!R185C17</stp>
        <stp>SETTLE_DT=20161011</stp>
        <stp>YAS_BOND_PX=104.61</stp>
        <tr r="Q185" s="23"/>
      </tp>
      <tp>
        <v>-0.219</v>
        <stp/>
        <stp>##V3_BDPV12</stp>
        <stp>ES00000123Q7@CBBT Corp</stp>
        <stp>YAS_BOND_YLD</stp>
        <stp>[Andrea New RollM.xlsm]DB!R187C17</stp>
        <stp>SETTLE_DT=20161011</stp>
        <stp>YAS_BOND_PX=106.18</stp>
        <tr r="Q187" s="23"/>
      </tp>
      <tp>
        <v>100.03</v>
        <stp/>
        <stp>##V3_BDHV12</stp>
        <stp>PTOTE6OE0006@CBBT Corp</stp>
        <stp>OPEN</stp>
        <stp>11/10/2016 4:15:00 PM</stp>
        <stp>11/10/2016 5:15:00 PM</stp>
        <stp>[Andrea New RollM.xlsm]DB!R222C14</stp>
        <stp>BarSz=60</stp>
        <stp>BarTp=T</stp>
        <stp>RecurDaily=True</stp>
        <stp>TZ=London</stp>
        <stp>DTS=H</stp>
        <tr r="N222" s="23"/>
      </tp>
      <tp>
        <v>98.622</v>
        <stp/>
        <stp>##V3_BDHV12</stp>
        <stp>PTOTESOE0013@CBBT Corp</stp>
        <stp>OPEN</stp>
        <stp>04/10/2016 4:15:00 PM</stp>
        <stp>04/10/2016 5:15:00 PM</stp>
        <stp>[Andrea New RollM.xlsm]DB!R228C15</stp>
        <stp>BarSz=60</stp>
        <stp>BarTp=T</stp>
        <stp>RecurDaily=True</stp>
        <stp>TZ=London</stp>
        <stp>DTS=H</stp>
        <tr r="O228" s="23"/>
      </tp>
      <tp>
        <v>-0.27</v>
        <stp/>
        <stp>##V3_BDPV12</stp>
        <stp>ES00000124I2@CBBT Corp</stp>
        <stp>YAS_BOND_YLD</stp>
        <stp>[Andrea New RollM.xlsm]DB!R184C17</stp>
        <stp>SETTLE_DT=20161011</stp>
        <stp>YAS_BOND_PX=101.31</stp>
        <tr r="Q184" s="23"/>
      </tp>
      <tp>
        <v>-0.23200000000000001</v>
        <stp/>
        <stp>##V3_BDPV12</stp>
        <stp>ES00000127D6@CBBT Corp</stp>
        <stp>YAS_BOND_YLD</stp>
        <stp>[Andrea New RollM.xlsm]DB!R188C17</stp>
        <stp>SETTLE_DT=20161011</stp>
        <stp>YAS_BOND_PX=100.75</stp>
        <tr r="Q188" s="23"/>
      </tp>
    </main>
    <main first="marketviewexcelplugin.mkvxp">
      <tp>
        <v>3.75</v>
        <stp/>
        <stp>0</stp>
        <stp>EUR.CM_INSTRUMENT.PXE.IT0004009673</stp>
        <stp>CouponInterest</stp>
        <tr r="B34" s="7"/>
      </tp>
      <tp>
        <v>4.25</v>
        <stp/>
        <stp>0</stp>
        <stp>EUR.CM_INSTRUMENT.PXE.IT0004489610</stp>
        <stp>CouponInterest</stp>
        <tr r="B23" s="7"/>
      </tp>
      <tp>
        <v>5</v>
        <stp/>
        <stp>0</stp>
        <stp>EUR.CM_INSTRUMENT.PXE.IT0004759673</stp>
        <stp>CouponInterest</stp>
        <tr r="B38" s="7"/>
      </tp>
      <tp>
        <v>0.3</v>
        <stp/>
        <stp>0</stp>
        <stp>EUR.CM_INSTRUMENT.PXE.IT0005139099</stp>
        <stp>CouponInterest</stp>
        <tr r="B16" s="7"/>
      </tp>
      <tp>
        <v>4.75</v>
        <stp/>
        <stp>0</stp>
        <stp>EUR.CM_INSTRUMENT.PXE.IT0004889033</stp>
        <stp>CouponInterest</stp>
        <tr r="B59" s="7"/>
      </tp>
      <tp>
        <v>1.05</v>
        <stp/>
        <stp>0</stp>
        <stp>EUR.CM_INSTRUMENT.PXE.IT0005069395</stp>
        <stp>CouponInterest</stp>
        <tr r="B25" s="7"/>
      </tp>
    </main>
    <main first="bloomberg.rtd">
      <tp t="s">
        <v>15/10/2016</v>
        <stp/>
        <stp>##V3_BDPV12</stp>
        <stp>IT0004652175 Corp</stp>
        <stp>NXT_CPN_DT</stp>
        <stp>[Andrea New RollM.xlsm]CCT!R7C23</stp>
        <tr r="W7" s="27"/>
      </tp>
      <tp>
        <v>-0.63100000000000001</v>
        <stp/>
        <stp>##V3_BDPV12</stp>
        <stp>DE0001141703@CBBT Corp</stp>
        <stp>YAS_BOND_YLD</stp>
        <stp>[Andrea New RollM.xlsm]DB!R145C19</stp>
        <stp>SETTLE_DT=20160909</stp>
        <stp>YAS_BOND_PX=102.757</stp>
        <tr r="S145" s="23"/>
      </tp>
      <tp>
        <v>7.5999999999999998E-2</v>
        <stp/>
        <stp>##V3_BDPV12</stp>
        <stp>DE0001135143@CBBT Corp</stp>
        <stp>YAS_BOND_YLD</stp>
        <stp>[Andrea New RollM.xlsm]DB!R173C19</stp>
        <stp>SETTLE_DT=20160909</stp>
        <stp>YAS_BOND_PX=181.788</stp>
        <tr r="S173" s="23"/>
      </tp>
      <tp>
        <v>-0.67</v>
        <stp/>
        <stp>##V3_BDPV12</stp>
        <stp>DE0001104651@CBBT Corp</stp>
        <stp>YAS_BOND_YLD</stp>
        <stp>[Andrea New RollM.xlsm]DB!R139C17</stp>
        <stp>SETTLE_DT=20161011</stp>
        <stp>YAS_BOND_PX=101.303</stp>
        <tr r="Q139" s="23"/>
      </tp>
      <tp>
        <v>-0.68</v>
        <stp/>
        <stp>##V3_BDPV12</stp>
        <stp>DE0001104628@CBBT Corp</stp>
        <stp>YAS_BOND_YLD</stp>
        <stp>[Andrea New RollM.xlsm]DB!R132C17</stp>
        <stp>SETTLE_DT=20161011</stp>
        <stp>YAS_BOND_PX=100.807</stp>
        <tr r="Q132" s="23"/>
      </tp>
      <tp>
        <v>-0.39100000000000001</v>
        <stp/>
        <stp>##V3_BDPV12</stp>
        <stp>IE00B60Z6194@CBBT Corp</stp>
        <stp>YAS_BOND_YLD</stp>
        <stp>[Andrea New RollM.xlsm]DB!R242C17</stp>
        <stp>SETTLE_DT=20161011</stp>
        <stp>YAS_BOND_PX=121.882</stp>
        <tr r="Q242" s="23"/>
      </tp>
      <tp>
        <v>-0.66200000000000003</v>
        <stp/>
        <stp>##V3_BDPV12</stp>
        <stp>DE0001135333@CBBT Corp</stp>
        <stp>YAS_BOND_YLD</stp>
        <stp>[Andrea New RollM.xlsm]DB!R129C17</stp>
        <stp>SETTLE_DT=20161011</stp>
        <stp>YAS_BOND_PX=103.603</stp>
        <tr r="Q129" s="23"/>
      </tp>
      <tp>
        <v>-0.59199999999999997</v>
        <stp/>
        <stp>##V3_BDPV12</stp>
        <stp>DE0001135408@CBBT Corp</stp>
        <stp>YAS_BOND_YLD</stp>
        <stp>[Andrea New RollM.xlsm]DB!R148C19</stp>
        <stp>SETTLE_DT=20160909</stp>
        <stp>YAS_BOND_PX=113.906</stp>
        <tr r="S148" s="23"/>
      </tp>
      <tp>
        <v>-0.63700000000000001</v>
        <stp/>
        <stp>##V3_BDPV12</stp>
        <stp>DE0001141646@CBBT Corp</stp>
        <stp>YAS_BOND_YLD</stp>
        <stp>[Andrea New RollM.xlsm]DB!R131C19</stp>
        <stp>SETTLE_DT=20160909</stp>
        <stp>YAS_BOND_PX=101.251</stp>
        <tr r="S131" s="23"/>
      </tp>
      <tp>
        <v>-0.68</v>
        <stp/>
        <stp>##V3_BDPV12</stp>
        <stp>DE0001141695@CBBT Corp</stp>
        <stp>YAS_BOND_YLD</stp>
        <stp>[Andrea New RollM.xlsm]DB!R143C17</stp>
        <stp>SETTLE_DT=20161011</stp>
        <stp>YAS_BOND_PX=102.988</stp>
        <tr r="Q143" s="23"/>
      </tp>
      <tp>
        <v>-0.33200000000000002</v>
        <stp/>
        <stp>##V3_BDPV12</stp>
        <stp>IE0034074488@CBBT Corp</stp>
        <stp>YAS_BOND_YLD</stp>
        <stp>[Andrea New RollM.xlsm]DB!R241C19</stp>
        <stp>SETTLE_DT=20160909</stp>
        <stp>YAS_BOND_PX=117.557</stp>
        <tr r="S241" s="23"/>
      </tp>
      <tp>
        <v>-0.31900000000000001</v>
        <stp/>
        <stp>##V3_BDPV12</stp>
        <stp>DE0001102333@CBBT Corp</stp>
        <stp>YAS_BOND_YLD</stp>
        <stp>[Andrea New RollM.xlsm]DB!R163C19</stp>
        <stp>SETTLE_DT=20160909</stp>
        <stp>YAS_BOND_PX=115.592</stp>
        <tr r="S163" s="23"/>
      </tp>
      <tp>
        <v>-0.125</v>
        <stp/>
        <stp>##V3_BDPV12</stp>
        <stp>DE0001102382@CBBT Corp</stp>
        <stp>YAS_BOND_YLD</stp>
        <stp>[Andrea New RollM.xlsm]DB!R167C19</stp>
        <stp>SETTLE_DT=20160909</stp>
        <stp>YAS_BOND_PX=110.109</stp>
        <tr r="S167" s="23"/>
      </tp>
      <tp>
        <v>-0.61399999999999999</v>
        <stp/>
        <stp>##V3_BDPV12</stp>
        <stp>DE0001135390@CBBT Corp</stp>
        <stp>YAS_BOND_YLD</stp>
        <stp>[Andrea New RollM.xlsm]DB!R146C19</stp>
        <stp>SETTLE_DT=20160909</stp>
        <stp>YAS_BOND_PX=113.001</stp>
        <tr r="S146" s="23"/>
      </tp>
      <tp>
        <v>-0.63900000000000001</v>
        <stp/>
        <stp>##V3_BDPV12</stp>
        <stp>DE0001141679@CBBT Corp</stp>
        <stp>YAS_BOND_YLD</stp>
        <stp>[Andrea New RollM.xlsm]DB!R140C19</stp>
        <stp>SETTLE_DT=20160909</stp>
        <stp>YAS_BOND_PX=103.46</stp>
        <tr r="S140" s="23"/>
      </tp>
      <tp>
        <v>-5.8999999999999997E-2</v>
        <stp/>
        <stp>##V3_BDPV12</stp>
        <stp>ES00000121O6@CBBT Corp</stp>
        <stp>YAS_BOND_YLD</stp>
        <stp>[Andrea New RollM.xlsm]DB!R194C17</stp>
        <stp>SETTLE_DT=20161011</stp>
        <stp>YAS_BOND_PX=113.33</stp>
        <tr r="Q194" s="23"/>
      </tp>
      <tp>
        <v>108.325</v>
        <stp/>
        <stp>##V3_BDHV12</stp>
        <stp>PTOTEYOE0007@CBBT Corp</stp>
        <stp>OPEN</stp>
        <stp>11/10/2016 4:15:00 PM</stp>
        <stp>11/10/2016 5:15:00 PM</stp>
        <stp>[Andrea New RollM.xlsm]DB!R227C14</stp>
        <stp>BarSz=60</stp>
        <stp>BarTp=T</stp>
        <stp>RecurDaily=True</stp>
        <stp>TZ=London</stp>
        <stp>DTS=H</stp>
        <tr r="N227" s="23"/>
      </tp>
      <tp>
        <v>110.098</v>
        <stp/>
        <stp>##V3_BDHV12</stp>
        <stp>PTOTEMOE0027@CBBT Corp</stp>
        <stp>OPEN</stp>
        <stp>11/10/2016 4:15:00 PM</stp>
        <stp>11/10/2016 5:15:00 PM</stp>
        <stp>[Andrea New RollM.xlsm]DB!R225C14</stp>
        <stp>BarSz=60</stp>
        <stp>BarTp=T</stp>
        <stp>RecurDaily=True</stp>
        <stp>TZ=London</stp>
        <stp>DTS=H</stp>
        <tr r="N225" s="23"/>
      </tp>
      <tp>
        <v>100.64</v>
        <stp/>
        <stp>##V3_BDHV12</stp>
        <stp>PTOTE5OE0007@CBBT Corp</stp>
        <stp>OPEN</stp>
        <stp>11/10/2016 4:15:00 PM</stp>
        <stp>11/10/2016 5:15:00 PM</stp>
        <stp>[Andrea New RollM.xlsm]DB!R235C14</stp>
        <stp>BarSz=60</stp>
        <stp>BarTp=T</stp>
        <stp>RecurDaily=True</stp>
        <stp>TZ=London</stp>
        <stp>DTS=H</stp>
        <tr r="N235" s="23"/>
      </tp>
      <tp>
        <v>-3.0000000000000001E-3</v>
        <stp/>
        <stp>##V3_BDPV12</stp>
        <stp>ES00000127H7@CBBT Corp</stp>
        <stp>YAS_BOND_YLD</stp>
        <stp>[Andrea New RollM.xlsm]DB!R197C17</stp>
        <stp>SETTLE_DT=20161011</stp>
        <stp>YAS_BOND_PX=104.38</stp>
        <tr r="Q197" s="23"/>
      </tp>
      <tp>
        <v>96.322000000000003</v>
        <stp/>
        <stp>##V3_BDHV12</stp>
        <stp>PTOTETOE0012@CBBT Corp</stp>
        <stp>OPEN</stp>
        <stp>04/10/2016 4:15:00 PM</stp>
        <stp>04/10/2016 5:15:00 PM</stp>
        <stp>[Andrea New RollM.xlsm]DB!R232C15</stp>
        <stp>BarSz=60</stp>
        <stp>BarTp=T</stp>
        <stp>RecurDaily=True</stp>
        <stp>TZ=London</stp>
        <stp>DTS=H</stp>
        <tr r="O232" s="23"/>
      </tp>
    </main>
    <main first="bloomberg.rtd">
      <tp>
        <v>2.3E-2</v>
        <stp/>
        <stp>##V3_BDPV12</stp>
        <stp>ES00000122T3@CBBT Corp</stp>
        <stp>YAS_BOND_YLD</stp>
        <stp>[Andrea New RollM.xlsm]DB!R198C17</stp>
        <stp>SETTLE_DT=20161011</stp>
        <stp>YAS_BOND_PX=119.56</stp>
        <tr r="Q198" s="23"/>
      </tp>
    </main>
    <main first="bloomberg.rtd">
      <tp>
        <v>-2.4E-2</v>
        <stp/>
        <stp>##V3_BDPV12</stp>
        <stp>DE0001135044@CBBT Corp</stp>
        <stp>YAS_BOND_YLD</stp>
        <stp>[Andrea New RollM.xlsm]DB!R170C19</stp>
        <stp>SETTLE_DT=20160909</stp>
        <stp>YAS_BOND_PX=170.672</stp>
        <tr r="S170" s="23"/>
      </tp>
      <tp>
        <v>-0.252</v>
        <stp/>
        <stp>##V3_BDPV12</stp>
        <stp>DE0001102366@CBBT Corp</stp>
        <stp>YAS_BOND_YLD</stp>
        <stp>[Andrea New RollM.xlsm]DB!R165C17</stp>
        <stp>SETTLE_DT=20161011</stp>
        <stp>YAS_BOND_PX=109.931</stp>
        <tr r="Q165" s="23"/>
      </tp>
    </main>
    <main first="bloomberg.rtd">
      <tp>
        <v>113.17</v>
        <stp/>
        <stp>##V3_BDHV12</stp>
        <stp>PTOTEAOE0021@CBBT Corp</stp>
        <stp>OPEN</stp>
        <stp>04/10/2016 4:15:00 PM</stp>
        <stp>04/10/2016 5:15:00 PM</stp>
        <stp>[Andrea New RollM.xlsm]DB!R229C15</stp>
        <stp>BarSz=60</stp>
        <stp>BarTp=T</stp>
        <stp>RecurDaily=True</stp>
        <stp>TZ=London</stp>
        <stp>DTS=H</stp>
        <tr r="O229" s="23"/>
      </tp>
      <tp>
        <v>100.53</v>
        <stp/>
        <stp>##V3_BDHV12</stp>
        <stp>PTOTEROE0014@CBBT Corp</stp>
        <stp>OPEN</stp>
        <stp>11/10/2016 4:15:00 PM</stp>
        <stp>11/10/2016 5:15:00 PM</stp>
        <stp>[Andrea New RollM.xlsm]DB!R234C14</stp>
        <stp>BarSz=60</stp>
        <stp>BarTp=T</stp>
        <stp>RecurDaily=True</stp>
        <stp>TZ=London</stp>
        <stp>DTS=H</stp>
        <tr r="N234" s="23"/>
      </tp>
      <tp>
        <v>98.012</v>
        <stp/>
        <stp>##V3_BDHV12</stp>
        <stp>PTOTEKOE0011@CBBT Corp</stp>
        <stp>OPEN</stp>
        <stp>04/10/2016 4:15:00 PM</stp>
        <stp>04/10/2016 5:15:00 PM</stp>
        <stp>[Andrea New RollM.xlsm]DB!R231C15</stp>
        <stp>BarSz=60</stp>
        <stp>BarTp=T</stp>
        <stp>RecurDaily=True</stp>
        <stp>TZ=London</stp>
        <stp>DTS=H</stp>
        <tr r="O231" s="23"/>
      </tp>
    </main>
    <main first="bloomberg.rtd">
      <tp>
        <v>2.4129999999999998</v>
        <stp/>
        <stp>##V3_BDPV12</stp>
        <stp>PTOTESOE0013@CBBT Corp</stp>
        <stp>YAS_BOND_YLD</stp>
        <stp>[Andrea New RollM.xlsm]DB!R228C19</stp>
        <stp>SETTLE_DT=20160909</stp>
        <stp>YAS_BOND_PX=98.8</stp>
        <tr r="S228" s="23"/>
      </tp>
    </main>
    <main first="bloomberg.rtd">
      <tp t="s">
        <v>13/10/2016</v>
        <stp/>
        <stp>##V3_BDPV12</stp>
        <stp>IT0005185456 Corp</stp>
        <stp>T_PLUS_1_SETTLE_DT</stp>
        <stp>[Andrea New RollM.xlsm]CCT!R1C24</stp>
        <tr r="X1" s="27"/>
      </tp>
    </main>
    <main first="marketviewexcelplugin.mkvxp">
      <tp>
        <v>121.88500000000001</v>
        <stp/>
        <stp>0</stp>
        <stp>EUR.PRICING_MAIN.PXE.IE00B60Z6194</stp>
        <stp>CurrentClosingPriceMid</stp>
        <tr r="L242" s="23"/>
      </tp>
    </main>
    <main first="bloomberg.rtd">
      <tp>
        <v>0.30299999999999999</v>
        <stp/>
        <stp>##V3_BDPV12</stp>
        <stp>DE0001135226@CBBT Corp</stp>
        <stp>YAS_BOND_YLD</stp>
        <stp>[Andrea New RollM.xlsm]DB!R175C19</stp>
        <stp>SETTLE_DT=20160909</stp>
        <stp>YAS_BOND_PX=177.024</stp>
        <tr r="S175" s="23"/>
      </tp>
      <tp>
        <v>-0.63100000000000001</v>
        <stp/>
        <stp>##V3_BDPV12</stp>
        <stp>DE0001141638@CBBT Corp</stp>
        <stp>YAS_BOND_YLD</stp>
        <stp>[Andrea New RollM.xlsm]DB!R127C19</stp>
        <stp>SETTLE_DT=20160909</stp>
        <stp>YAS_BOND_PX=100.654</stp>
        <tr r="S127" s="23"/>
      </tp>
      <tp>
        <v>-0.26</v>
        <stp/>
        <stp>##V3_BDPV12</stp>
        <stp>DE0001102366@CBBT Corp</stp>
        <stp>YAS_BOND_YLD</stp>
        <stp>[Andrea New RollM.xlsm]DB!R165C19</stp>
        <stp>SETTLE_DT=20160909</stp>
        <stp>YAS_BOND_PX=110.111</stp>
        <tr r="S165" s="23"/>
      </tp>
      <tp>
        <v>-0.3</v>
        <stp/>
        <stp>##V3_BDPV12</stp>
        <stp>DE0001102358@CBBT Corp</stp>
        <stp>YAS_BOND_YLD</stp>
        <stp>[Andrea New RollM.xlsm]DB!R164C19</stp>
        <stp>SETTLE_DT=20160909</stp>
        <stp>YAS_BOND_PX=114.006</stp>
        <tr r="S164" s="23"/>
      </tp>
      <tp>
        <v>-0.48599999999999999</v>
        <stp/>
        <stp>##V3_BDPV12</stp>
        <stp>DE0001141745@CBBT Corp</stp>
        <stp>YAS_BOND_YLD</stp>
        <stp>[Andrea New RollM.xlsm]DB!R155C19</stp>
        <stp>SETTLE_DT=20160909</stp>
        <stp>YAS_BOND_PX=102.507</stp>
        <tr r="S155" s="23"/>
      </tp>
      <tp>
        <v>-0.66500000000000004</v>
        <stp/>
        <stp>##V3_BDPV12</stp>
        <stp>DE0001135358@CBBT Corp</stp>
        <stp>YAS_BOND_YLD</stp>
        <stp>[Andrea New RollM.xlsm]DB!R138C17</stp>
        <stp>SETTLE_DT=20161011</stp>
        <stp>YAS_BOND_PX=108.578</stp>
        <tr r="Q138" s="23"/>
      </tp>
      <tp t="b">
        <v>0</v>
        <stp/>
        <stp>##V3_BCURVEFWDV12</stp>
        <stp>[Andrea New RollM.xlsm]SPF!R4C10</stp>
        <stp>EUR.OIS:BLOOMBERG DC 272086</stp>
        <stp>Zc.Mid</stp>
        <stp>Tenor</stp>
        <stp>6 MO</stp>
        <stp>Interval</stp>
        <stp>6 MO</stp>
        <stp>UpTo</stp>
        <stp>32 YR</stp>
        <tr r="J4" s="4"/>
      </tp>
      <tp>
        <v>-0.63500000000000001</v>
        <stp/>
        <stp>##V3_BDPV12</stp>
        <stp>DE0001104651@CBBT Corp</stp>
        <stp>YAS_BOND_YLD</stp>
        <stp>[Andrea New RollM.xlsm]DB!R139C19</stp>
        <stp>SETTLE_DT=20160909</stp>
        <stp>YAS_BOND_PX=101.29</stp>
        <tr r="S139" s="23"/>
      </tp>
      <tp>
        <v>104.527</v>
        <stp/>
        <stp>##V3_BDHV12</stp>
        <stp>PTOTELOE0010@CBBT Corp</stp>
        <stp>OPEN</stp>
        <stp>04/10/2016 4:15:00 PM</stp>
        <stp>04/10/2016 5:15:00 PM</stp>
        <stp>[Andrea New RollM.xlsm]DB!R223C15</stp>
        <stp>BarSz=60</stp>
        <stp>BarTp=T</stp>
        <stp>RecurDaily=True</stp>
        <stp>TZ=London</stp>
        <stp>DTS=H</stp>
        <tr r="O223" s="23"/>
      </tp>
      <tp>
        <v>116.53</v>
        <stp/>
        <stp>##V3_BDHV12</stp>
        <stp>PTOTEQOE0015@CBBT Corp</stp>
        <stp>OPEN</stp>
        <stp>11/10/2016 4:15:00 PM</stp>
        <stp>11/10/2016 5:15:00 PM</stp>
        <stp>[Andrea New RollM.xlsm]DB!R230C14</stp>
        <stp>BarSz=60</stp>
        <stp>BarTp=T</stp>
        <stp>RecurDaily=True</stp>
        <stp>TZ=London</stp>
        <stp>DTS=H</stp>
        <tr r="N230" s="23"/>
      </tp>
      <tp>
        <v>97.602999999999994</v>
        <stp/>
        <stp>##V3_BDHV12</stp>
        <stp>PTOTEBOE0020@CBBT Corp</stp>
        <stp>OPEN</stp>
        <stp>04/10/2016 4:15:00 PM</stp>
        <stp>04/10/2016 5:15:00 PM</stp>
        <stp>[Andrea New RollM.xlsm]DB!R236C15</stp>
        <stp>BarSz=60</stp>
        <stp>BarTp=T</stp>
        <stp>RecurDaily=True</stp>
        <stp>TZ=London</stp>
        <stp>DTS=H</stp>
        <tr r="O236" s="23"/>
      </tp>
      <tp>
        <v>97.602999999999994</v>
        <stp/>
        <stp>##V3_BDHV12</stp>
        <stp>PTOTEBOE0020@CBBT Corp</stp>
        <stp>OPEN</stp>
        <stp>04/10/2016 4:15:00 PM</stp>
        <stp>04/10/2016 5:15:00 PM</stp>
        <stp>[Andrea New RollM.xlsm]DB!R233C15</stp>
        <stp>BarSz=60</stp>
        <stp>BarTp=T</stp>
        <stp>RecurDaily=True</stp>
        <stp>TZ=London</stp>
        <stp>DTS=H</stp>
        <tr r="O233" s="23"/>
      </tp>
    </main>
    <main first="bloomberg.rtd">
      <tp>
        <v>-0.22</v>
        <stp/>
        <stp>##V3_BDPV12</stp>
        <stp>IE00BJ38CQ36@CBBT Corp</stp>
        <stp>YAS_BOND_YLD</stp>
        <stp>[Andrea New RollM.xlsm]DB!R243C17</stp>
        <stp>SETTLE_DT=20161011</stp>
        <stp>YAS_BOND_PX=105.57</stp>
        <tr r="Q243" s="23"/>
      </tp>
    </main>
    <main first="marketviewexcelplugin.mkvxp">
      <tp t="s">
        <v>OBL</v>
        <stp/>
        <stp>0</stp>
        <stp>EUR.CM_INSTRUMENT.PXE.DE0001141745</stp>
        <stp>Ticker</stp>
        <tr r="B155" s="23"/>
      </tp>
      <tp t="s">
        <v>OBL</v>
        <stp/>
        <stp>0</stp>
        <stp>EUR.CM_INSTRUMENT.PXE.DE0001141711</stp>
        <stp>Ticker</stp>
        <tr r="B147" s="23"/>
      </tp>
      <tp t="s">
        <v>OBL</v>
        <stp/>
        <stp>0</stp>
        <stp>EUR.CM_INSTRUMENT.PXE.DE0001141703</stp>
        <stp>Ticker</stp>
        <tr r="B145" s="23"/>
      </tp>
      <tp t="s">
        <v>OBL</v>
        <stp/>
        <stp>0</stp>
        <stp>EUR.CM_INSTRUMENT.PXE.DE0001141737</stp>
        <stp>Ticker</stp>
        <tr r="B152" s="23"/>
      </tp>
      <tp t="s">
        <v>OBL</v>
        <stp/>
        <stp>0</stp>
        <stp>EUR.CM_INSTRUMENT.PXE.DE0001141729</stp>
        <stp>Ticker</stp>
        <tr r="B150" s="23"/>
      </tp>
    </main>
    <main first="marketviewexcelplugin.mkvxp">
      <tp t="s">
        <v>OBL</v>
        <stp/>
        <stp>0</stp>
        <stp>EUR.CM_INSTRUMENT.PXE.DE0001141653</stp>
        <stp>Ticker</stp>
        <tr r="B134" s="23"/>
      </tp>
      <tp t="s">
        <v>OBL</v>
        <stp/>
        <stp>0</stp>
        <stp>EUR.CM_INSTRUMENT.PXE.DE0001141646</stp>
        <stp>Ticker</stp>
        <tr r="B131" s="23"/>
      </tp>
      <tp t="s">
        <v>OBL</v>
        <stp/>
        <stp>0</stp>
        <stp>EUR.CM_INSTRUMENT.PXE.DE0001141679</stp>
        <stp>Ticker</stp>
        <tr r="B140" s="23"/>
      </tp>
      <tp t="s">
        <v>OBL</v>
        <stp/>
        <stp>0</stp>
        <stp>EUR.CM_INSTRUMENT.PXE.DE0001141661</stp>
        <stp>Ticker</stp>
        <tr r="B136" s="23"/>
      </tp>
      <tp t="s">
        <v>OBL</v>
        <stp/>
        <stp>0</stp>
        <stp>EUR.CM_INSTRUMENT.PXE.DE0001141612</stp>
        <stp>Ticker</stp>
        <tr r="B123" s="23"/>
      </tp>
      <tp t="s">
        <v>OBL</v>
        <stp/>
        <stp>0</stp>
        <stp>EUR.CM_INSTRUMENT.PXE.DE0001141638</stp>
        <stp>Ticker</stp>
        <tr r="B127" s="23"/>
      </tp>
      <tp t="s">
        <v>OBL</v>
        <stp/>
        <stp>0</stp>
        <stp>EUR.CM_INSTRUMENT.PXE.DE0001141620</stp>
        <stp>Ticker</stp>
        <tr r="B125" s="23"/>
      </tp>
      <tp t="s">
        <v>OBL</v>
        <stp/>
        <stp>0</stp>
        <stp>EUR.CM_INSTRUMENT.PXE.DE0001141695</stp>
        <stp>Ticker</stp>
        <tr r="B143" s="23"/>
      </tp>
      <tp t="s">
        <v>OBL</v>
        <stp/>
        <stp>0</stp>
        <stp>EUR.CM_INSTRUMENT.PXE.DE0001141687</stp>
        <stp>Ticker</stp>
        <tr r="B142" s="23"/>
      </tp>
    </main>
    <main first="bloomberg.rtd">
      <tp>
        <v>100.807</v>
        <stp/>
        <stp>##V3_BDHV12</stp>
        <stp>DE0001104628@CBBT Corp</stp>
        <stp>OPEN</stp>
        <stp>11/10/2016 4:15:00 PM</stp>
        <stp>11/10/2016 5:15:00 PM</stp>
        <stp>[Andrea New RollM.xlsm]DB!R132C14</stp>
        <stp>BarSz=60</stp>
        <stp>BarTp=T</stp>
        <stp>RecurDaily=True</stp>
        <stp>TZ=London</stp>
        <stp>DTS=H</stp>
        <tr r="N132" s="23"/>
      </tp>
      <tp>
        <v>113.908</v>
        <stp/>
        <stp>##V3_BDHV12</stp>
        <stp>FR0013154028@CBBT Corp</stp>
        <stp>OPEN</stp>
        <stp>04/10/2016 4:15:00 PM</stp>
        <stp>04/10/2016 5:15:00 PM</stp>
        <stp>[Andrea New RollM.xlsm]DB!R121C15</stp>
        <stp>BarSz=60</stp>
        <stp>BarTp=T</stp>
        <stp>RecurDaily=True</stp>
        <stp>TZ=London</stp>
        <stp>DTS=H</stp>
        <tr r="O121" s="23"/>
      </tp>
      <tp>
        <v>180.11199999999999</v>
        <stp/>
        <stp>##V3_BDHV12</stp>
        <stp>FR0000187635@CBBT Corp</stp>
        <stp>OPEN</stp>
        <stp>04/10/2016 4:15:00 PM</stp>
        <stp>04/10/2016 5:15:00 PM</stp>
        <stp>[Andrea New RollM.xlsm]DB!R103C15</stp>
        <stp>BarSz=60</stp>
        <stp>BarTp=T</stp>
        <stp>RecurDaily=True</stp>
        <stp>TZ=London</stp>
        <stp>DTS=H</stp>
        <tr r="O103" s="23"/>
      </tp>
      <tp>
        <v>103.477</v>
        <stp/>
        <stp>##V3_BDHV12</stp>
        <stp>DE0001141679@CBBT Corp</stp>
        <stp>OPEN</stp>
        <stp>04/10/2016 4:15:00 PM</stp>
        <stp>04/10/2016 5:15:00 PM</stp>
        <stp>[Andrea New RollM.xlsm]DB!R140C15</stp>
        <stp>BarSz=60</stp>
        <stp>BarTp=T</stp>
        <stp>RecurDaily=True</stp>
        <stp>TZ=London</stp>
        <stp>DTS=H</stp>
        <tr r="O140" s="23"/>
      </tp>
      <tp>
        <v>103.75</v>
        <stp/>
        <stp>##V3_BDHV12</stp>
        <stp>DE0001141729@CBBT Corp</stp>
        <stp>OPEN</stp>
        <stp>04/10/2016 4:15:00 PM</stp>
        <stp>04/10/2016 5:15:00 PM</stp>
        <stp>[Andrea New RollM.xlsm]DB!R150C15</stp>
        <stp>BarSz=60</stp>
        <stp>BarTp=T</stp>
        <stp>RecurDaily=True</stp>
        <stp>TZ=London</stp>
        <stp>DTS=H</stp>
        <tr r="O150" s="23"/>
      </tp>
      <tp>
        <v>113.71299999999999</v>
        <stp/>
        <stp>##V3_BDHV12</stp>
        <stp>DE0001102358@CBBT Corp</stp>
        <stp>OPEN</stp>
        <stp>11/10/2016 4:15:00 PM</stp>
        <stp>11/10/2016 5:15:00 PM</stp>
        <stp>[Andrea New RollM.xlsm]DB!R164C14</stp>
        <stp>BarSz=60</stp>
        <stp>BarTp=T</stp>
        <stp>RecurDaily=True</stp>
        <stp>TZ=London</stp>
        <stp>DTS=H</stp>
        <tr r="N164" s="23"/>
      </tp>
      <tp>
        <v>99.653000000000006</v>
        <stp/>
        <stp>##V3_BDHV12</stp>
        <stp>DE0001102408@CBBT Corp</stp>
        <stp>OPEN</stp>
        <stp>11/10/2016 4:15:00 PM</stp>
        <stp>11/10/2016 5:15:00 PM</stp>
        <stp>[Andrea New RollM.xlsm]DB!R169C14</stp>
        <stp>BarSz=60</stp>
        <stp>BarTp=T</stp>
        <stp>RecurDaily=True</stp>
        <stp>TZ=London</stp>
        <stp>DTS=H</stp>
        <tr r="N169" s="23"/>
      </tp>
      <tp>
        <v>100.485</v>
        <stp/>
        <stp>##V3_BDHV12</stp>
        <stp>IT0005094088@CBBT Corp</stp>
        <stp>OPEN</stp>
        <stp>09/09/2016 4:15:00 PM</stp>
        <stp>09/09/2016 5:15:00 PM</stp>
        <stp>[Andrea New RollM.xlsm]DB!R102C16</stp>
        <stp>BarSz=60</stp>
        <stp>BarTp=T</stp>
        <stp>RecurDaily=True</stp>
        <stp>TZ=London</stp>
        <stp>DTS=H</stp>
        <tr r="P102" s="23"/>
      </tp>
      <tp t="s">
        <v>#N/A N/A</v>
        <stp/>
        <stp>##V3_BDHV12</stp>
        <stp>IT0005217390@CBBT Corp</stp>
        <stp>OPEN</stp>
        <stp>09/09/2016 4:15:00 PM</stp>
        <stp>09/09/2016 5:15:00 PM</stp>
        <stp>[Andrea New RollM.xlsm]DB!R118C16</stp>
        <stp>BarSz=60</stp>
        <stp>BarTp=T</stp>
        <stp>RecurDaily=True</stp>
        <stp>TZ=London</stp>
        <stp>DTS=H</stp>
        <tr r="P118" s="23"/>
      </tp>
      <tp>
        <v>100.777</v>
        <stp/>
        <stp>##V3_BDHV12</stp>
        <stp>ES00000126V0@CBBT Corp</stp>
        <stp>OPEN</stp>
        <stp>09/09/2016 4:15:00 PM</stp>
        <stp>09/09/2016 5:15:00 PM</stp>
        <stp>[Andrea New RollM.xlsm]DB!R186C16</stp>
        <stp>BarSz=60</stp>
        <stp>BarTp=T</stp>
        <stp>RecurDaily=True</stp>
        <stp>TZ=London</stp>
        <stp>DTS=H</stp>
        <tr r="P186" s="23"/>
      </tp>
      <tp>
        <v>100.705</v>
        <stp/>
        <stp>##V3_BDHV12</stp>
        <stp>ES00000128A0@CBBT Corp</stp>
        <stp>OPEN</stp>
        <stp>09/09/2016 4:15:00 PM</stp>
        <stp>09/09/2016 5:15:00 PM</stp>
        <stp>[Andrea New RollM.xlsm]DB!R191C16</stp>
        <stp>BarSz=60</stp>
        <stp>BarTp=T</stp>
        <stp>RecurDaily=True</stp>
        <stp>TZ=London</stp>
        <stp>DTS=H</stp>
        <tr r="P191" s="23"/>
      </tp>
      <tp>
        <v>104.563</v>
        <stp/>
        <stp>##V3_BDHV12</stp>
        <stp>ES00000126C0@CBBT Corp</stp>
        <stp>OPEN</stp>
        <stp>09/09/2016 4:15:00 PM</stp>
        <stp>09/09/2016 5:15:00 PM</stp>
        <stp>[Andrea New RollM.xlsm]DB!R195C16</stp>
        <stp>BarSz=60</stp>
        <stp>BarTp=T</stp>
        <stp>RecurDaily=True</stp>
        <stp>TZ=London</stp>
        <stp>DTS=H</stp>
        <tr r="P195" s="23"/>
      </tp>
      <tp>
        <v>151.19900000000001</v>
        <stp/>
        <stp>##V3_BDHV12</stp>
        <stp>DE0001102341@CBBT Corp</stp>
        <stp>OPEN</stp>
        <stp>09/09/2016 4:15:00 PM</stp>
        <stp>09/09/2016 5:15:00 PM</stp>
        <stp>[Andrea New RollM.xlsm]DB!R181C16</stp>
        <stp>BarSz=60</stp>
        <stp>BarTp=T</stp>
        <stp>RecurDaily=True</stp>
        <stp>TZ=London</stp>
        <stp>DTS=H</stp>
        <tr r="P181" s="23"/>
      </tp>
    </main>
    <main first="marketviewexcelplugin.mkvxp">
      <tp t="s">
        <v>FRTR</v>
        <stp/>
        <stp>0</stp>
        <stp>EUR.CM_INSTRUMENT.PXE.FR0011962398</stp>
        <stp>Ticker</stp>
        <tr r="B80" s="23"/>
      </tp>
    </main>
    <main first="bloomberg.rtd">
      <tp>
        <v>102.96899999999999</v>
        <stp/>
        <stp>##V3_BDHV12</stp>
        <stp>DE0001141695@CBBT Corp</stp>
        <stp>OPEN</stp>
        <stp>09/09/2016 4:15:00 PM</stp>
        <stp>09/09/2016 5:15:00 PM</stp>
        <stp>[Andrea New RollM.xlsm]DB!R143C16</stp>
        <stp>BarSz=60</stp>
        <stp>BarTp=T</stp>
        <stp>RecurDaily=True</stp>
        <stp>TZ=London</stp>
        <stp>DTS=H</stp>
        <tr r="P143" s="23"/>
      </tp>
      <tp>
        <v>102.50700000000001</v>
        <stp/>
        <stp>##V3_BDHV12</stp>
        <stp>DE0001141745@CBBT Corp</stp>
        <stp>OPEN</stp>
        <stp>09/09/2016 4:15:00 PM</stp>
        <stp>09/09/2016 5:15:00 PM</stp>
        <stp>[Andrea New RollM.xlsm]DB!R155C16</stp>
        <stp>BarSz=60</stp>
        <stp>BarTp=T</stp>
        <stp>RecurDaily=True</stp>
        <stp>TZ=London</stp>
        <stp>DTS=H</stp>
        <tr r="P155" s="23"/>
      </tp>
      <tp>
        <v>106.137</v>
        <stp/>
        <stp>##V3_BDHV12</stp>
        <stp>FR0013154044@CBBT Corp</stp>
        <stp>OPEN</stp>
        <stp>09/09/2016 4:15:00 PM</stp>
        <stp>09/09/2016 5:15:00 PM</stp>
        <stp>[Andrea New RollM.xlsm]DB!R107C16</stp>
        <stp>BarSz=60</stp>
        <stp>BarTp=T</stp>
        <stp>RecurDaily=True</stp>
        <stp>TZ=London</stp>
        <stp>DTS=H</stp>
        <tr r="P107" s="23"/>
      </tp>
      <tp>
        <v>101.29</v>
        <stp/>
        <stp>##V3_BDHV12</stp>
        <stp>DE0001104651@CBBT Corp</stp>
        <stp>OPEN</stp>
        <stp>09/09/2016 4:15:00 PM</stp>
        <stp>09/09/2016 5:15:00 PM</stp>
        <stp>[Andrea New RollM.xlsm]DB!R139C16</stp>
        <stp>BarSz=60</stp>
        <stp>BarTp=T</stp>
        <stp>RecurDaily=True</stp>
        <stp>TZ=London</stp>
        <stp>DTS=H</stp>
        <tr r="P139" s="23"/>
      </tp>
      <tp>
        <v>188.16499999999999</v>
        <stp/>
        <stp>##V3_BDHV12</stp>
        <stp>FR0010870956@CBBT Corp</stp>
        <stp>OPEN</stp>
        <stp>09/09/2016 4:15:00 PM</stp>
        <stp>09/09/2016 5:15:00 PM</stp>
        <stp>[Andrea New RollM.xlsm]DB!R120C16</stp>
        <stp>BarSz=60</stp>
        <stp>BarTp=T</stp>
        <stp>RecurDaily=True</stp>
        <stp>TZ=London</stp>
        <stp>DTS=H</stp>
        <tr r="P120" s="23"/>
      </tp>
      <tp>
        <v>111.726</v>
        <stp/>
        <stp>##V3_BDHV12</stp>
        <stp>DE0001135382@CBBT Corp</stp>
        <stp>OPEN</stp>
        <stp>09/09/2016 4:15:00 PM</stp>
        <stp>09/09/2016 5:15:00 PM</stp>
        <stp>[Andrea New RollM.xlsm]DB!R144C16</stp>
        <stp>BarSz=60</stp>
        <stp>BarTp=T</stp>
        <stp>RecurDaily=True</stp>
        <stp>TZ=London</stp>
        <stp>DTS=H</stp>
        <tr r="P144" s="23"/>
      </tp>
    </main>
    <main first="marketviewexcelplugin.mkvxp">
      <tp t="s">
        <v>FRTR</v>
        <stp/>
        <stp>0</stp>
        <stp>EUR.CM_INSTRUMENT.PXE.FR0010192997</stp>
        <stp>Ticker</stp>
        <tr r="B53" s="23"/>
      </tp>
    </main>
    <main first="bloomberg.rtd">
      <tp>
        <v>124.652</v>
        <stp/>
        <stp>##V3_BDHV12</stp>
        <stp>ES00000123B9@CBBT Corp</stp>
        <stp>OPEN</stp>
        <stp>11/10/2016 4:15:00 PM</stp>
        <stp>11/10/2016 5:15:00 PM</stp>
        <stp>[Andrea New RollM.xlsm]DB!R199C14</stp>
        <stp>BarSz=60</stp>
        <stp>BarTp=T</stp>
        <stp>RecurDaily=True</stp>
        <stp>TZ=London</stp>
        <stp>DTS=H</stp>
        <tr r="N199" s="23"/>
      </tp>
      <tp>
        <v>152.22</v>
        <stp/>
        <stp>##V3_BDHV12</stp>
        <stp>FR0011461037@CBBT Corp</stp>
        <stp>OPEN</stp>
        <stp>09/09/2016 4:15:00 PM</stp>
        <stp>09/09/2016 5:15:00 PM</stp>
        <stp>[Andrea New RollM.xlsm]DB!R115C16</stp>
        <stp>BarSz=60</stp>
        <stp>BarTp=T</stp>
        <stp>RecurDaily=True</stp>
        <stp>TZ=London</stp>
        <stp>DTS=H</stp>
        <tr r="P115" s="23"/>
      </tp>
      <tp>
        <v>122.298</v>
        <stp/>
        <stp>##V3_BDHV12</stp>
        <stp>ES00000124W3@CBBT Corp</stp>
        <stp>OPEN</stp>
        <stp>09/09/2016 4:15:00 PM</stp>
        <stp>09/09/2016 5:15:00 PM</stp>
        <stp>[Andrea New RollM.xlsm]DB!R204C16</stp>
        <stp>BarSz=60</stp>
        <stp>BarTp=T</stp>
        <stp>RecurDaily=True</stp>
        <stp>TZ=London</stp>
        <stp>DTS=H</stp>
        <tr r="P204" s="23"/>
      </tp>
      <tp>
        <v>126.18</v>
        <stp/>
        <stp>##V3_BDHV12</stp>
        <stp>ES00000123X3@CBBT Corp</stp>
        <stp>OPEN</stp>
        <stp>09/09/2016 4:15:00 PM</stp>
        <stp>09/09/2016 5:15:00 PM</stp>
        <stp>[Andrea New RollM.xlsm]DB!R202C16</stp>
        <stp>BarSz=60</stp>
        <stp>BarTp=T</stp>
        <stp>RecurDaily=True</stp>
        <stp>TZ=London</stp>
        <stp>DTS=H</stp>
        <tr r="P202" s="23"/>
      </tp>
      <tp>
        <v>120.518</v>
        <stp/>
        <stp>##V3_BDHV12</stp>
        <stp>IE00BJ38CR43@CBBT Corp</stp>
        <stp>OPEN</stp>
        <stp>11/10/2016 4:15:00 PM</stp>
        <stp>11/10/2016 5:15:00 PM</stp>
        <stp>[Andrea New RollM.xlsm]DB!R248C14</stp>
        <stp>BarSz=60</stp>
        <stp>BarTp=T</stp>
        <stp>RecurDaily=True</stp>
        <stp>TZ=London</stp>
        <stp>DTS=H</stp>
        <tr r="N248" s="23"/>
      </tp>
      <tp>
        <v>105.613</v>
        <stp/>
        <stp>##V3_BDHV12</stp>
        <stp>IE00BJ38CQ36@CBBT Corp</stp>
        <stp>OPEN</stp>
        <stp>04/10/2016 4:15:00 PM</stp>
        <stp>04/10/2016 5:15:00 PM</stp>
        <stp>[Andrea New RollM.xlsm]DB!R243C15</stp>
        <stp>BarSz=60</stp>
        <stp>BarTp=T</stp>
        <stp>RecurDaily=True</stp>
        <stp>TZ=London</stp>
        <stp>DTS=H</stp>
        <tr r="O243" s="23"/>
      </tp>
      <tp>
        <v>149.11600000000001</v>
        <stp/>
        <stp>##V3_BDHV12</stp>
        <stp>DE0001134922@CBBT Corp</stp>
        <stp>OPEN</stp>
        <stp>09/09/2016 4:15:00 PM</stp>
        <stp>09/09/2016 5:15:00 PM</stp>
        <stp>[Andrea New RollM.xlsm]DB!R162C16</stp>
        <stp>BarSz=60</stp>
        <stp>BarTp=T</stp>
        <stp>RecurDaily=True</stp>
        <stp>TZ=London</stp>
        <stp>DTS=H</stp>
        <tr r="P162" s="23"/>
      </tp>
      <tp>
        <v>164.691</v>
        <stp/>
        <stp>##V3_BDHV12</stp>
        <stp>DE0001135432@CBBT Corp</stp>
        <stp>OPEN</stp>
        <stp>09/09/2016 4:15:00 PM</stp>
        <stp>09/09/2016 5:15:00 PM</stp>
        <stp>[Andrea New RollM.xlsm]DB!R179C16</stp>
        <stp>BarSz=60</stp>
        <stp>BarTp=T</stp>
        <stp>RecurDaily=True</stp>
        <stp>TZ=London</stp>
        <stp>DTS=H</stp>
        <tr r="P179" s="23"/>
      </tp>
      <tp>
        <v>2.7250000000000001</v>
        <stp/>
        <stp>##V3_BDPV12</stp>
        <stp>ES00000128E2@CBBT Corp</stp>
        <stp>YAS_BOND_YLD</stp>
        <stp>[Andrea New RollM.xlsm]DB!R221C19</stp>
        <stp>SETTLE_DT=20160909</stp>
        <stp>YAS_BOND_PX=119.637</stp>
        <tr r="S221" s="23"/>
      </tp>
      <tp>
        <v>-1.7999999999999999E-2</v>
        <stp/>
        <stp>##V3_BDPV12</stp>
        <stp>ES00000122D7@CBBT Corp</stp>
        <stp>YAS_BOND_YLD</stp>
        <stp>[Andrea New RollM.xlsm]DB!R196C17</stp>
        <stp>SETTLE_DT=20161011</stp>
        <stp>YAS_BOND_PX=114.273</stp>
        <tr r="Q196" s="23"/>
      </tp>
      <tp>
        <v>0.52500000000000002</v>
        <stp/>
        <stp>##V3_BDPV12</stp>
        <stp>ES00000123X3@CBBT Corp</stp>
        <stp>YAS_BOND_YLD</stp>
        <stp>[Andrea New RollM.xlsm]DB!R202C17</stp>
        <stp>SETTLE_DT=20161011</stp>
        <stp>YAS_BOND_PX=126.765</stp>
        <tr r="Q202" s="23"/>
      </tp>
      <tp>
        <v>1.1360000000000001</v>
        <stp/>
        <stp>##V3_BDPV12</stp>
        <stp>FR0011461037@CBBT Corp</stp>
        <stp>YAS_BOND_YLD</stp>
        <stp>[Andrea New RollM.xlsm]DB!R115C17</stp>
        <stp>SETTLE_DT=20161011</stp>
        <stp>YAS_BOND_PX=151.388</stp>
        <tr r="Q115" s="23"/>
      </tp>
    </main>
    <main first="bloomberg.rtd">
      <tp>
        <v>112.239</v>
        <stp/>
        <stp>##V3_BDHV12</stp>
        <stp>DE0001102309@CBBT Corp</stp>
        <stp>OPEN</stp>
        <stp>11/10/2016 4:15:00 PM</stp>
        <stp>11/10/2016 5:15:00 PM</stp>
        <stp>[Andrea New RollM.xlsm]DB!R159C14</stp>
        <stp>BarSz=60</stp>
        <stp>BarTp=T</stp>
        <stp>RecurDaily=True</stp>
        <stp>TZ=London</stp>
        <stp>DTS=H</stp>
        <tr r="N159" s="23"/>
      </tp>
      <tp>
        <v>100.60599999999999</v>
        <stp/>
        <stp>##V3_BDHV12</stp>
        <stp>DE0001141638@CBBT Corp</stp>
        <stp>OPEN</stp>
        <stp>04/10/2016 4:15:00 PM</stp>
        <stp>04/10/2016 5:15:00 PM</stp>
        <stp>[Andrea New RollM.xlsm]DB!R127C15</stp>
        <stp>BarSz=60</stp>
        <stp>BarTp=T</stp>
        <stp>RecurDaily=True</stp>
        <stp>TZ=London</stp>
        <stp>DTS=H</stp>
        <tr r="O127" s="23"/>
      </tp>
    </main>
    <main first="marketviewexcelplugin.mkvxp">
      <tp t="s">
        <v>FRTR</v>
        <stp/>
        <stp>0</stp>
        <stp>EUR.CM_INSTRUMENT.PXE.FR0010773192</stp>
        <stp>Ticker</stp>
        <tr r="B113" s="23"/>
      </tp>
      <tp t="s">
        <v>FRTR</v>
        <stp/>
        <stp>0</stp>
        <stp>EUR.CM_INSTRUMENT.PXE.FR0011993179</stp>
        <stp>Ticker</stp>
        <tr r="B40" s="23"/>
      </tp>
    </main>
    <main first="marketviewexcelplugin.mkvxp">
      <tp t="s">
        <v>FRTR</v>
        <stp/>
        <stp>0</stp>
        <stp>EUR.CM_INSTRUMENT.PXE.FR0011523257</stp>
        <stp>Ticker</stp>
        <tr r="B27" s="23"/>
      </tp>
      <tp t="s">
        <v>FRTR</v>
        <stp/>
        <stp>0</stp>
        <stp>EUR.CM_INSTRUMENT.PXE.FR0012993103</stp>
        <stp>Ticker</stp>
        <tr r="B101" s="23"/>
      </tp>
    </main>
    <main first="bloomberg.rtd">
      <tp>
        <v>105.223</v>
        <stp/>
        <stp>##V3_BDHV12</stp>
        <stp>DE0001102390@CBBT Corp</stp>
        <stp>OPEN</stp>
        <stp>09/09/2016 4:15:00 PM</stp>
        <stp>09/09/2016 5:15:00 PM</stp>
        <stp>[Andrea New RollM.xlsm]DB!R168C16</stp>
        <stp>BarSz=60</stp>
        <stp>BarTp=T</stp>
        <stp>RecurDaily=True</stp>
        <stp>TZ=London</stp>
        <stp>DTS=H</stp>
        <tr r="P168" s="23"/>
      </tp>
      <tp>
        <v>117.518</v>
        <stp/>
        <stp>##V3_BDHV12</stp>
        <stp>IE0034074488@CBBT Corp</stp>
        <stp>OPEN</stp>
        <stp>04/10/2016 4:15:00 PM</stp>
        <stp>04/10/2016 5:15:00 PM</stp>
        <stp>[Andrea New RollM.xlsm]DB!R241C15</stp>
        <stp>BarSz=60</stp>
        <stp>BarTp=T</stp>
        <stp>RecurDaily=True</stp>
        <stp>TZ=London</stp>
        <stp>DTS=H</stp>
        <tr r="O241" s="23"/>
      </tp>
      <tp>
        <v>103.961</v>
        <stp/>
        <stp>##V3_BDHV12</stp>
        <stp>DE0001135333@CBBT Corp</stp>
        <stp>OPEN</stp>
        <stp>09/09/2016 4:15:00 PM</stp>
        <stp>09/09/2016 5:15:00 PM</stp>
        <stp>[Andrea New RollM.xlsm]DB!R129C16</stp>
        <stp>BarSz=60</stp>
        <stp>BarTp=T</stp>
        <stp>RecurDaily=True</stp>
        <stp>TZ=London</stp>
        <stp>DTS=H</stp>
        <tr r="P129" s="23"/>
      </tp>
      <tp>
        <v>100.643</v>
        <stp/>
        <stp>##V3_BDHV12</stp>
        <stp>DE0001104610@CBBT Corp</stp>
        <stp>OPEN</stp>
        <stp>09/09/2016 4:15:00 PM</stp>
        <stp>09/09/2016 5:15:00 PM</stp>
        <stp>[Andrea New RollM.xlsm]DB!R130C16</stp>
        <stp>BarSz=60</stp>
        <stp>BarTp=T</stp>
        <stp>RecurDaily=True</stp>
        <stp>TZ=London</stp>
        <stp>DTS=H</stp>
        <tr r="P130" s="23"/>
      </tp>
      <tp>
        <v>119.637</v>
        <stp/>
        <stp>##V3_BDHV12</stp>
        <stp>ES00000128E2@CBBT Corp</stp>
        <stp>OPEN</stp>
        <stp>09/09/2016 4:15:00 PM</stp>
        <stp>09/09/2016 5:15:00 PM</stp>
        <stp>[Andrea New RollM.xlsm]DB!R221C16</stp>
        <stp>BarSz=60</stp>
        <stp>BarTp=T</stp>
        <stp>RecurDaily=True</stp>
        <stp>TZ=London</stp>
        <stp>DTS=H</stp>
        <tr r="P221" s="23"/>
      </tp>
      <tp>
        <v>101.245</v>
        <stp/>
        <stp>##V3_BDHV12</stp>
        <stp>ES00000120J8@CBBT Corp</stp>
        <stp>OPEN</stp>
        <stp>11/10/2016 4:15:00 PM</stp>
        <stp>11/10/2016 5:15:00 PM</stp>
        <stp>[Andrea New RollM.xlsm]DB!R183C14</stp>
        <stp>BarSz=60</stp>
        <stp>BarTp=T</stp>
        <stp>RecurDaily=True</stp>
        <stp>TZ=London</stp>
        <stp>DTS=H</stp>
        <tr r="N183" s="23"/>
      </tp>
    </main>
    <main first="marketviewexcelplugin.mkvxp">
      <tp t="s">
        <v>SPGB</v>
        <stp/>
        <stp>0</stp>
        <stp>EUR.CM_INSTRUMENT.PXE.ES0000011868</stp>
        <stp>Ticker</stp>
        <tr r="B213" s="23"/>
      </tp>
    </main>
    <main first="bloomberg.rtd">
      <tp>
        <v>113.053</v>
        <stp/>
        <stp>##V3_BDHV12</stp>
        <stp>DE0001135473@CBBT Corp</stp>
        <stp>OPEN</stp>
        <stp>09/09/2016 4:15:00 PM</stp>
        <stp>09/09/2016 5:15:00 PM</stp>
        <stp>[Andrea New RollM.xlsm]DB!R157C16</stp>
        <stp>BarSz=60</stp>
        <stp>BarTp=T</stp>
        <stp>RecurDaily=True</stp>
        <stp>TZ=London</stp>
        <stp>DTS=H</stp>
        <tr r="P157" s="23"/>
      </tp>
    </main>
    <main first="marketviewexcelplugin.mkvxp">
      <tp t="s">
        <v>FRTR</v>
        <stp/>
        <stp>0</stp>
        <stp>EUR.CM_INSTRUMENT.PXE.FR0011883966</stp>
        <stp>Ticker</stp>
        <tr r="B99" s="23"/>
      </tp>
    </main>
    <main first="bloomberg.rtd">
      <tp>
        <v>156.81800000000001</v>
        <stp/>
        <stp>##V3_BDHV12</stp>
        <stp>IT0001444378@CBBT Corp</stp>
        <stp>OPEN</stp>
        <stp>04/10/2016 4:15:00 PM</stp>
        <stp>04/10/2016 5:15:00 PM</stp>
        <stp>[Andrea New RollM.xlsm]DB!R100C15</stp>
        <stp>BarSz=60</stp>
        <stp>BarTp=T</stp>
        <stp>RecurDaily=True</stp>
        <stp>TZ=London</stp>
        <stp>DTS=H</stp>
        <tr r="O100" s="23"/>
      </tp>
      <tp>
        <v>129.49700000000001</v>
        <stp/>
        <stp>##V3_BDHV12</stp>
        <stp>ES00000121G2@CBBT Corp</stp>
        <stp>OPEN</stp>
        <stp>09/09/2016 4:15:00 PM</stp>
        <stp>09/09/2016 5:15:00 PM</stp>
        <stp>[Andrea New RollM.xlsm]DB!R203C16</stp>
        <stp>BarSz=60</stp>
        <stp>BarTp=T</stp>
        <stp>RecurDaily=True</stp>
        <stp>TZ=London</stp>
        <stp>DTS=H</stp>
        <tr r="P203" s="23"/>
      </tp>
      <tp>
        <v>114.768</v>
        <stp/>
        <stp>##V3_BDHV12</stp>
        <stp>ES00000126B2@CBBT Corp</stp>
        <stp>OPEN</stp>
        <stp>09/09/2016 4:15:00 PM</stp>
        <stp>09/09/2016 5:15:00 PM</stp>
        <stp>[Andrea New RollM.xlsm]DB!R205C16</stp>
        <stp>BarSz=60</stp>
        <stp>BarTp=T</stp>
        <stp>RecurDaily=True</stp>
        <stp>TZ=London</stp>
        <stp>DTS=H</stp>
        <tr r="P205" s="23"/>
      </tp>
      <tp>
        <v>139.9</v>
        <stp/>
        <stp>##V3_BDHV12</stp>
        <stp>ES0000012932@CBBT Corp</stp>
        <stp>OPEN</stp>
        <stp>09/09/2016 4:15:00 PM</stp>
        <stp>09/09/2016 5:15:00 PM</stp>
        <stp>[Andrea New RollM.xlsm]DB!R216C16</stp>
        <stp>BarSz=60</stp>
        <stp>BarTp=T</stp>
        <stp>RecurDaily=True</stp>
        <stp>TZ=London</stp>
        <stp>DTS=H</stp>
        <tr r="P216" s="23"/>
      </tp>
      <tp>
        <v>106.128</v>
        <stp/>
        <stp>##V3_BDHV12</stp>
        <stp>ES00000127A2@CBBT Corp</stp>
        <stp>OPEN</stp>
        <stp>09/09/2016 4:15:00 PM</stp>
        <stp>09/09/2016 5:15:00 PM</stp>
        <stp>[Andrea New RollM.xlsm]DB!R214C16</stp>
        <stp>BarSz=60</stp>
        <stp>BarTp=T</stp>
        <stp>RecurDaily=True</stp>
        <stp>TZ=London</stp>
        <stp>DTS=H</stp>
        <tr r="P214" s="23"/>
      </tp>
      <tp>
        <v>181.78800000000001</v>
        <stp/>
        <stp>##V3_BDHV12</stp>
        <stp>DE0001135143@CBBT Corp</stp>
        <stp>OPEN</stp>
        <stp>09/09/2016 4:15:00 PM</stp>
        <stp>09/09/2016 5:15:00 PM</stp>
        <stp>[Andrea New RollM.xlsm]DB!R173C16</stp>
        <stp>BarSz=60</stp>
        <stp>BarTp=T</stp>
        <stp>RecurDaily=True</stp>
        <stp>TZ=London</stp>
        <stp>DTS=H</stp>
        <tr r="P173" s="23"/>
      </tp>
      <tp>
        <v>0.76800000000000002</v>
        <stp/>
        <stp>##V3_BDPV12</stp>
        <stp>ES00000126B2@CBBT Corp</stp>
        <stp>YAS_BOND_YLD</stp>
        <stp>[Andrea New RollM.xlsm]DB!R205C17</stp>
        <stp>SETTLE_DT=20161011</stp>
        <stp>YAS_BOND_PX=115.425</stp>
        <tr r="Q205" s="23"/>
      </tp>
      <tp>
        <v>-4.3999999999999997E-2</v>
        <stp/>
        <stp>##V3_BDPV12</stp>
        <stp>ES00000128A0@CBBT Corp</stp>
        <stp>YAS_BOND_YLD</stp>
        <stp>[Andrea New RollM.xlsm]DB!R191C19</stp>
        <stp>SETTLE_DT=20160909</stp>
        <stp>YAS_BOND_PX=100.705</stp>
        <tr r="S191" s="23"/>
      </tp>
      <tp>
        <v>1.988</v>
        <stp/>
        <stp>##V3_BDPV12</stp>
        <stp>ES00000120N0@CBBT Corp</stp>
        <stp>YAS_BOND_YLD</stp>
        <stp>[Andrea New RollM.xlsm]DB!R217C19</stp>
        <stp>SETTLE_DT=20160909</stp>
        <stp>YAS_BOND_PX=154.943</stp>
        <tr r="S217" s="23"/>
      </tp>
      <tp>
        <v>2.1320000000000001</v>
        <stp/>
        <stp>##V3_BDPV12</stp>
        <stp>ES00000124H4@CBBT Corp</stp>
        <stp>YAS_BOND_YLD</stp>
        <stp>[Andrea New RollM.xlsm]DB!R219C19</stp>
        <stp>SETTLE_DT=20160909</stp>
        <stp>YAS_BOND_PX=163.367</stp>
        <tr r="S219" s="23"/>
      </tp>
      <tp>
        <v>0.9</v>
        <stp/>
        <stp>##V3_BDPV12</stp>
        <stp>FR0013154044@CBBT Corp</stp>
        <stp>YAS_BOND_YLD</stp>
        <stp>[Andrea New RollM.xlsm]DB!R107C17</stp>
        <stp>SETTLE_DT=20161011</stp>
        <stp>YAS_BOND_PX=106.263</stp>
        <tr r="Q107" s="23"/>
      </tp>
    </main>
    <main first="marketviewexcelplugin.mkvxp">
      <tp t="s">
        <v>SPGB</v>
        <stp/>
        <stp>0</stp>
        <stp>EUR.CM_INSTRUMENT.PXE.ES0000012411</stp>
        <stp>Ticker</stp>
        <tr r="B215" s="23"/>
      </tp>
      <tp t="s">
        <v>SPGB</v>
        <stp/>
        <stp>0</stp>
        <stp>EUR.CM_INSTRUMENT.PXE.ES00000124B7</stp>
        <stp>Ticker</stp>
        <tr r="B190" s="23"/>
      </tp>
      <tp t="s">
        <v>SPGB</v>
        <stp/>
        <stp>0</stp>
        <stp>EUR.CM_INSTRUMENT.PXE.ES00000124C5</stp>
        <stp>Ticker</stp>
        <tr r="B212" s="23"/>
      </tp>
      <tp t="s">
        <v>SPGB</v>
        <stp/>
        <stp>0</stp>
        <stp>EUR.CM_INSTRUMENT.PXE.ES00000124H4</stp>
        <stp>Ticker</stp>
        <tr r="B219" s="23"/>
      </tp>
      <tp t="s">
        <v>SPGB</v>
        <stp/>
        <stp>0</stp>
        <stp>EUR.CM_INSTRUMENT.PXE.ES00000124I2</stp>
        <stp>Ticker</stp>
        <tr r="B184" s="23"/>
      </tp>
      <tp t="s">
        <v>SPGB</v>
        <stp/>
        <stp>0</stp>
        <stp>EUR.CM_INSTRUMENT.PXE.ES00000124V5</stp>
        <stp>Ticker</stp>
        <tr r="B192" s="23"/>
      </tp>
      <tp t="s">
        <v>SPGB</v>
        <stp/>
        <stp>0</stp>
        <stp>EUR.CM_INSTRUMENT.PXE.ES00000124W3</stp>
        <stp>Ticker</stp>
        <tr r="B204" s="23"/>
      </tp>
    </main>
    <main first="bloomberg.rtd">
      <tp t="s">
        <v>#N/A N/A</v>
        <stp/>
        <stp>##V3_BDHV12</stp>
        <stp>DE0001137479@CBBT Corp</stp>
        <stp>OPEN</stp>
        <stp>11/10/2016 4:15:00 PM</stp>
        <stp>11/10/2016 5:15:00 PM</stp>
        <stp>[Andrea New RollM.xlsm]DB!R122C14</stp>
        <stp>BarSz=60</stp>
        <stp>BarTp=T</stp>
        <stp>RecurDaily=True</stp>
        <stp>TZ=London</stp>
        <stp>DTS=H</stp>
        <tr r="N122" s="23"/>
      </tp>
    </main>
    <main first="marketviewexcelplugin.mkvxp">
      <tp t="s">
        <v>FRTR</v>
        <stp/>
        <stp>0</stp>
        <stp>EUR.CM_INSTRUMENT.PXE.FR0010670737</stp>
        <stp>Ticker</stp>
        <tr r="B26" s="23"/>
      </tp>
      <tp t="s">
        <v>SPGB</v>
        <stp/>
        <stp>0</stp>
        <stp>EUR.CM_INSTRUMENT.PXE.ES00000126B2</stp>
        <stp>Ticker</stp>
        <tr r="B205" s="23"/>
      </tp>
      <tp t="s">
        <v>SPGB</v>
        <stp/>
        <stp>0</stp>
        <stp>EUR.CM_INSTRUMENT.PXE.ES00000126C0</stp>
        <stp>Ticker</stp>
        <tr r="B195" s="23"/>
      </tp>
      <tp t="s">
        <v>SPGB</v>
        <stp/>
        <stp>0</stp>
        <stp>EUR.CM_INSTRUMENT.PXE.ES00000126V0</stp>
        <stp>Ticker</stp>
        <tr r="B186" s="23"/>
      </tp>
      <tp t="s">
        <v>SPGB</v>
        <stp/>
        <stp>0</stp>
        <stp>EUR.CM_INSTRUMENT.PXE.ES00000126Z1</stp>
        <stp>Ticker</stp>
        <tr r="B206" s="23"/>
      </tp>
    </main>
    <main first="marketviewexcelplugin.mkvxp">
      <tp t="s">
        <v>SPGB</v>
        <stp/>
        <stp>0</stp>
        <stp>EUR.CM_INSTRUMENT.PXE.ES0000012783</stp>
        <stp>Ticker</stp>
        <tr r="B185" s="23"/>
      </tp>
      <tp t="s">
        <v>SPGB</v>
        <stp/>
        <stp>0</stp>
        <stp>EUR.CM_INSTRUMENT.PXE.ES00000127D6</stp>
        <stp>Ticker</stp>
        <tr r="B188" s="23"/>
      </tp>
      <tp t="s">
        <v>SPGB</v>
        <stp/>
        <stp>0</stp>
        <stp>EUR.CM_INSTRUMENT.PXE.ES00000127G9</stp>
        <stp>Ticker</stp>
        <tr r="B208" s="23"/>
      </tp>
      <tp t="s">
        <v>SPGB</v>
        <stp/>
        <stp>0</stp>
        <stp>EUR.CM_INSTRUMENT.PXE.ES00000127A2</stp>
        <stp>Ticker</stp>
        <tr r="B214" s="23"/>
      </tp>
      <tp t="s">
        <v>SPGB</v>
        <stp/>
        <stp>0</stp>
        <stp>EUR.CM_INSTRUMENT.PXE.ES00000127H7</stp>
        <stp>Ticker</stp>
        <tr r="B197" s="23"/>
      </tp>
      <tp t="s">
        <v>SPGB</v>
        <stp/>
        <stp>0</stp>
        <stp>EUR.CM_INSTRUMENT.PXE.ES00000127Z9</stp>
        <stp>Ticker</stp>
        <tr r="B209" s="23"/>
      </tp>
      <tp t="s">
        <v>SPGB</v>
        <stp/>
        <stp>0</stp>
        <stp>EUR.CM_INSTRUMENT.PXE.ES00000120N0</stp>
        <stp>Ticker</stp>
        <tr r="B217" s="23"/>
      </tp>
      <tp t="s">
        <v>SPGB</v>
        <stp/>
        <stp>0</stp>
        <stp>EUR.CM_INSTRUMENT.PXE.ES00000120J8</stp>
        <stp>Ticker</stp>
        <tr r="B183" s="23"/>
      </tp>
    </main>
    <main first="bloomberg.rtd">
      <tp>
        <v>163.05199999999999</v>
        <stp/>
        <stp>##V3_BDHV12</stp>
        <stp>DE0001135069@CBBT Corp</stp>
        <stp>OPEN</stp>
        <stp>11/10/2016 4:15:00 PM</stp>
        <stp>11/10/2016 5:15:00 PM</stp>
        <stp>[Andrea New RollM.xlsm]DB!R171C14</stp>
        <stp>BarSz=60</stp>
        <stp>BarTp=T</stp>
        <stp>RecurDaily=True</stp>
        <stp>TZ=London</stp>
        <stp>DTS=H</stp>
        <tr r="N171" s="23"/>
      </tp>
    </main>
    <main first="marketviewexcelplugin.mkvxp">
      <tp t="s">
        <v>FRTR</v>
        <stp/>
        <stp>0</stp>
        <stp>EUR.CM_INSTRUMENT.PXE.FR0010070060</stp>
        <stp>Ticker</stp>
        <tr r="B106" s="23"/>
      </tp>
      <tp t="s">
        <v>SPGB</v>
        <stp/>
        <stp>0</stp>
        <stp>EUR.CM_INSTRUMENT.PXE.ES00000121G2</stp>
        <stp>Ticker</stp>
        <tr r="B203" s="23"/>
      </tp>
      <tp t="s">
        <v>SPGB</v>
        <stp/>
        <stp>0</stp>
        <stp>EUR.CM_INSTRUMENT.PXE.ES00000121A5</stp>
        <stp>Ticker</stp>
        <tr r="B189" s="23"/>
      </tp>
      <tp t="s">
        <v>SPGB</v>
        <stp/>
        <stp>0</stp>
        <stp>EUR.CM_INSTRUMENT.PXE.ES00000121L2</stp>
        <stp>Ticker</stp>
        <tr r="B193" s="23"/>
      </tp>
      <tp t="s">
        <v>SPGB</v>
        <stp/>
        <stp>0</stp>
        <stp>EUR.CM_INSTRUMENT.PXE.ES00000121O6</stp>
        <stp>Ticker</stp>
        <tr r="B194" s="23"/>
      </tp>
      <tp t="s">
        <v>SPGB</v>
        <stp/>
        <stp>0</stp>
        <stp>EUR.CM_INSTRUMENT.PXE.ES00000121S7</stp>
        <stp>Ticker</stp>
        <tr r="B218" s="23"/>
      </tp>
    </main>
    <main first="bloomberg.rtd">
      <tp>
        <v>101.473</v>
        <stp/>
        <stp>##V3_BDHV12</stp>
        <stp>ES00000124I2@CBBT Corp</stp>
        <stp>OPEN</stp>
        <stp>09/09/2016 4:15:00 PM</stp>
        <stp>09/09/2016 5:15:00 PM</stp>
        <stp>[Andrea New RollM.xlsm]DB!R184C16</stp>
        <stp>BarSz=60</stp>
        <stp>BarTp=T</stp>
        <stp>RecurDaily=True</stp>
        <stp>TZ=London</stp>
        <stp>DTS=H</stp>
        <tr r="P184" s="23"/>
      </tp>
      <tp>
        <v>100.6</v>
        <stp/>
        <stp>##V3_BDHV12</stp>
        <stp>ES00000123J2@CBBT Corp</stp>
        <stp>OPEN</stp>
        <stp>09/09/2016 4:15:00 PM</stp>
        <stp>09/09/2016 5:15:00 PM</stp>
        <stp>[Andrea New RollM.xlsm]DB!R182C16</stp>
        <stp>BarSz=60</stp>
        <stp>BarTp=T</stp>
        <stp>RecurDaily=True</stp>
        <stp>TZ=London</stp>
        <stp>DTS=H</stp>
        <tr r="P182" s="23"/>
      </tp>
      <tp>
        <v>153.87</v>
        <stp/>
        <stp>##V3_BDHV12</stp>
        <stp>ES0000011868@CBBT Corp</stp>
        <stp>OPEN</stp>
        <stp>11/10/2016 4:15:00 PM</stp>
        <stp>11/10/2016 5:15:00 PM</stp>
        <stp>[Andrea New RollM.xlsm]DB!R213C14</stp>
        <stp>BarSz=60</stp>
        <stp>BarTp=T</stp>
        <stp>RecurDaily=True</stp>
        <stp>TZ=London</stp>
        <stp>DTS=H</stp>
        <tr r="N213" s="23"/>
      </tp>
    </main>
    <main first="marketviewexcelplugin.mkvxp">
      <tp t="s">
        <v>SPGB</v>
        <stp/>
        <stp>0</stp>
        <stp>EUR.CM_INSTRUMENT.PXE.ES00000122D7</stp>
        <stp>Ticker</stp>
        <tr r="B196" s="23"/>
      </tp>
      <tp t="s">
        <v>SPGB</v>
        <stp/>
        <stp>0</stp>
        <stp>EUR.CM_INSTRUMENT.PXE.ES00000122E5</stp>
        <stp>Ticker</stp>
        <tr r="B207" s="23"/>
      </tp>
      <tp t="s">
        <v>SPGB</v>
        <stp/>
        <stp>0</stp>
        <stp>EUR.CM_INSTRUMENT.PXE.ES00000122T3</stp>
        <stp>Ticker</stp>
        <tr r="B198" s="23"/>
      </tp>
    </main>
    <main first="bloomberg.rtd">
      <tp>
        <v>112.17400000000001</v>
        <stp/>
        <stp>##V3_BDHV12</stp>
        <stp>FR0012993103@CBBT Corp</stp>
        <stp>OPEN</stp>
        <stp>11/10/2016 4:15:00 PM</stp>
        <stp>11/10/2016 5:15:00 PM</stp>
        <stp>[Andrea New RollM.xlsm]DB!R101C14</stp>
        <stp>BarSz=60</stp>
        <stp>BarTp=T</stp>
        <stp>RecurDaily=True</stp>
        <stp>TZ=London</stp>
        <stp>DTS=H</stp>
        <tr r="N101" s="23"/>
      </tp>
      <tp>
        <v>113.247</v>
        <stp/>
        <stp>##V3_BDHV12</stp>
        <stp>ES00000121L2@CBBT Corp</stp>
        <stp>OPEN</stp>
        <stp>09/09/2016 4:15:00 PM</stp>
        <stp>09/09/2016 5:15:00 PM</stp>
        <stp>[Andrea New RollM.xlsm]DB!R193C16</stp>
        <stp>BarSz=60</stp>
        <stp>BarTp=T</stp>
        <stp>RecurDaily=True</stp>
        <stp>TZ=London</stp>
        <stp>DTS=H</stp>
        <tr r="P193" s="23"/>
      </tp>
      <tp>
        <v>111.562</v>
        <stp/>
        <stp>##V3_BDHV12</stp>
        <stp>DE0001135499@CBBT Corp</stp>
        <stp>OPEN</stp>
        <stp>11/10/2016 4:15:00 PM</stp>
        <stp>11/10/2016 5:15:00 PM</stp>
        <stp>[Andrea New RollM.xlsm]DB!R158C14</stp>
        <stp>BarSz=60</stp>
        <stp>BarTp=T</stp>
        <stp>RecurDaily=True</stp>
        <stp>TZ=London</stp>
        <stp>DTS=H</stp>
        <tr r="N158" s="23"/>
      </tp>
    </main>
    <main first="marketviewexcelplugin.mkvxp">
      <tp t="s">
        <v>SPGB</v>
        <stp/>
        <stp>0</stp>
        <stp>EUR.CM_INSTRUMENT.PXE.ES00000123B9</stp>
        <stp>Ticker</stp>
        <tr r="B199" s="23"/>
      </tp>
      <tp t="s">
        <v>SPGB</v>
        <stp/>
        <stp>0</stp>
        <stp>EUR.CM_INSTRUMENT.PXE.ES00000123C7</stp>
        <stp>Ticker</stp>
        <tr r="B210" s="23"/>
      </tp>
      <tp t="s">
        <v>SPGB</v>
        <stp/>
        <stp>0</stp>
        <stp>EUR.CM_INSTRUMENT.PXE.ES00000123J2</stp>
        <stp>Ticker</stp>
        <tr r="B182" s="23"/>
      </tp>
      <tp t="s">
        <v>SPGB</v>
        <stp/>
        <stp>0</stp>
        <stp>EUR.CM_INSTRUMENT.PXE.ES00000123K0</stp>
        <stp>Ticker</stp>
        <tr r="B200" s="23"/>
      </tp>
      <tp t="s">
        <v>SPGB</v>
        <stp/>
        <stp>0</stp>
        <stp>EUR.CM_INSTRUMENT.PXE.ES00000123U9</stp>
        <stp>Ticker</stp>
        <tr r="B201" s="23"/>
      </tp>
      <tp t="s">
        <v>SPGB</v>
        <stp/>
        <stp>0</stp>
        <stp>EUR.CM_INSTRUMENT.PXE.ES00000123Q7</stp>
        <stp>Ticker</stp>
        <tr r="B187" s="23"/>
      </tp>
      <tp t="s">
        <v>SPGB</v>
        <stp/>
        <stp>0</stp>
        <stp>EUR.CM_INSTRUMENT.PXE.ES00000123X3</stp>
        <stp>Ticker</stp>
        <tr r="B202" s="23"/>
      </tp>
    </main>
    <main first="bloomberg.rtd">
      <tp>
        <v>120.902</v>
        <stp/>
        <stp>##V3_BDHV12</stp>
        <stp>IT0005083057@CBBT Corp</stp>
        <stp>OPEN</stp>
        <stp>04/10/2016 4:15:00 PM</stp>
        <stp>04/10/2016 5:15:00 PM</stp>
        <stp>[Andrea New RollM.xlsm]DB!R116C15</stp>
        <stp>BarSz=60</stp>
        <stp>BarTp=T</stp>
        <stp>RecurDaily=True</stp>
        <stp>TZ=London</stp>
        <stp>DTS=H</stp>
        <tr r="O116" s="23"/>
      </tp>
      <tp>
        <v>147.4</v>
        <stp/>
        <stp>##V3_BDHV12</stp>
        <stp>IT0004923998@CBBT Corp</stp>
        <stp>OPEN</stp>
        <stp>11/10/2016 4:15:00 PM</stp>
        <stp>11/10/2016 5:15:00 PM</stp>
        <stp>[Andrea New RollM.xlsm]DB!R114C14</stp>
        <stp>BarSz=60</stp>
        <stp>BarTp=T</stp>
        <stp>RecurDaily=True</stp>
        <stp>TZ=London</stp>
        <stp>DTS=H</stp>
        <tr r="N114" s="23"/>
      </tp>
      <tp>
        <v>104.06100000000001</v>
        <stp/>
        <stp>##V3_BDHV12</stp>
        <stp>DE0001141687@CBBT Corp</stp>
        <stp>OPEN</stp>
        <stp>09/09/2016 4:15:00 PM</stp>
        <stp>09/09/2016 5:15:00 PM</stp>
        <stp>[Andrea New RollM.xlsm]DB!R142C16</stp>
        <stp>BarSz=60</stp>
        <stp>BarTp=T</stp>
        <stp>RecurDaily=True</stp>
        <stp>TZ=London</stp>
        <stp>DTS=H</stp>
        <tr r="P142" s="23"/>
      </tp>
      <tp>
        <v>149.05000000000001</v>
        <stp/>
        <stp>##V3_BDHV12</stp>
        <stp>IT0004532559@CBBT Corp</stp>
        <stp>OPEN</stp>
        <stp>11/10/2016 4:15:00 PM</stp>
        <stp>11/10/2016 5:15:00 PM</stp>
        <stp>[Andrea New RollM.xlsm]DB!R112C14</stp>
        <stp>BarSz=60</stp>
        <stp>BarTp=T</stp>
        <stp>RecurDaily=True</stp>
        <stp>TZ=London</stp>
        <stp>DTS=H</stp>
        <tr r="N112" s="23"/>
      </tp>
      <tp>
        <v>115.592</v>
        <stp/>
        <stp>##V3_BDHV12</stp>
        <stp>DE0001102333@CBBT Corp</stp>
        <stp>OPEN</stp>
        <stp>09/09/2016 4:15:00 PM</stp>
        <stp>09/09/2016 5:15:00 PM</stp>
        <stp>[Andrea New RollM.xlsm]DB!R163C16</stp>
        <stp>BarSz=60</stp>
        <stp>BarTp=T</stp>
        <stp>RecurDaily=True</stp>
        <stp>TZ=London</stp>
        <stp>DTS=H</stp>
        <tr r="P163" s="23"/>
      </tp>
      <tp>
        <v>102.46899999999999</v>
        <stp/>
        <stp>##V3_BDHV12</stp>
        <stp>DE0001141737@CBBT Corp</stp>
        <stp>OPEN</stp>
        <stp>09/09/2016 4:15:00 PM</stp>
        <stp>09/09/2016 5:15:00 PM</stp>
        <stp>[Andrea New RollM.xlsm]DB!R152C16</stp>
        <stp>BarSz=60</stp>
        <stp>BarTp=T</stp>
        <stp>RecurDaily=True</stp>
        <stp>TZ=London</stp>
        <stp>DTS=H</stp>
        <tr r="P152" s="23"/>
      </tp>
      <tp>
        <v>113.001</v>
        <stp/>
        <stp>##V3_BDHV12</stp>
        <stp>DE0001135390@CBBT Corp</stp>
        <stp>OPEN</stp>
        <stp>09/09/2016 4:15:00 PM</stp>
        <stp>09/09/2016 5:15:00 PM</stp>
        <stp>[Andrea New RollM.xlsm]DB!R146C16</stp>
        <stp>BarSz=60</stp>
        <stp>BarTp=T</stp>
        <stp>RecurDaily=True</stp>
        <stp>TZ=London</stp>
        <stp>DTS=H</stp>
        <tr r="P146" s="23"/>
      </tp>
    </main>
    <main first="marketviewexcelplugin.mkvxp">
      <tp t="s">
        <v>FRTR</v>
        <stp/>
        <stp>0</stp>
        <stp>EUR.CM_INSTRUMENT.PXE.FR0010870956</stp>
        <stp>Ticker</stp>
        <tr r="B120" s="23"/>
      </tp>
      <tp t="s">
        <v>SPGB</v>
        <stp/>
        <stp>0</stp>
        <stp>EUR.CM_INSTRUMENT.PXE.ES00000128E2</stp>
        <stp>Ticker</stp>
        <tr r="B221" s="23"/>
      </tp>
      <tp t="s">
        <v>SPGB</v>
        <stp/>
        <stp>0</stp>
        <stp>EUR.CM_INSTRUMENT.PXE.ES00000128A0</stp>
        <stp>Ticker</stp>
        <tr r="B191" s="23"/>
      </tp>
      <tp t="s">
        <v>SPGB</v>
        <stp/>
        <stp>0</stp>
        <stp>EUR.CM_INSTRUMENT.PXE.ES00000128B8</stp>
        <stp>Ticker</stp>
        <tr r="B57" s="23"/>
      </tp>
      <tp t="s">
        <v>SPGB</v>
        <stp/>
        <stp>0</stp>
        <stp>EUR.CM_INSTRUMENT.PXE.ES00000128C6</stp>
        <stp>Ticker</stp>
        <tr r="B220" s="23"/>
      </tp>
      <tp t="s">
        <v>SPGB</v>
        <stp/>
        <stp>0</stp>
        <stp>EUR.CM_INSTRUMENT.PXE.ES00000128H5</stp>
        <stp>Ticker</stp>
        <tr r="B211" s="23"/>
      </tp>
    </main>
    <main first="bloomberg.rtd">
      <tp>
        <v>118.51300000000001</v>
        <stp/>
        <stp>##V3_BDHV12</stp>
        <stp>DE0001135440@CBBT Corp</stp>
        <stp>OPEN</stp>
        <stp>09/09/2016 4:15:00 PM</stp>
        <stp>09/09/2016 5:15:00 PM</stp>
        <stp>[Andrea New RollM.xlsm]DB!R153C16</stp>
        <stp>BarSz=60</stp>
        <stp>BarTp=T</stp>
        <stp>RecurDaily=True</stp>
        <stp>TZ=London</stp>
        <stp>DTS=H</stp>
        <tr r="P153" s="23"/>
      </tp>
    </main>
    <main first="marketviewexcelplugin.mkvxp">
      <tp t="s">
        <v>SPGB</v>
        <stp/>
        <stp>0</stp>
        <stp>EUR.CM_INSTRUMENT.PXE.ES0000012932</stp>
        <stp>Ticker</stp>
        <tr r="B216" s="23"/>
      </tp>
    </main>
    <main first="bloomberg.rtd">
      <tp>
        <v>105.548</v>
        <stp/>
        <stp>##V3_BDHV12</stp>
        <stp>ES00000126Z1@CBBT Corp</stp>
        <stp>OPEN</stp>
        <stp>09/09/2016 4:15:00 PM</stp>
        <stp>09/09/2016 5:15:00 PM</stp>
        <stp>[Andrea New RollM.xlsm]DB!R206C16</stp>
        <stp>BarSz=60</stp>
        <stp>BarTp=T</stp>
        <stp>RecurDaily=True</stp>
        <stp>TZ=London</stp>
        <stp>DTS=H</stp>
        <tr r="P206" s="23"/>
      </tp>
    </main>
    <main first="marketviewexcelplugin.mkvxp">
      <tp t="s">
        <v>FRTR</v>
        <stp/>
        <stp>0</stp>
        <stp>EUR.CM_INSTRUMENT.PXE.FR0013200813</stp>
        <stp>Ticker</stp>
        <tr r="B92" s="23"/>
      </tp>
    </main>
    <main first="bloomberg.rtd">
      <tp>
        <v>158.977</v>
        <stp/>
        <stp>##V3_BDHV12</stp>
        <stp>ES0000012411@CBBT Corp</stp>
        <stp>OPEN</stp>
        <stp>09/09/2016 4:15:00 PM</stp>
        <stp>09/09/2016 5:15:00 PM</stp>
        <stp>[Andrea New RollM.xlsm]DB!R215C16</stp>
        <stp>BarSz=60</stp>
        <stp>BarTp=T</stp>
        <stp>RecurDaily=True</stp>
        <stp>TZ=London</stp>
        <stp>DTS=H</stp>
        <tr r="P215" s="23"/>
      </tp>
      <tp>
        <v>-0.35599999999999998</v>
        <stp/>
        <stp>##V3_BDPV12</stp>
        <stp>EUSWEI CMPN Curncy</stp>
        <stp>ask</stp>
        <stp>[Andrea New RollM.xlsm]Crv!R19C5</stp>
        <tr r="E19" s="1"/>
      </tp>
      <tp>
        <v>-4.4999999999999998E-2</v>
        <stp/>
        <stp>##V3_BDPV12</stp>
        <stp>ES00000126C0@CBBT Corp</stp>
        <stp>YAS_BOND_YLD</stp>
        <stp>[Andrea New RollM.xlsm]DB!R195C17</stp>
        <stp>SETTLE_DT=20161011</stp>
        <stp>YAS_BOND_PX=104.783</stp>
        <tr r="Q195" s="23"/>
      </tp>
    </main>
    <main first="marketviewexcelplugin.mkvxp">
      <tp>
        <v>0.372527</v>
        <stp/>
        <stp>0</stp>
        <stp>EUR.PRICING_MAIN.PXE.IE00B4TV0D44</stp>
        <stp>CurrentClosingYieldMid</stp>
        <tr r="J246" s="23"/>
      </tp>
    </main>
    <main first="bloomberg.rtd">
      <tp>
        <v>2.1040000000000001</v>
        <stp/>
        <stp>##V3_BDPV12</stp>
        <stp>IT0004286966@CBBT Corp</stp>
        <stp>YAS_BOND_YLD</stp>
        <stp>[Andrea New RollM.xlsm]DB!R111C19</stp>
        <stp>SETTLE_DT=20160909</stp>
        <stp>YAS_BOND_PX=152.668</stp>
        <tr r="S111" s="23"/>
      </tp>
      <tp>
        <v>2.1709999999999998</v>
        <stp/>
        <stp>##V3_BDPV12</stp>
        <stp>IT0004532559@CBBT Corp</stp>
        <stp>YAS_BOND_YLD</stp>
        <stp>[Andrea New RollM.xlsm]DB!R112C19</stp>
        <stp>SETTLE_DT=20160909</stp>
        <stp>YAS_BOND_PX=152.948</stp>
        <tr r="S112" s="23"/>
      </tp>
      <tp>
        <v>-0.23150000000000001</v>
        <stp/>
        <stp>##V3_BDPV12</stp>
        <stp>EUSWE6 CMPN Curncy</stp>
        <stp>ask</stp>
        <stp>[Andrea New RollM.xlsm]Crv!R29C5</stp>
        <tr r="E29" s="1"/>
      </tp>
      <tp>
        <v>1.444</v>
        <stp/>
        <stp>##V3_BDPV12</stp>
        <stp>FR0013154028@CBBT Corp</stp>
        <stp>YAS_BOND_YLD</stp>
        <stp>[Andrea New RollM.xlsm]DB!R121C17</stp>
        <stp>SETTLE_DT=20161011</stp>
        <stp>YAS_BOND_PX=110.797</stp>
        <tr r="Q121" s="23"/>
      </tp>
      <tp>
        <v>123.863</v>
        <stp/>
        <stp>##V3_BDHV12</stp>
        <stp>IE00B6X95T99@CBBT Corp</stp>
        <stp>OPEN</stp>
        <stp>09/09/2016 4:15:00 PM</stp>
        <stp>09/09/2016 5:15:00 PM</stp>
        <stp>[Andrea New RollM.xlsm]DB!R245C16</stp>
        <stp>BarSz=60</stp>
        <stp>BarTp=T</stp>
        <stp>RecurDaily=True</stp>
        <stp>TZ=London</stp>
        <stp>DTS=H</stp>
        <tr r="P245" s="23"/>
      </tp>
      <tp>
        <v>1.7850000000000001</v>
        <stp/>
        <stp>##V3_BDPV12</stp>
        <stp>IT0005094088@CBBT Corp</stp>
        <stp>YAS_BOND_YLD</stp>
        <stp>[Andrea New RollM.xlsm]DB!R102C17</stp>
        <stp>SETTLE_DT=20161011</stp>
        <stp>YAS_BOND_PX=98.292</stp>
        <tr r="Q102" s="23"/>
      </tp>
    </main>
    <main first="marketviewexcelplugin.mkvxp">
      <tp t="s">
        <v>IRISH</v>
        <stp/>
        <stp>0</stp>
        <stp>EUR.CM_INSTRUMENT.PXE.IE00B8DLLB38</stp>
        <stp>Ticker</stp>
        <tr r="B237" s="23"/>
      </tp>
    </main>
    <main first="marketviewexcelplugin.mkvxp">
      <tp t="s">
        <v>DBR</v>
        <stp/>
        <stp>0</stp>
        <stp>EUR.CM_INSTRUMENT.PXE.DE0001102358</stp>
        <stp>Ticker</stp>
        <tr r="B164" s="23"/>
      </tp>
      <tp t="s">
        <v>DBR</v>
        <stp/>
        <stp>0</stp>
        <stp>EUR.CM_INSTRUMENT.PXE.DE0001102341</stp>
        <stp>Ticker</stp>
        <tr r="B181" s="23"/>
      </tp>
      <tp t="s">
        <v>DBR</v>
        <stp/>
        <stp>0</stp>
        <stp>EUR.CM_INSTRUMENT.PXE.DE0001102374</stp>
        <stp>Ticker</stp>
        <tr r="B166" s="23"/>
      </tp>
      <tp t="s">
        <v>DBR</v>
        <stp/>
        <stp>0</stp>
        <stp>EUR.CM_INSTRUMENT.PXE.DE0001102366</stp>
        <stp>Ticker</stp>
        <tr r="B165" s="23"/>
      </tp>
      <tp t="s">
        <v>DBR</v>
        <stp/>
        <stp>0</stp>
        <stp>EUR.CM_INSTRUMENT.PXE.DE0001102317</stp>
        <stp>Ticker</stp>
        <tr r="B160" s="23"/>
      </tp>
      <tp t="s">
        <v>DBR</v>
        <stp/>
        <stp>0</stp>
        <stp>EUR.CM_INSTRUMENT.PXE.DE0001102309</stp>
        <stp>Ticker</stp>
        <tr r="B159" s="23"/>
      </tp>
      <tp t="s">
        <v>DBR</v>
        <stp/>
        <stp>0</stp>
        <stp>EUR.CM_INSTRUMENT.PXE.DE0001102333</stp>
        <stp>Ticker</stp>
        <tr r="B163" s="23"/>
      </tp>
      <tp t="s">
        <v>DBR</v>
        <stp/>
        <stp>0</stp>
        <stp>EUR.CM_INSTRUMENT.PXE.DE0001102325</stp>
        <stp>Ticker</stp>
        <tr r="B161" s="23"/>
      </tp>
      <tp t="s">
        <v>DBR</v>
        <stp/>
        <stp>0</stp>
        <stp>EUR.CM_INSTRUMENT.PXE.DE0001102390</stp>
        <stp>Ticker</stp>
        <tr r="B168" s="23"/>
      </tp>
      <tp t="s">
        <v>DBR</v>
        <stp/>
        <stp>0</stp>
        <stp>EUR.CM_INSTRUMENT.PXE.DE0001102382</stp>
        <stp>Ticker</stp>
        <tr r="B167" s="23"/>
      </tp>
    </main>
    <main first="marketviewexcelplugin.mkvxp">
      <tp t="s">
        <v>DBR</v>
        <stp/>
        <stp>0</stp>
        <stp>EUR.CM_INSTRUMENT.PXE.DE0001102408</stp>
        <stp>Ticker</stp>
        <tr r="B169" s="23"/>
      </tp>
    </main>
    <main first="bloomberg.rtd">
      <tp>
        <v>149.012</v>
        <stp/>
        <stp>##V3_BDHV12</stp>
        <stp>DE0001135481@CBBT Corp</stp>
        <stp>OPEN</stp>
        <stp>09/09/2016 4:15:00 PM</stp>
        <stp>09/09/2016 5:15:00 PM</stp>
        <stp>[Andrea New RollM.xlsm]DB!R180C16</stp>
        <stp>BarSz=60</stp>
        <stp>BarTp=T</stp>
        <stp>RecurDaily=True</stp>
        <stp>TZ=London</stp>
        <stp>DTS=H</stp>
        <tr r="P180" s="23"/>
      </tp>
      <tp>
        <v>108.578</v>
        <stp/>
        <stp>##V3_BDHV12</stp>
        <stp>DE0001135358@CBBT Corp</stp>
        <stp>OPEN</stp>
        <stp>11/10/2016 4:15:00 PM</stp>
        <stp>11/10/2016 5:15:00 PM</stp>
        <stp>[Andrea New RollM.xlsm]DB!R138C14</stp>
        <stp>BarSz=60</stp>
        <stp>BarTp=T</stp>
        <stp>RecurDaily=True</stp>
        <stp>TZ=London</stp>
        <stp>DTS=H</stp>
        <tr r="N138" s="23"/>
      </tp>
    </main>
    <main first="marketviewexcelplugin.mkvxp">
      <tp t="s">
        <v>FRTR</v>
        <stp/>
        <stp>0</stp>
        <stp>EUR.CM_INSTRUMENT.PXE.FR0010371401</stp>
        <stp>Ticker</stp>
        <tr r="B110" s="23"/>
      </tp>
    </main>
    <main first="marketviewexcelplugin.mkvxp">
      <tp t="s">
        <v>FRTR</v>
        <stp/>
        <stp>0</stp>
        <stp>EUR.CM_INSTRUMENT.PXE.FR0013101466</stp>
        <stp>Ticker</stp>
        <tr r="B30" s="23"/>
      </tp>
    </main>
    <main first="bloomberg.rtd">
      <tp>
        <v>131.34800000000001</v>
        <stp/>
        <stp>##V3_BDHV12</stp>
        <stp>ES00000123U9@CBBT Corp</stp>
        <stp>OPEN</stp>
        <stp>11/10/2016 4:15:00 PM</stp>
        <stp>11/10/2016 5:15:00 PM</stp>
        <stp>[Andrea New RollM.xlsm]DB!R201C14</stp>
        <stp>BarSz=60</stp>
        <stp>BarTp=T</stp>
        <stp>RecurDaily=True</stp>
        <stp>TZ=London</stp>
        <stp>DTS=H</stp>
        <tr r="N201" s="23"/>
      </tp>
      <tp>
        <v>110.327</v>
        <stp/>
        <stp>##V3_BDHV12</stp>
        <stp>ES00000127G9@CBBT Corp</stp>
        <stp>OPEN</stp>
        <stp>11/10/2016 4:15:00 PM</stp>
        <stp>11/10/2016 5:15:00 PM</stp>
        <stp>[Andrea New RollM.xlsm]DB!R208C14</stp>
        <stp>BarSz=60</stp>
        <stp>BarTp=T</stp>
        <stp>RecurDaily=True</stp>
        <stp>TZ=London</stp>
        <stp>DTS=H</stp>
        <tr r="N208" s="23"/>
      </tp>
      <tp>
        <v>108.42</v>
        <stp/>
        <stp>##V3_BDHV12</stp>
        <stp>ES00000127Z9@CBBT Corp</stp>
        <stp>OPEN</stp>
        <stp>11/10/2016 4:15:00 PM</stp>
        <stp>11/10/2016 5:15:00 PM</stp>
        <stp>[Andrea New RollM.xlsm]DB!R209C14</stp>
        <stp>BarSz=60</stp>
        <stp>BarTp=T</stp>
        <stp>RecurDaily=True</stp>
        <stp>TZ=London</stp>
        <stp>DTS=H</stp>
        <tr r="N209" s="23"/>
      </tp>
    </main>
    <main first="marketviewexcelplugin.mkvxp">
      <tp t="s">
        <v>FRTR</v>
        <stp/>
        <stp>0</stp>
        <stp>EUR.CM_INSTRUMENT.PXE.FR0011461037</stp>
        <stp>Ticker</stp>
        <tr r="B115" s="23"/>
      </tp>
    </main>
    <main first="bloomberg.rtd">
      <tp>
        <v>105.02200000000001</v>
        <stp/>
        <stp>##V3_BDHV12</stp>
        <stp>ES0000012783@CBBT Corp</stp>
        <stp>OPEN</stp>
        <stp>09/09/2016 4:15:00 PM</stp>
        <stp>09/09/2016 5:15:00 PM</stp>
        <stp>[Andrea New RollM.xlsm]DB!R185C16</stp>
        <stp>BarSz=60</stp>
        <stp>BarTp=T</stp>
        <stp>RecurDaily=True</stp>
        <stp>TZ=London</stp>
        <stp>DTS=H</stp>
        <tr r="P185" s="23"/>
      </tp>
      <tp>
        <v>113.675</v>
        <stp/>
        <stp>##V3_BDHV12</stp>
        <stp>DE0001135408@CBBT Corp</stp>
        <stp>OPEN</stp>
        <stp>11/10/2016 4:15:00 PM</stp>
        <stp>11/10/2016 5:15:00 PM</stp>
        <stp>[Andrea New RollM.xlsm]DB!R148C14</stp>
        <stp>BarSz=60</stp>
        <stp>BarTp=T</stp>
        <stp>RecurDaily=True</stp>
        <stp>TZ=London</stp>
        <stp>DTS=H</stp>
        <tr r="N148" s="23"/>
      </tp>
      <tp>
        <v>119.645</v>
        <stp/>
        <stp>##V3_BDHV12</stp>
        <stp>ES00000122T3@CBBT Corp</stp>
        <stp>OPEN</stp>
        <stp>09/09/2016 4:15:00 PM</stp>
        <stp>09/09/2016 5:15:00 PM</stp>
        <stp>[Andrea New RollM.xlsm]DB!R198C16</stp>
        <stp>BarSz=60</stp>
        <stp>BarTp=T</stp>
        <stp>RecurDaily=True</stp>
        <stp>TZ=London</stp>
        <stp>DTS=H</stp>
        <tr r="P198" s="23"/>
      </tp>
      <tp>
        <v>108.32</v>
        <stp/>
        <stp>##V3_BDHV12</stp>
        <stp>IT0005162828@CBBT Corp</stp>
        <stp>OPEN</stp>
        <stp>04/10/2016 4:15:00 PM</stp>
        <stp>04/10/2016 5:15:00 PM</stp>
        <stp>[Andrea New RollM.xlsm]DB!R117C15</stp>
        <stp>BarSz=60</stp>
        <stp>BarTp=T</stp>
        <stp>RecurDaily=True</stp>
        <stp>TZ=London</stp>
        <stp>DTS=H</stp>
        <tr r="O117" s="23"/>
      </tp>
      <tp>
        <v>110.10899999999999</v>
        <stp/>
        <stp>##V3_BDHV12</stp>
        <stp>DE0001102382@CBBT Corp</stp>
        <stp>OPEN</stp>
        <stp>09/09/2016 4:15:00 PM</stp>
        <stp>09/09/2016 5:15:00 PM</stp>
        <stp>[Andrea New RollM.xlsm]DB!R167C16</stp>
        <stp>BarSz=60</stp>
        <stp>BarTp=T</stp>
        <stp>RecurDaily=True</stp>
        <stp>TZ=London</stp>
        <stp>DTS=H</stp>
        <tr r="P167" s="23"/>
      </tp>
      <tp>
        <v>100.483</v>
        <stp/>
        <stp>##V3_BDHV12</stp>
        <stp>DE0001104602@CBBT Corp</stp>
        <stp>OPEN</stp>
        <stp>09/09/2016 4:15:00 PM</stp>
        <stp>09/09/2016 5:15:00 PM</stp>
        <stp>[Andrea New RollM.xlsm]DB!R128C16</stp>
        <stp>BarSz=60</stp>
        <stp>BarTp=T</stp>
        <stp>RecurDaily=True</stp>
        <stp>TZ=London</stp>
        <stp>DTS=H</stp>
        <tr r="P128" s="23"/>
      </tp>
      <tp>
        <v>106.14100000000001</v>
        <stp/>
        <stp>##V3_BDHV12</stp>
        <stp>DE0001135341@CBBT Corp</stp>
        <stp>OPEN</stp>
        <stp>09/09/2016 4:15:00 PM</stp>
        <stp>09/09/2016 5:15:00 PM</stp>
        <stp>[Andrea New RollM.xlsm]DB!R133C16</stp>
        <stp>BarSz=60</stp>
        <stp>BarTp=T</stp>
        <stp>RecurDaily=True</stp>
        <stp>TZ=London</stp>
        <stp>DTS=H</stp>
        <tr r="P133" s="23"/>
      </tp>
    </main>
    <main first="marketviewexcelplugin.mkvxp">
      <tp t="s">
        <v>FRTR</v>
        <stp/>
        <stp>0</stp>
        <stp>EUR.CM_INSTRUMENT.PXE.FR0010171975</stp>
        <stp>Ticker</stp>
        <tr r="B119" s="23"/>
      </tp>
    </main>
    <main first="bloomberg.rtd">
      <tp>
        <v>105.46299999999999</v>
        <stp/>
        <stp>##V3_BDHV12</stp>
        <stp>IT0005177909@CBBT Corp</stp>
        <stp>OPEN</stp>
        <stp>04/10/2016 4:15:00 PM</stp>
        <stp>04/10/2016 5:15:00 PM</stp>
        <stp>[Andrea New RollM.xlsm]DB!R108C15</stp>
        <stp>BarSz=60</stp>
        <stp>BarTp=T</stp>
        <stp>RecurDaily=True</stp>
        <stp>TZ=London</stp>
        <stp>DTS=H</stp>
        <tr r="O108" s="23"/>
      </tp>
      <tp>
        <v>152.30699999999999</v>
        <stp/>
        <stp>##V3_BDHV12</stp>
        <stp>IT0004286966@CBBT Corp</stp>
        <stp>OPEN</stp>
        <stp>04/10/2016 4:15:00 PM</stp>
        <stp>04/10/2016 5:15:00 PM</stp>
        <stp>[Andrea New RollM.xlsm]DB!R111C15</stp>
        <stp>BarSz=60</stp>
        <stp>BarTp=T</stp>
        <stp>RecurDaily=True</stp>
        <stp>TZ=London</stp>
        <stp>DTS=H</stp>
        <tr r="O111" s="23"/>
      </tp>
      <tp>
        <v>182.77600000000001</v>
        <stp/>
        <stp>##V3_BDHV12</stp>
        <stp>FR0010171975@CBBT Corp</stp>
        <stp>OPEN</stp>
        <stp>09/09/2016 4:15:00 PM</stp>
        <stp>09/09/2016 5:15:00 PM</stp>
        <stp>[Andrea New RollM.xlsm]DB!R119C16</stp>
        <stp>BarSz=60</stp>
        <stp>BarTp=T</stp>
        <stp>RecurDaily=True</stp>
        <stp>TZ=London</stp>
        <stp>DTS=H</stp>
        <tr r="P119" s="23"/>
      </tp>
      <tp>
        <v>129.78800000000001</v>
        <stp/>
        <stp>##V3_BDHV12</stp>
        <stp>ES00000123K0@CBBT Corp</stp>
        <stp>OPEN</stp>
        <stp>09/09/2016 4:15:00 PM</stp>
        <stp>09/09/2016 5:15:00 PM</stp>
        <stp>[Andrea New RollM.xlsm]DB!R200C16</stp>
        <stp>BarSz=60</stp>
        <stp>BarTp=T</stp>
        <stp>RecurDaily=True</stp>
        <stp>TZ=London</stp>
        <stp>DTS=H</stp>
        <tr r="P200" s="23"/>
      </tp>
    </main>
    <main first="marketviewexcelplugin.mkvxp">
      <tp t="s">
        <v>FRTR</v>
        <stp/>
        <stp>0</stp>
        <stp>EUR.CM_INSTRUMENT.PXE.FR0013131877</stp>
        <stp>Ticker</stp>
        <tr r="B89" s="23"/>
      </tp>
    </main>
    <main first="bloomberg.rtd">
      <tp>
        <v>154.94300000000001</v>
        <stp/>
        <stp>##V3_BDHV12</stp>
        <stp>ES00000120N0@CBBT Corp</stp>
        <stp>OPEN</stp>
        <stp>09/09/2016 4:15:00 PM</stp>
        <stp>09/09/2016 5:15:00 PM</stp>
        <stp>[Andrea New RollM.xlsm]DB!R217C16</stp>
        <stp>BarSz=60</stp>
        <stp>BarTp=T</stp>
        <stp>RecurDaily=True</stp>
        <stp>TZ=London</stp>
        <stp>DTS=H</stp>
        <tr r="P217" s="23"/>
      </tp>
      <tp>
        <v>101.251</v>
        <stp/>
        <stp>##V3_BDHV12</stp>
        <stp>DE0001141646@CBBT Corp</stp>
        <stp>OPEN</stp>
        <stp>09/09/2016 4:15:00 PM</stp>
        <stp>09/09/2016 5:15:00 PM</stp>
        <stp>[Andrea New RollM.xlsm]DB!R131C16</stp>
        <stp>BarSz=60</stp>
        <stp>BarTp=T</stp>
        <stp>RecurDaily=True</stp>
        <stp>TZ=London</stp>
        <stp>DTS=H</stp>
        <tr r="P131" s="23"/>
      </tp>
      <tp>
        <v>-0.36649999999999999</v>
        <stp/>
        <stp>##V3_BDPV12</stp>
        <stp>EUSWEH CMPN Curncy</stp>
        <stp>ask</stp>
        <stp>[Andrea New RollM.xlsm]Crv!R18C5</stp>
        <tr r="E18" s="1"/>
      </tp>
      <tp>
        <v>1.252</v>
        <stp/>
        <stp>##V3_BDPV12</stp>
        <stp>ES00000124C5@CBBT Corp</stp>
        <stp>YAS_BOND_YLD</stp>
        <stp>[Andrea New RollM.xlsm]DB!R212C17</stp>
        <stp>SETTLE_DT=20161011</stp>
        <stp>YAS_BOND_PX=143.365</stp>
        <tr r="Q212" s="23"/>
      </tp>
      <tp>
        <v>-0.22500000000000001</v>
        <stp/>
        <stp>##V3_BDPV12</stp>
        <stp>ES00000124B7@CBBT Corp</stp>
        <stp>YAS_BOND_YLD</stp>
        <stp>[Andrea New RollM.xlsm]DB!R190C17</stp>
        <stp>SETTLE_DT=20161011</stp>
        <stp>YAS_BOND_PX=108.195</stp>
        <tr r="Q190" s="23"/>
      </tp>
      <tp>
        <v>-0.11600000000000001</v>
        <stp/>
        <stp>##V3_BDPV12</stp>
        <stp>ES00000124V5@CBBT Corp</stp>
        <stp>YAS_BOND_YLD</stp>
        <stp>[Andrea New RollM.xlsm]DB!R192C17</stp>
        <stp>SETTLE_DT=20161011</stp>
        <stp>YAS_BOND_PX=107.327</stp>
        <tr r="Q192" s="23"/>
      </tp>
      <tp>
        <v>9.5000000000000001E-2</v>
        <stp/>
        <stp>##V3_BDPV12</stp>
        <stp>ES00000122T3@CBBT Corp</stp>
        <stp>YAS_BOND_YLD</stp>
        <stp>[Andrea New RollM.xlsm]DB!R198C19</stp>
        <stp>SETTLE_DT=20160909</stp>
        <stp>YAS_BOND_PX=119.645</stp>
        <tr r="S198" s="23"/>
      </tp>
      <tp>
        <v>-6.4000000000000001E-2</v>
        <stp/>
        <stp>##V3_BDPV12</stp>
        <stp>IT0004957574@CBBT Corp</stp>
        <stp>YAS_BOND_YLD</stp>
        <stp>[Andrea New RollM.xlsm]DB!R28C18</stp>
        <stp>SETTLE_DT=20161004</stp>
        <stp>YAS_BOND_PX=107.7</stp>
        <tr r="R28" s="23"/>
      </tp>
      <tp>
        <v>0.10100000000000001</v>
        <stp/>
        <stp>##V3_BDPV12</stp>
        <stp>IT0003644769@CBBT Corp</stp>
        <stp>YAS_BOND_YLD</stp>
        <stp>[Andrea New RollM.xlsm]DB!R42C19</stp>
        <stp>SETTLE_DT=20160909</stp>
        <stp>YAS_BOND_PX=114.9</stp>
        <tr r="S42" s="23"/>
      </tp>
      <tp>
        <v>-0.14699999999999999</v>
        <stp/>
        <stp>##V3_BDPV12</stp>
        <stp>IE00BJ38CQ36@CBBT Corp</stp>
        <stp>YAS_BOND_YLD</stp>
        <stp>[Andrea New RollM.xlsm]DB!R243C19</stp>
        <stp>SETTLE_DT=20160909</stp>
        <stp>YAS_BOND_PX=105.247</stp>
        <tr r="S243" s="23"/>
      </tp>
      <tp>
        <v>2.4859999999999998</v>
        <stp/>
        <stp>##V3_BDPV12</stp>
        <stp>IT0005162828@CBBT Corp</stp>
        <stp>YAS_BOND_YLD</stp>
        <stp>[Andrea New RollM.xlsm]DB!R117C17</stp>
        <stp>SETTLE_DT=20161011</stp>
        <stp>YAS_BOND_PX=104.878</stp>
        <tr r="Q117" s="23"/>
      </tp>
      <tp>
        <v>2.097</v>
        <stp/>
        <stp>##V3_BDPV12</stp>
        <stp>IT0005177909@CBBT Corp</stp>
        <stp>YAS_BOND_YLD</stp>
        <stp>[Andrea New RollM.xlsm]DB!R108C17</stp>
        <stp>SETTLE_DT=20161011</stp>
        <stp>YAS_BOND_PX=102.658</stp>
        <tr r="Q108" s="23"/>
      </tp>
      <tp>
        <v>2.4550000000000001</v>
        <stp/>
        <stp>##V3_BDPV12</stp>
        <stp>IT0005083057@CBBT Corp</stp>
        <stp>YAS_BOND_YLD</stp>
        <stp>[Andrea New RollM.xlsm]DB!R116C17</stp>
        <stp>SETTLE_DT=20161011</stp>
        <stp>YAS_BOND_PX=117.105</stp>
        <tr r="Q116" s="23"/>
      </tp>
      <tp>
        <v>1.722</v>
        <stp/>
        <stp>##V3_BDPV12</stp>
        <stp>IT0003256820@CBBT Corp</stp>
        <stp>YAS_BOND_YLD</stp>
        <stp>[Andrea New RollM.xlsm]DB!R104C19</stp>
        <stp>SETTLE_DT=20160909</stp>
        <stp>YAS_BOND_PX=157.445</stp>
        <tr r="S104" s="23"/>
      </tp>
      <tp>
        <v>1.776</v>
        <stp/>
        <stp>##V3_BDPV12</stp>
        <stp>IT0001444378@CBBT Corp</stp>
        <stp>YAS_BOND_YLD</stp>
        <stp>[Andrea New RollM.xlsm]DB!R100C17</stp>
        <stp>SETTLE_DT=20161011</stp>
        <stp>YAS_BOND_PX=154.092</stp>
        <tr r="Q100" s="23"/>
      </tp>
      <tp>
        <v>-0.309</v>
        <stp/>
        <stp>##V3_BDPV12</stp>
        <stp>EUSWE5 CMPN Curncy</stp>
        <stp>ask</stp>
        <stp>[Andrea New RollM.xlsm]Crv!R28C5</stp>
        <tr r="E28" s="1"/>
      </tp>
      <tp>
        <v>119.425</v>
        <stp/>
        <stp>##V3_BDHV12</stp>
        <stp>IE00B6089D15@CBBT Corp</stp>
        <stp>OPEN</stp>
        <stp>04/10/2016 4:15:00 PM</stp>
        <stp>04/10/2016 5:15:00 PM</stp>
        <stp>[Andrea New RollM.xlsm]DB!R240C15</stp>
        <stp>BarSz=60</stp>
        <stp>BarTp=T</stp>
        <stp>RecurDaily=True</stp>
        <stp>TZ=London</stp>
        <stp>DTS=H</stp>
        <tr r="O240" s="23"/>
      </tp>
    </main>
    <main first="marketviewexcelplugin.mkvxp">
      <tp t="s">
        <v>DBR</v>
        <stp/>
        <stp>0</stp>
        <stp>EUR.CM_INSTRUMENT.PXE.DE0001135358</stp>
        <stp>Ticker</stp>
        <tr r="B138" s="23"/>
      </tp>
      <tp t="s">
        <v>DBR</v>
        <stp/>
        <stp>0</stp>
        <stp>EUR.CM_INSTRUMENT.PXE.DE0001135341</stp>
        <stp>Ticker</stp>
        <tr r="B133" s="23"/>
      </tp>
      <tp t="s">
        <v>DBR</v>
        <stp/>
        <stp>0</stp>
        <stp>EUR.CM_INSTRUMENT.PXE.DE0001135374</stp>
        <stp>Ticker</stp>
        <tr r="B141" s="23"/>
      </tp>
      <tp t="s">
        <v>DBR</v>
        <stp/>
        <stp>0</stp>
        <stp>EUR.CM_INSTRUMENT.PXE.DE0001135366</stp>
        <stp>Ticker</stp>
        <tr r="B178" s="23"/>
      </tp>
      <tp t="s">
        <v>DBR</v>
        <stp/>
        <stp>0</stp>
        <stp>EUR.CM_INSTRUMENT.PXE.DE0001135333</stp>
        <stp>Ticker</stp>
        <tr r="B129" s="23"/>
      </tp>
      <tp t="s">
        <v>DBR</v>
        <stp/>
        <stp>0</stp>
        <stp>EUR.CM_INSTRUMENT.PXE.DE0001135325</stp>
        <stp>Ticker</stp>
        <tr r="B177" s="23"/>
      </tp>
      <tp t="s">
        <v>DBR</v>
        <stp/>
        <stp>0</stp>
        <stp>EUR.CM_INSTRUMENT.PXE.DE0001135390</stp>
        <stp>Ticker</stp>
        <tr r="B146" s="23"/>
      </tp>
      <tp t="s">
        <v>DBR</v>
        <stp/>
        <stp>0</stp>
        <stp>EUR.CM_INSTRUMENT.PXE.DE0001135382</stp>
        <stp>Ticker</stp>
        <tr r="B144" s="23"/>
      </tp>
      <tp t="s">
        <v>DBR</v>
        <stp/>
        <stp>0</stp>
        <stp>EUR.CM_INSTRUMENT.PXE.DE0001135275</stp>
        <stp>Ticker</stp>
        <tr r="B176" s="23"/>
      </tp>
      <tp t="s">
        <v>DBR</v>
        <stp/>
        <stp>0</stp>
        <stp>EUR.CM_INSTRUMENT.PXE.DE0001135226</stp>
        <stp>Ticker</stp>
        <tr r="B175" s="23"/>
      </tp>
      <tp t="s">
        <v>DBR</v>
        <stp/>
        <stp>0</stp>
        <stp>EUR.CM_INSTRUMENT.PXE.DE0001135143</stp>
        <stp>Ticker</stp>
        <tr r="B173" s="23"/>
      </tp>
      <tp t="s">
        <v>DBR</v>
        <stp/>
        <stp>0</stp>
        <stp>EUR.CM_INSTRUMENT.PXE.DE0001135176</stp>
        <stp>Ticker</stp>
        <tr r="B174" s="23"/>
      </tp>
      <tp t="s">
        <v>DBR</v>
        <stp/>
        <stp>0</stp>
        <stp>EUR.CM_INSTRUMENT.PXE.DE0001135044</stp>
        <stp>Ticker</stp>
        <tr r="B170" s="23"/>
      </tp>
      <tp t="s">
        <v>DBR</v>
        <stp/>
        <stp>0</stp>
        <stp>EUR.CM_INSTRUMENT.PXE.DE0001135069</stp>
        <stp>Ticker</stp>
        <tr r="B171" s="23"/>
      </tp>
      <tp t="s">
        <v>DBR</v>
        <stp/>
        <stp>0</stp>
        <stp>EUR.CM_INSTRUMENT.PXE.DE0001135085</stp>
        <stp>Ticker</stp>
        <tr r="B172" s="23"/>
      </tp>
    </main>
    <main first="marketviewexcelplugin.mkvxp">
      <tp t="s">
        <v>DBR</v>
        <stp/>
        <stp>0</stp>
        <stp>EUR.CM_INSTRUMENT.PXE.DE0001135457</stp>
        <stp>Ticker</stp>
        <tr r="B154" s="23"/>
      </tp>
      <tp t="s">
        <v>DBR</v>
        <stp/>
        <stp>0</stp>
        <stp>EUR.CM_INSTRUMENT.PXE.DE0001135440</stp>
        <stp>Ticker</stp>
        <tr r="B153" s="23"/>
      </tp>
      <tp t="s">
        <v>DBR</v>
        <stp/>
        <stp>0</stp>
        <stp>EUR.CM_INSTRUMENT.PXE.DE0001135473</stp>
        <stp>Ticker</stp>
        <tr r="B157" s="23"/>
      </tp>
      <tp t="s">
        <v>DBR</v>
        <stp/>
        <stp>0</stp>
        <stp>EUR.CM_INSTRUMENT.PXE.DE0001135465</stp>
        <stp>Ticker</stp>
        <tr r="B156" s="23"/>
      </tp>
      <tp t="s">
        <v>DBR</v>
        <stp/>
        <stp>0</stp>
        <stp>EUR.CM_INSTRUMENT.PXE.DE0001135416</stp>
        <stp>Ticker</stp>
        <tr r="B149" s="23"/>
      </tp>
      <tp t="s">
        <v>DBR</v>
        <stp/>
        <stp>0</stp>
        <stp>EUR.CM_INSTRUMENT.PXE.DE0001135408</stp>
        <stp>Ticker</stp>
        <tr r="B148" s="23"/>
      </tp>
      <tp t="s">
        <v>DBR</v>
        <stp/>
        <stp>0</stp>
        <stp>EUR.CM_INSTRUMENT.PXE.DE0001135432</stp>
        <stp>Ticker</stp>
        <tr r="B179" s="23"/>
      </tp>
      <tp t="s">
        <v>DBR</v>
        <stp/>
        <stp>0</stp>
        <stp>EUR.CM_INSTRUMENT.PXE.DE0001135424</stp>
        <stp>Ticker</stp>
        <tr r="B151" s="23"/>
      </tp>
      <tp t="s">
        <v>DBR</v>
        <stp/>
        <stp>0</stp>
        <stp>EUR.CM_INSTRUMENT.PXE.DE0001135499</stp>
        <stp>Ticker</stp>
        <tr r="B158" s="23"/>
      </tp>
      <tp t="s">
        <v>DBR</v>
        <stp/>
        <stp>0</stp>
        <stp>EUR.CM_INSTRUMENT.PXE.DE0001135481</stp>
        <stp>Ticker</stp>
        <tr r="B180" s="23"/>
      </tp>
    </main>
    <main first="bloomberg.rtd">
      <tp>
        <v>112.91800000000001</v>
        <stp/>
        <stp>##V3_BDHV12</stp>
        <stp>DE0001102309@CBBT Corp</stp>
        <stp>OPEN</stp>
        <stp>04/10/2016 4:15:00 PM</stp>
        <stp>04/10/2016 5:15:00 PM</stp>
        <stp>[Andrea New RollM.xlsm]DB!R159C15</stp>
        <stp>BarSz=60</stp>
        <stp>BarTp=T</stp>
        <stp>RecurDaily=True</stp>
        <stp>TZ=London</stp>
        <stp>DTS=H</stp>
        <tr r="O159" s="23"/>
      </tp>
    </main>
    <main first="marketviewexcelplugin.mkvxp">
      <tp t="s">
        <v>BTPS</v>
        <stp/>
        <stp>0</stp>
        <stp>EUR.CM_INSTRUMENT.PXE.IT0005058463</stp>
        <stp>Ticker</stp>
        <tr r="A11" s="7"/>
        <tr r="B17" s="23"/>
      </tp>
    </main>
    <main first="marketviewexcelplugin.mkvxp">
      <tp t="s">
        <v>FRTR</v>
        <stp/>
        <stp>0</stp>
        <stp>EUR.CM_INSTRUMENT.PXE.FR0000187635</stp>
        <stp>Ticker</stp>
        <tr r="B103" s="23"/>
      </tp>
    </main>
    <main first="bloomberg.rtd">
      <tp>
        <v>100.584</v>
        <stp/>
        <stp>##V3_BDHV12</stp>
        <stp>DE0001141638@CBBT Corp</stp>
        <stp>OPEN</stp>
        <stp>11/10/2016 4:15:00 PM</stp>
        <stp>11/10/2016 5:15:00 PM</stp>
        <stp>[Andrea New RollM.xlsm]DB!R127C14</stp>
        <stp>BarSz=60</stp>
        <stp>BarTp=T</stp>
        <stp>RecurDaily=True</stp>
        <stp>TZ=London</stp>
        <stp>DTS=H</stp>
        <tr r="N127" s="23"/>
      </tp>
    </main>
    <main first="marketviewexcelplugin.mkvxp">
      <tp t="s">
        <v>FRTR</v>
        <stp/>
        <stp>0</stp>
        <stp>EUR.CM_INSTRUMENT.PXE.FR0010776161</stp>
        <stp>Ticker</stp>
        <tr r="B39" s="23"/>
      </tp>
      <tp t="s">
        <v>FRTR</v>
        <stp/>
        <stp>0</stp>
        <stp>EUR.CM_INSTRUMENT.PXE.FR0011486067</stp>
        <stp>Ticker</stp>
        <tr r="B72" s="23"/>
      </tp>
    </main>
    <main first="bloomberg.rtd">
      <tp>
        <v>157.44499999999999</v>
        <stp/>
        <stp>##V3_BDHV12</stp>
        <stp>IT0003256820@CBBT Corp</stp>
        <stp>OPEN</stp>
        <stp>09/09/2016 4:15:00 PM</stp>
        <stp>09/09/2016 5:15:00 PM</stp>
        <stp>[Andrea New RollM.xlsm]DB!R104C16</stp>
        <stp>BarSz=60</stp>
        <stp>BarTp=T</stp>
        <stp>RecurDaily=True</stp>
        <stp>TZ=London</stp>
        <stp>DTS=H</stp>
        <tr r="P104" s="23"/>
      </tp>
    </main>
    <main first="marketviewexcelplugin.mkvxp">
      <tp t="s">
        <v>BTPS</v>
        <stp/>
        <stp>0</stp>
        <stp>EUR.CM_INSTRUMENT.PXE.IT0005028003</stp>
        <stp>Ticker</stp>
        <tr r="A37" s="7"/>
        <tr r="B62" s="23"/>
      </tp>
    </main>
    <main first="marketviewexcelplugin.mkvxp">
      <tp t="s">
        <v>BTPS</v>
        <stp/>
        <stp>0</stp>
        <stp>EUR.CM_INSTRUMENT.PXE.IT0001278511</stp>
        <stp>Ticker</stp>
        <tr r="A60" s="7"/>
        <tr r="B97" s="23"/>
      </tp>
      <tp t="s">
        <v>BTPS</v>
        <stp/>
        <stp>0</stp>
        <stp>EUR.CM_INSTRUMENT.PXE.IT0004898034</stp>
        <stp>Ticker</stp>
        <tr r="A44" s="7"/>
        <tr r="B71" s="23"/>
      </tp>
    </main>
    <main first="bloomberg.rtd">
      <tp>
        <v>102.249</v>
        <stp/>
        <stp>##V3_BDHV12</stp>
        <stp>DE0001141711@CBBT Corp</stp>
        <stp>OPEN</stp>
        <stp>09/09/2016 4:15:00 PM</stp>
        <stp>09/09/2016 5:15:00 PM</stp>
        <stp>[Andrea New RollM.xlsm]DB!R147C16</stp>
        <stp>BarSz=60</stp>
        <stp>BarTp=T</stp>
        <stp>RecurDaily=True</stp>
        <stp>TZ=London</stp>
        <stp>DTS=H</stp>
        <tr r="P147" s="23"/>
      </tp>
      <tp>
        <v>117.49299999999999</v>
        <stp/>
        <stp>##V3_BDHV12</stp>
        <stp>IE0034074488@CBBT Corp</stp>
        <stp>OPEN</stp>
        <stp>11/10/2016 4:15:00 PM</stp>
        <stp>11/10/2016 5:15:00 PM</stp>
        <stp>[Andrea New RollM.xlsm]DB!R241C14</stp>
        <stp>BarSz=60</stp>
        <stp>BarTp=T</stp>
        <stp>RecurDaily=True</stp>
        <stp>TZ=London</stp>
        <stp>DTS=H</stp>
        <tr r="N241" s="23"/>
      </tp>
      <tp>
        <v>116.66200000000001</v>
        <stp/>
        <stp>##V3_BDHV12</stp>
        <stp>DE0001102325@CBBT Corp</stp>
        <stp>OPEN</stp>
        <stp>09/09/2016 4:15:00 PM</stp>
        <stp>09/09/2016 5:15:00 PM</stp>
        <stp>[Andrea New RollM.xlsm]DB!R161C16</stp>
        <stp>BarSz=60</stp>
        <stp>BarTp=T</stp>
        <stp>RecurDaily=True</stp>
        <stp>TZ=London</stp>
        <stp>DTS=H</stp>
        <tr r="P161" s="23"/>
      </tp>
      <tp>
        <v>101.33</v>
        <stp/>
        <stp>##V3_BDHV12</stp>
        <stp>ES00000120J8@CBBT Corp</stp>
        <stp>OPEN</stp>
        <stp>04/10/2016 4:15:00 PM</stp>
        <stp>04/10/2016 5:15:00 PM</stp>
        <stp>[Andrea New RollM.xlsm]DB!R183C15</stp>
        <stp>BarSz=60</stp>
        <stp>BarTp=T</stp>
        <stp>RecurDaily=True</stp>
        <stp>TZ=London</stp>
        <stp>DTS=H</stp>
        <tr r="O183" s="23"/>
      </tp>
      <tp>
        <v>176.441</v>
        <stp/>
        <stp>##V3_BDHV12</stp>
        <stp>FR0010773192@CBBT Corp</stp>
        <stp>OPEN</stp>
        <stp>09/09/2016 4:15:00 PM</stp>
        <stp>09/09/2016 5:15:00 PM</stp>
        <stp>[Andrea New RollM.xlsm]DB!R113C16</stp>
        <stp>BarSz=60</stp>
        <stp>BarTp=T</stp>
        <stp>RecurDaily=True</stp>
        <stp>TZ=London</stp>
        <stp>DTS=H</stp>
        <tr r="P113" s="23"/>
      </tp>
      <tp>
        <v>111.539</v>
        <stp/>
        <stp>##V3_BDHV12</stp>
        <stp>DE0001135416@CBBT Corp</stp>
        <stp>OPEN</stp>
        <stp>09/09/2016 4:15:00 PM</stp>
        <stp>09/09/2016 5:15:00 PM</stp>
        <stp>[Andrea New RollM.xlsm]DB!R149C16</stp>
        <stp>BarSz=60</stp>
        <stp>BarTp=T</stp>
        <stp>RecurDaily=True</stp>
        <stp>TZ=London</stp>
        <stp>DTS=H</stp>
        <tr r="P149" s="23"/>
      </tp>
    </main>
    <main first="marketviewexcelplugin.mkvxp">
      <tp t="s">
        <v>FRTR</v>
        <stp/>
        <stp>0</stp>
        <stp>EUR.CM_INSTRUMENT.PXE.FR0011196856</stp>
        <stp>Ticker</stp>
        <tr r="B65" s="23"/>
      </tp>
      <tp t="s">
        <v>FRTR</v>
        <stp/>
        <stp>0</stp>
        <stp>EUR.CM_INSTRUMENT.PXE.FR0010466938</stp>
        <stp>Ticker</stp>
        <tr r="B75" s="23"/>
      </tp>
      <tp t="s">
        <v>FRTR</v>
        <stp/>
        <stp>0</stp>
        <stp>EUR.CM_INSTRUMENT.PXE.FR0010916924</stp>
        <stp>Ticker</stp>
        <tr r="B88" s="23"/>
      </tp>
    </main>
    <main first="bloomberg.rtd">
      <tp>
        <v>154.09200000000001</v>
        <stp/>
        <stp>##V3_BDHV12</stp>
        <stp>IT0001444378@CBBT Corp</stp>
        <stp>OPEN</stp>
        <stp>11/10/2016 4:15:00 PM</stp>
        <stp>11/10/2016 5:15:00 PM</stp>
        <stp>[Andrea New RollM.xlsm]DB!R100C14</stp>
        <stp>BarSz=60</stp>
        <stp>BarTp=T</stp>
        <stp>RecurDaily=True</stp>
        <stp>TZ=London</stp>
        <stp>DTS=H</stp>
        <tr r="N100" s="23"/>
      </tp>
      <tp>
        <v>151.99700000000001</v>
        <stp/>
        <stp>##V3_BDHV12</stp>
        <stp>ES00000121S7@CBBT Corp</stp>
        <stp>OPEN</stp>
        <stp>09/09/2016 4:15:00 PM</stp>
        <stp>09/09/2016 5:15:00 PM</stp>
        <stp>[Andrea New RollM.xlsm]DB!R218C16</stp>
        <stp>BarSz=60</stp>
        <stp>BarTp=T</stp>
        <stp>RecurDaily=True</stp>
        <stp>TZ=London</stp>
        <stp>DTS=H</stp>
        <tr r="P218" s="23"/>
      </tp>
      <tp>
        <v>144.59</v>
        <stp/>
        <stp>##V3_BDHV12</stp>
        <stp>ES00000123C7@CBBT Corp</stp>
        <stp>OPEN</stp>
        <stp>09/09/2016 4:15:00 PM</stp>
        <stp>09/09/2016 5:15:00 PM</stp>
        <stp>[Andrea New RollM.xlsm]DB!R210C16</stp>
        <stp>BarSz=60</stp>
        <stp>BarTp=T</stp>
        <stp>RecurDaily=True</stp>
        <stp>TZ=London</stp>
        <stp>DTS=H</stp>
        <tr r="P210" s="23"/>
      </tp>
      <tp>
        <v>195.26</v>
        <stp/>
        <stp>##V3_BDHV12</stp>
        <stp>DE0001135366@CBBT Corp</stp>
        <stp>OPEN</stp>
        <stp>09/09/2016 4:15:00 PM</stp>
        <stp>09/09/2016 5:15:00 PM</stp>
        <stp>[Andrea New RollM.xlsm]DB!R178C16</stp>
        <stp>BarSz=60</stp>
        <stp>BarTp=T</stp>
        <stp>RecurDaily=True</stp>
        <stp>TZ=London</stp>
        <stp>DTS=H</stp>
        <tr r="P178" s="23"/>
      </tp>
      <tp>
        <v>101.44</v>
        <stp/>
        <stp>##V3_BDHV12</stp>
        <stp>DE0001141661@CBBT Corp</stp>
        <stp>OPEN</stp>
        <stp>09/09/2016 4:15:00 PM</stp>
        <stp>09/09/2016 5:15:00 PM</stp>
        <stp>[Andrea New RollM.xlsm]DB!R136C16</stp>
        <stp>BarSz=60</stp>
        <stp>BarTp=T</stp>
        <stp>RecurDaily=True</stp>
        <stp>TZ=London</stp>
        <stp>DTS=H</stp>
        <tr r="P136" s="23"/>
      </tp>
      <tp>
        <v>177.024</v>
        <stp/>
        <stp>##V3_BDHV12</stp>
        <stp>DE0001135226@CBBT Corp</stp>
        <stp>OPEN</stp>
        <stp>09/09/2016 4:15:00 PM</stp>
        <stp>09/09/2016 5:15:00 PM</stp>
        <stp>[Andrea New RollM.xlsm]DB!R175C16</stp>
        <stp>BarSz=60</stp>
        <stp>BarTp=T</stp>
        <stp>RecurDaily=True</stp>
        <stp>TZ=London</stp>
        <stp>DTS=H</stp>
        <tr r="P175" s="23"/>
      </tp>
      <tp>
        <v>175.12</v>
        <stp/>
        <stp>##V3_BDHV12</stp>
        <stp>DE0001135176@CBBT Corp</stp>
        <stp>OPEN</stp>
        <stp>09/09/2016 4:15:00 PM</stp>
        <stp>09/09/2016 5:15:00 PM</stp>
        <stp>[Andrea New RollM.xlsm]DB!R174C16</stp>
        <stp>BarSz=60</stp>
        <stp>BarTp=T</stp>
        <stp>RecurDaily=True</stp>
        <stp>TZ=London</stp>
        <stp>DTS=H</stp>
        <tr r="P174" s="23"/>
      </tp>
    </main>
    <main first="marketviewexcelplugin.mkvxp">
      <tp t="s">
        <v>BTPS</v>
        <stp/>
        <stp>0</stp>
        <stp>EUR.CM_INSTRUMENT.PXE.IT0004848831</stp>
        <stp>Ticker</stp>
        <tr r="A42" s="7"/>
        <tr r="B69" s="23"/>
      </tp>
    </main>
    <main first="bloomberg.rtd">
      <tp>
        <v>0.58899999999999997</v>
        <stp/>
        <stp>##V3_BDPV12</stp>
        <stp>ES00000121G2@CBBT Corp</stp>
        <stp>YAS_BOND_YLD</stp>
        <stp>[Andrea New RollM.xlsm]DB!R203C17</stp>
        <stp>SETTLE_DT=20161011</stp>
        <stp>YAS_BOND_PX=130.027</stp>
        <tr r="Q203" s="23"/>
      </tp>
      <tp>
        <v>1.375</v>
        <stp/>
        <stp>##V3_BDPV12</stp>
        <stp>ES00000127A2@CBBT Corp</stp>
        <stp>YAS_BOND_YLD</stp>
        <stp>[Andrea New RollM.xlsm]DB!R214C17</stp>
        <stp>SETTLE_DT=20161011</stp>
        <stp>YAS_BOND_PX=107.185</stp>
        <tr r="Q214" s="23"/>
      </tp>
      <tp>
        <v>0.47799999999999998</v>
        <stp/>
        <stp>##V3_BDPV12</stp>
        <stp>ES00000123U9@CBBT Corp</stp>
        <stp>YAS_BOND_YLD</stp>
        <stp>[Andrea New RollM.xlsm]DB!R201C19</stp>
        <stp>SETTLE_DT=20160909</stp>
        <stp>YAS_BOND_PX=130.915</stp>
        <tr r="S201" s="23"/>
      </tp>
    </main>
    <main first="marketviewexcelplugin.mkvxp">
      <tp>
        <v>-0.39826499999999998</v>
        <stp/>
        <stp>0</stp>
        <stp>EUR.PRICING_MAIN.PXE.IE00B60Z6194</stp>
        <stp>CurrentClosingYieldMid</stp>
        <tr r="J242" s="23"/>
      </tp>
    </main>
    <main first="bloomberg.rtd">
      <tp>
        <v>0.84299999999999997</v>
        <stp/>
        <stp>##V3_BDPV12</stp>
        <stp>ES00000126Z1@CBBT Corp</stp>
        <stp>YAS_BOND_YLD</stp>
        <stp>[Andrea New RollM.xlsm]DB!R206C17</stp>
        <stp>SETTLE_DT=20161011</stp>
        <stp>YAS_BOND_PX=106.215</stp>
        <tr r="Q206" s="23"/>
      </tp>
      <tp t="b">
        <v>0</v>
        <stp/>
        <stp>##V3_BCURVEFWDV12</stp>
        <stp>[Andrea New RollM.xlsm]SPF!R4C6</stp>
        <stp>EUR.OIS:BLOOMBERG DC 272086</stp>
        <stp>StartDate,Maturity</stp>
        <stp>Tenor</stp>
        <stp>6 MO</stp>
        <stp>Interval</stp>
        <stp>6 MO</stp>
        <stp>UpTo</stp>
        <stp>32 YR</stp>
        <tr r="F4" s="4"/>
      </tp>
      <tp>
        <v>0.626</v>
        <stp/>
        <stp>##V3_BDPV12</stp>
        <stp>FR0012993103@CBBT Corp</stp>
        <stp>YAS_BOND_YLD</stp>
        <stp>[Andrea New RollM.xlsm]DB!R101C17</stp>
        <stp>SETTLE_DT=20161011</stp>
        <stp>YAS_BOND_PX=112.174</stp>
        <tr r="Q101" s="23"/>
      </tp>
    </main>
    <main first="marketviewexcelplugin.mkvxp">
      <tp t="s">
        <v>IRISH</v>
        <stp/>
        <stp>0</stp>
        <stp>EUR.CM_INSTRUMENT.PXE.IE00B4S3JD47</stp>
        <stp>Ticker</stp>
        <tr r="B244" s="23"/>
      </tp>
    </main>
    <main first="bloomberg.rtd">
      <tp t="s">
        <v>#N/A Invalid object ID</v>
        <stp/>
        <stp>##V3_BCURVEINTV12</stp>
        <stp>[Andrea New RollM.xlsm]Ita!R46C24</stp>
        <stp>EUR.OIS:BLOOMBERG DC 272086</stp>
        <stp>Par.Mid</stp>
        <stp>20231015</stp>
        <stp>Frequency=Annual</stp>
        <stp>DayCount=D30_360_EOMC</stp>
        <tr r="X46" s="7"/>
      </tp>
      <tp t="s">
        <v>#N/A Invalid object ID</v>
        <stp/>
        <stp>##V3_BCURVEINTV12</stp>
        <stp>[Andrea New RollM.xlsm]Ita!R24C24</stp>
        <stp>EUR.OIS:BLOOMBERG DC 272086</stp>
        <stp>Par.Mid</stp>
        <stp>20191015</stp>
        <stp>Frequency=Annual</stp>
        <stp>DayCount=D30_360_EOMC</stp>
        <tr r="X24" s="7"/>
      </tp>
      <tp t="s">
        <v>#N/A Invalid object ID</v>
        <stp/>
        <stp>##V3_BCURVEINTV12</stp>
        <stp>[Andrea New RollM.xlsm]Ita!R16C24</stp>
        <stp>EUR.OIS:BLOOMBERG DC 272086</stp>
        <stp>Par.Mid</stp>
        <stp>20181015</stp>
        <stp>Frequency=Annual</stp>
        <stp>DayCount=D30_360_EOMC</stp>
        <tr r="X16" s="7"/>
      </tp>
      <tp t="s">
        <v>#N/A Invalid object ID</v>
        <stp/>
        <stp>##V3_BCURVEINTV12</stp>
        <stp>[Andrea New RollM.xlsm]Ita!R56C24</stp>
        <stp>EUR.OIS:BLOOMBERG DC 272086</stp>
        <stp>Par.Mid</stp>
        <stp>20261101</stp>
        <stp>Frequency=Annual</stp>
        <stp>DayCount=D30_360_EOMC</stp>
        <tr r="X56" s="7"/>
      </tp>
      <tp t="s">
        <v>#N/A Invalid object ID</v>
        <stp/>
        <stp>##V3_BCURVEINTV12</stp>
        <stp>[Andrea New RollM.xlsm]Ita!R58C24</stp>
        <stp>EUR.OIS:BLOOMBERG DC 272086</stp>
        <stp>Par.Mid</stp>
        <stp>20271101</stp>
        <stp>Frequency=Annual</stp>
        <stp>DayCount=D30_360_EOMC</stp>
        <tr r="X58" s="7"/>
      </tp>
      <tp t="s">
        <v>#N/A Invalid object ID</v>
        <stp/>
        <stp>##V3_BCURVEINTV12</stp>
        <stp>[Andrea New RollM.xlsm]Ita!R47C24</stp>
        <stp>EUR.OIS:BLOOMBERG DC 272086</stp>
        <stp>Par.Mid</stp>
        <stp>20231101</stp>
        <stp>Frequency=Annual</stp>
        <stp>DayCount=D30_360_EOMC</stp>
        <tr r="X47" s="7"/>
      </tp>
      <tp t="s">
        <v>#N/A Invalid object ID</v>
        <stp/>
        <stp>##V3_BCURVEINTV12</stp>
        <stp>[Andrea New RollM.xlsm]Ita!R42C24</stp>
        <stp>EUR.OIS:BLOOMBERG DC 272086</stp>
        <stp>Par.Mid</stp>
        <stp>20221101</stp>
        <stp>Frequency=Annual</stp>
        <stp>DayCount=D30_360_EOMC</stp>
        <tr r="X42" s="7"/>
      </tp>
    </main>
    <main first="bloomberg.rtd">
      <tp t="s">
        <v>#N/A Invalid object ID</v>
        <stp/>
        <stp>##V3_BCURVEINTV12</stp>
        <stp>[Andrea New RollM.xlsm]Ita!R60C24</stp>
        <stp>EUR.OIS:BLOOMBERG DC 272086</stp>
        <stp>Par.Mid</stp>
        <stp>20291101</stp>
        <stp>Frequency=Annual</stp>
        <stp>DayCount=D30_360_EOMC</stp>
        <tr r="X60" s="7"/>
      </tp>
      <tp t="s">
        <v>#N/A Invalid object ID</v>
        <stp/>
        <stp>##V3_BCURVEINTV12</stp>
        <stp>[Andrea New RollM.xlsm]Ita!R36C24</stp>
        <stp>EUR.OIS:BLOOMBERG DC 272086</stp>
        <stp>Par.Mid</stp>
        <stp>20211101</stp>
        <stp>Frequency=Annual</stp>
        <stp>DayCount=D30_360_EOMC</stp>
        <tr r="X36" s="7"/>
      </tp>
      <tp t="s">
        <v>#N/A Invalid object ID</v>
        <stp/>
        <stp>##V3_BCURVEINTV12</stp>
        <stp>[Andrea New RollM.xlsm]Ita!R30C24</stp>
        <stp>EUR.OIS:BLOOMBERG DC 272086</stp>
        <stp>Par.Mid</stp>
        <stp>20201101</stp>
        <stp>Frequency=Annual</stp>
        <stp>DayCount=D30_360_EOMC</stp>
        <tr r="X30" s="7"/>
      </tp>
      <tp t="s">
        <v>#N/A Invalid object ID</v>
        <stp/>
        <stp>##V3_BCURVEINTV12</stp>
        <stp>[Andrea New RollM.xlsm]Ita!R10C24</stp>
        <stp>EUR.OIS:BLOOMBERG DC 272086</stp>
        <stp>Par.Mid</stp>
        <stp>20171101</stp>
        <stp>Frequency=Annual</stp>
        <stp>DayCount=D30_360_EOMC</stp>
        <tr r="X10" s="7"/>
      </tp>
      <tp t="s">
        <v>#N/A Invalid object ID</v>
        <stp/>
        <stp>##V3_BCURVEINTV12</stp>
        <stp>[Andrea New RollM.xlsm]Ita!R50C24</stp>
        <stp>EUR.OIS:BLOOMBERG DC 272086</stp>
        <stp>Par.Mid</stp>
        <stp>20241201</stp>
        <stp>Frequency=Annual</stp>
        <stp>DayCount=D30_360_EOMC</stp>
        <tr r="X50" s="7"/>
      </tp>
      <tp t="s">
        <v>#N/A Invalid object ID</v>
        <stp/>
        <stp>##V3_BCURVEINTV12</stp>
        <stp>[Andrea New RollM.xlsm]Ita!R53C24</stp>
        <stp>EUR.OIS:BLOOMBERG DC 272086</stp>
        <stp>Par.Mid</stp>
        <stp>20251201</stp>
        <stp>Frequency=Annual</stp>
        <stp>DayCount=D30_360_EOMC</stp>
        <tr r="X53" s="7"/>
      </tp>
      <tp t="s">
        <v>#N/A Invalid object ID</v>
        <stp/>
        <stp>##V3_BCURVEINTV12</stp>
        <stp>[Andrea New RollM.xlsm]Ita!R57C24</stp>
        <stp>EUR.OIS:BLOOMBERG DC 272086</stp>
        <stp>Par.Mid</stp>
        <stp>20261201</stp>
        <stp>Frequency=Annual</stp>
        <stp>DayCount=D30_360_EOMC</stp>
        <tr r="X57" s="7"/>
      </tp>
      <tp t="s">
        <v>#N/A Invalid object ID</v>
        <stp/>
        <stp>##V3_BCURVEINTV12</stp>
        <stp>[Andrea New RollM.xlsm]Ita!R25C24</stp>
        <stp>EUR.OIS:BLOOMBERG DC 272086</stp>
        <stp>Par.Mid</stp>
        <stp>20191201</stp>
        <stp>Frequency=Annual</stp>
        <stp>DayCount=D30_360_EOMC</stp>
        <tr r="X25" s="7"/>
      </tp>
      <tp t="s">
        <v>#N/A Invalid object ID</v>
        <stp/>
        <stp>##V3_BCURVEINTV12</stp>
        <stp>[Andrea New RollM.xlsm]Ita!R37C24</stp>
        <stp>EUR.OIS:BLOOMBERG DC 272086</stp>
        <stp>Par.Mid</stp>
        <stp>20211215</stp>
        <stp>Frequency=Annual</stp>
        <stp>DayCount=D30_360_EOMC</stp>
        <tr r="X37" s="7"/>
      </tp>
      <tp t="s">
        <v>#N/A Invalid object ID</v>
        <stp/>
        <stp>##V3_BCURVEINTV12</stp>
        <stp>[Andrea New RollM.xlsm]Ita!R17C24</stp>
        <stp>EUR.OIS:BLOOMBERG DC 272086</stp>
        <stp>Par.Mid</stp>
        <stp>20181201</stp>
        <stp>Frequency=Annual</stp>
        <stp>DayCount=D30_360_EOMC</stp>
        <tr r="X17" s="7"/>
      </tp>
    </main>
    <main first="marketviewexcelplugin.mkvxp">
      <tp t="s">
        <v>BKO</v>
        <stp/>
        <stp>0</stp>
        <stp>EUR.CM_INSTRUMENT.PXE.DE0001104651</stp>
        <stp>Ticker</stp>
        <tr r="B139" s="23"/>
      </tp>
      <tp t="s">
        <v>BKO</v>
        <stp/>
        <stp>0</stp>
        <stp>EUR.CM_INSTRUMENT.PXE.DE0001104644</stp>
        <stp>Ticker</stp>
        <tr r="B137" s="23"/>
      </tp>
      <tp t="s">
        <v>BKO</v>
        <stp/>
        <stp>0</stp>
        <stp>EUR.CM_INSTRUMENT.PXE.DE0001104610</stp>
        <stp>Ticker</stp>
        <tr r="B130" s="23"/>
      </tp>
      <tp t="s">
        <v>BKO</v>
        <stp/>
        <stp>0</stp>
        <stp>EUR.CM_INSTRUMENT.PXE.DE0001104602</stp>
        <stp>Ticker</stp>
        <tr r="B128" s="23"/>
      </tp>
      <tp t="s">
        <v>BKO</v>
        <stp/>
        <stp>0</stp>
        <stp>EUR.CM_INSTRUMENT.PXE.DE0001104636</stp>
        <stp>Ticker</stp>
        <tr r="B135" s="23"/>
      </tp>
      <tp t="s">
        <v>BKO</v>
        <stp/>
        <stp>0</stp>
        <stp>EUR.CM_INSTRUMENT.PXE.DE0001104628</stp>
        <stp>Ticker</stp>
        <tr r="B132" s="23"/>
      </tp>
    </main>
    <main first="marketviewexcelplugin.mkvxp">
      <tp t="s">
        <v>DBR</v>
        <stp/>
        <stp>0</stp>
        <stp>EUR.CM_INSTRUMENT.PXE.DE0001134922</stp>
        <stp>Ticker</stp>
        <tr r="B162" s="23"/>
      </tp>
    </main>
    <main first="bloomberg.rtd">
      <tp>
        <v>100.84699999999999</v>
        <stp/>
        <stp>##V3_BDHV12</stp>
        <stp>DE0001104628@CBBT Corp</stp>
        <stp>OPEN</stp>
        <stp>04/10/2016 4:15:00 PM</stp>
        <stp>04/10/2016 5:15:00 PM</stp>
        <stp>[Andrea New RollM.xlsm]DB!R132C15</stp>
        <stp>BarSz=60</stp>
        <stp>BarTp=T</stp>
        <stp>RecurDaily=True</stp>
        <stp>TZ=London</stp>
        <stp>DTS=H</stp>
        <tr r="O132" s="23"/>
      </tp>
    </main>
    <main first="marketviewexcelplugin.mkvxp">
      <tp t="s">
        <v>FRTR</v>
        <stp/>
        <stp>0</stp>
        <stp>EUR.CM_INSTRUMENT.PXE.FR0010517417</stp>
        <stp>Ticker</stp>
        <tr r="B15" s="23"/>
      </tp>
      <tp t="s">
        <v>BTPS</v>
        <stp/>
        <stp>0</stp>
        <stp>EUR.CM_INSTRUMENT.PXE.IT0004489610</stp>
        <stp>Ticker</stp>
        <tr r="A23" s="7"/>
        <tr r="B37" s="23"/>
      </tp>
      <tp t="s">
        <v>BTPS</v>
        <stp/>
        <stp>0</stp>
        <stp>EUR.CM_INSTRUMENT.PXE.IT0004009673</stp>
        <stp>Ticker</stp>
        <tr r="A34" s="7"/>
        <tr r="B58" s="23"/>
      </tp>
      <tp t="s">
        <v>BTPS</v>
        <stp/>
        <stp>0</stp>
        <stp>EUR.CM_INSTRUMENT.PXE.IT0004759673</stp>
        <stp>Ticker</stp>
        <tr r="A38" s="7"/>
        <tr r="B63" s="23"/>
      </tp>
    </main>
    <main first="bloomberg.rtd">
      <tp>
        <v>177.839</v>
        <stp/>
        <stp>##V3_BDHV12</stp>
        <stp>FR0000187635@CBBT Corp</stp>
        <stp>OPEN</stp>
        <stp>11/10/2016 4:15:00 PM</stp>
        <stp>11/10/2016 5:15:00 PM</stp>
        <stp>[Andrea New RollM.xlsm]DB!R103C14</stp>
        <stp>BarSz=60</stp>
        <stp>BarTp=T</stp>
        <stp>RecurDaily=True</stp>
        <stp>TZ=London</stp>
        <stp>DTS=H</stp>
        <tr r="N103" s="23"/>
      </tp>
      <tp>
        <v>110.797</v>
        <stp/>
        <stp>##V3_BDHV12</stp>
        <stp>FR0013154028@CBBT Corp</stp>
        <stp>OPEN</stp>
        <stp>11/10/2016 4:15:00 PM</stp>
        <stp>11/10/2016 5:15:00 PM</stp>
        <stp>[Andrea New RollM.xlsm]DB!R121C14</stp>
        <stp>BarSz=60</stp>
        <stp>BarTp=T</stp>
        <stp>RecurDaily=True</stp>
        <stp>TZ=London</stp>
        <stp>DTS=H</stp>
        <tr r="N121" s="23"/>
      </tp>
      <tp>
        <v>103.389</v>
        <stp/>
        <stp>##V3_BDHV12</stp>
        <stp>DE0001141679@CBBT Corp</stp>
        <stp>OPEN</stp>
        <stp>11/10/2016 4:15:00 PM</stp>
        <stp>11/10/2016 5:15:00 PM</stp>
        <stp>[Andrea New RollM.xlsm]DB!R140C14</stp>
        <stp>BarSz=60</stp>
        <stp>BarTp=T</stp>
        <stp>RecurDaily=True</stp>
        <stp>TZ=London</stp>
        <stp>DTS=H</stp>
        <tr r="N140" s="23"/>
      </tp>
    </main>
    <main first="marketviewexcelplugin.mkvxp">
      <tp t="e">
        <v>#REF!</v>
        <stp/>
        <stp>0</stp>
        <stp>EUR.CM_INSTRUMENT.PXE.IT0004019581</stp>
        <stp>Ticker</stp>
        <tr r="B5" s="23"/>
      </tp>
    </main>
    <main first="bloomberg.rtd">
      <tp>
        <v>114.63500000000001</v>
        <stp/>
        <stp>##V3_BDHV12</stp>
        <stp>DE0001102358@CBBT Corp</stp>
        <stp>OPEN</stp>
        <stp>04/10/2016 4:15:00 PM</stp>
        <stp>04/10/2016 5:15:00 PM</stp>
        <stp>[Andrea New RollM.xlsm]DB!R164C15</stp>
        <stp>BarSz=60</stp>
        <stp>BarTp=T</stp>
        <stp>RecurDaily=True</stp>
        <stp>TZ=London</stp>
        <stp>DTS=H</stp>
        <tr r="O164" s="23"/>
      </tp>
      <tp>
        <v>103.468</v>
        <stp/>
        <stp>##V3_BDHV12</stp>
        <stp>DE0001141729@CBBT Corp</stp>
        <stp>OPEN</stp>
        <stp>11/10/2016 4:15:00 PM</stp>
        <stp>11/10/2016 5:15:00 PM</stp>
        <stp>[Andrea New RollM.xlsm]DB!R150C14</stp>
        <stp>BarSz=60</stp>
        <stp>BarTp=T</stp>
        <stp>RecurDaily=True</stp>
        <stp>TZ=London</stp>
        <stp>DTS=H</stp>
        <tr r="N150" s="23"/>
      </tp>
      <tp>
        <v>100.857</v>
        <stp/>
        <stp>##V3_BDHV12</stp>
        <stp>DE0001102408@CBBT Corp</stp>
        <stp>OPEN</stp>
        <stp>04/10/2016 4:15:00 PM</stp>
        <stp>04/10/2016 5:15:00 PM</stp>
        <stp>[Andrea New RollM.xlsm]DB!R169C15</stp>
        <stp>BarSz=60</stp>
        <stp>BarTp=T</stp>
        <stp>RecurDaily=True</stp>
        <stp>TZ=London</stp>
        <stp>DTS=H</stp>
        <tr r="O169" s="23"/>
      </tp>
    </main>
    <main first="marketviewexcelplugin.mkvxp">
      <tp t="s">
        <v>FRTR</v>
        <stp/>
        <stp>0</stp>
        <stp>EUR.CM_INSTRUMENT.PXE.FR0011317783</stp>
        <stp>Ticker</stp>
        <tr r="B94" s="23"/>
      </tp>
    </main>
    <main first="bloomberg.rtd">
      <tp>
        <v>134.18199999999999</v>
        <stp/>
        <stp>##V3_BDHV12</stp>
        <stp>IT0003934657@CBBT Corp</stp>
        <stp>OPEN</stp>
        <stp>09/09/2016 4:15:00 PM</stp>
        <stp>09/09/2016 5:15:00 PM</stp>
        <stp>[Andrea New RollM.xlsm]DB!R109C16</stp>
        <stp>BarSz=60</stp>
        <stp>BarTp=T</stp>
        <stp>RecurDaily=True</stp>
        <stp>TZ=London</stp>
        <stp>DTS=H</stp>
        <tr r="P109" s="23"/>
      </tp>
      <tp>
        <v>148.292</v>
        <stp/>
        <stp>##V3_BDHV12</stp>
        <stp>IT0003535157@CBBT Corp</stp>
        <stp>OPEN</stp>
        <stp>09/09/2016 4:15:00 PM</stp>
        <stp>09/09/2016 5:15:00 PM</stp>
        <stp>[Andrea New RollM.xlsm]DB!R105C16</stp>
        <stp>BarSz=60</stp>
        <stp>BarTp=T</stp>
        <stp>RecurDaily=True</stp>
        <stp>TZ=London</stp>
        <stp>DTS=H</stp>
        <tr r="P105" s="23"/>
      </tp>
    </main>
    <main first="marketviewexcelplugin.mkvxp">
      <tp t="s">
        <v>BTPS</v>
        <stp/>
        <stp>0</stp>
        <stp>EUR.CM_INSTRUMENT.PXE.IT0005069395</stp>
        <stp>Ticker</stp>
        <tr r="A25" s="7"/>
        <tr r="B41" s="23"/>
      </tp>
    </main>
    <main first="bloomberg.rtd">
      <tp>
        <v>107.965</v>
        <stp/>
        <stp>##V3_BDHV12</stp>
        <stp>ES00000121A5@CBBT Corp</stp>
        <stp>OPEN</stp>
        <stp>09/09/2016 4:15:00 PM</stp>
        <stp>09/09/2016 5:15:00 PM</stp>
        <stp>[Andrea New RollM.xlsm]DB!R189C16</stp>
        <stp>BarSz=60</stp>
        <stp>BarTp=T</stp>
        <stp>RecurDaily=True</stp>
        <stp>TZ=London</stp>
        <stp>DTS=H</stp>
        <tr r="P189" s="23"/>
      </tp>
    </main>
    <main first="marketviewexcelplugin.mkvxp">
      <tp t="s">
        <v>BTPS</v>
        <stp/>
        <stp>0</stp>
        <stp>EUR.CM_INSTRUMENT.PXE.IT0005139099</stp>
        <stp>Ticker</stp>
        <tr r="A16" s="7"/>
        <tr r="B25" s="23"/>
      </tp>
      <tp t="s">
        <v>FRTR</v>
        <stp/>
        <stp>0</stp>
        <stp>EUR.CM_INSTRUMENT.PXE.FR0013157096</stp>
        <stp>Ticker</stp>
        <tr r="B55" s="23"/>
      </tp>
    </main>
    <main first="bloomberg.rtd">
      <tp>
        <v>107.298</v>
        <stp/>
        <stp>##V3_BDHV12</stp>
        <stp>ES00000124V5@CBBT Corp</stp>
        <stp>OPEN</stp>
        <stp>09/09/2016 4:15:00 PM</stp>
        <stp>09/09/2016 5:15:00 PM</stp>
        <stp>[Andrea New RollM.xlsm]DB!R192C16</stp>
        <stp>BarSz=60</stp>
        <stp>BarTp=T</stp>
        <stp>RecurDaily=True</stp>
        <stp>TZ=London</stp>
        <stp>DTS=H</stp>
        <tr r="P192" s="23"/>
      </tp>
    </main>
    <main first="marketviewexcelplugin.mkvxp">
      <tp t="s">
        <v>FRTR</v>
        <stp/>
        <stp>0</stp>
        <stp>EUR.CM_INSTRUMENT.PXE.FR0012517027</stp>
        <stp>Ticker</stp>
        <tr r="B83" s="23"/>
      </tp>
      <tp t="s">
        <v>BTPS</v>
        <stp/>
        <stp>0</stp>
        <stp>EUR.CM_INSTRUMENT.PXE.IT0004889033</stp>
        <stp>Ticker</stp>
        <tr r="A59" s="7"/>
        <tr r="B96" s="23"/>
      </tp>
    </main>
    <main first="bloomberg.rtd">
      <tp>
        <v>100.161</v>
        <stp/>
        <stp>##V3_BDHV12</stp>
        <stp>DE0001137487@CBBT Corp</stp>
        <stp>OPEN</stp>
        <stp>09/09/2016 4:15:00 PM</stp>
        <stp>09/09/2016 5:15:00 PM</stp>
        <stp>[Andrea New RollM.xlsm]DB!R124C16</stp>
        <stp>BarSz=60</stp>
        <stp>BarTp=T</stp>
        <stp>RecurDaily=True</stp>
        <stp>TZ=London</stp>
        <stp>DTS=H</stp>
        <tr r="P124" s="23"/>
      </tp>
      <tp>
        <v>105.95</v>
        <stp/>
        <stp>##V3_BDHV12</stp>
        <stp>DE0001102374@CBBT Corp</stp>
        <stp>OPEN</stp>
        <stp>09/09/2016 4:15:00 PM</stp>
        <stp>09/09/2016 5:15:00 PM</stp>
        <stp>[Andrea New RollM.xlsm]DB!R166C16</stp>
        <stp>BarSz=60</stp>
        <stp>BarTp=T</stp>
        <stp>RecurDaily=True</stp>
        <stp>TZ=London</stp>
        <stp>DTS=H</stp>
        <tr r="P166" s="23"/>
      </tp>
      <tp>
        <v>101.133</v>
        <stp/>
        <stp>##V3_BDHV12</stp>
        <stp>DE0001104644@CBBT Corp</stp>
        <stp>OPEN</stp>
        <stp>09/09/2016 4:15:00 PM</stp>
        <stp>09/09/2016 5:15:00 PM</stp>
        <stp>[Andrea New RollM.xlsm]DB!R137C16</stp>
        <stp>BarSz=60</stp>
        <stp>BarTp=T</stp>
        <stp>RecurDaily=True</stp>
        <stp>TZ=London</stp>
        <stp>DTS=H</stp>
        <tr r="P137" s="23"/>
      </tp>
      <tp t="b">
        <v>0</v>
        <stp/>
        <stp>##V3_BCURVEINTV12</stp>
        <stp>[Andrea New RollM.xlsm]SPF!R19C9</stp>
        <stp>EUR.OIS:BLOOMBERG DC 272086</stp>
        <stp>Par.Mid</stp>
        <stp>20240415</stp>
        <stp>Frequency=Annual</stp>
        <stp>DayCount=D30_360_EOMC</stp>
        <tr r="I19" s="4"/>
      </tp>
      <tp t="b">
        <v>0</v>
        <stp/>
        <stp>##V3_BCURVEINTV12</stp>
        <stp>[Andrea New RollM.xlsm]SPF!R29C9</stp>
        <stp>EUR.OIS:BLOOMBERG DC 272086</stp>
        <stp>Par.Mid</stp>
        <stp>20290416</stp>
        <stp>Frequency=Annual</stp>
        <stp>DayCount=D30_360_EOMC</stp>
        <tr r="I29" s="4"/>
      </tp>
      <tp t="b">
        <v>0</v>
        <stp/>
        <stp>##V3_BCURVEINTV12</stp>
        <stp>[Andrea New RollM.xlsm]SPF!R39C9</stp>
        <stp>EUR.OIS:BLOOMBERG DC 272086</stp>
        <stp>Par.Mid</stp>
        <stp>20340414</stp>
        <stp>Frequency=Annual</stp>
        <stp>DayCount=D30_360_EOMC</stp>
        <tr r="I39" s="4"/>
      </tp>
      <tp t="b">
        <v>0</v>
        <stp/>
        <stp>##V3_BCURVEINTV12</stp>
        <stp>[Andrea New RollM.xlsm]SPF!R49C9</stp>
        <stp>EUR.OIS:BLOOMBERG DC 272086</stp>
        <stp>Par.Mid</stp>
        <stp>20390414</stp>
        <stp>Frequency=Annual</stp>
        <stp>DayCount=D30_360_EOMC</stp>
        <tr r="I49" s="4"/>
      </tp>
      <tp t="b">
        <v>0</v>
        <stp/>
        <stp>##V3_BCURVEINTV12</stp>
        <stp>[Andrea New RollM.xlsm]SPF!R59C9</stp>
        <stp>EUR.OIS:BLOOMBERG DC 272086</stp>
        <stp>Par.Mid</stp>
        <stp>20440414</stp>
        <stp>Frequency=Annual</stp>
        <stp>DayCount=D30_360_EOMC</stp>
        <tr r="I59" s="4"/>
      </tp>
      <tp>
        <v>114.91</v>
        <stp/>
        <stp>##V3_BDHV12</stp>
        <stp>ES00000128C6@CBBT Corp</stp>
        <stp>OPEN</stp>
        <stp>09/09/2016 4:15:00 PM</stp>
        <stp>09/09/2016 5:15:00 PM</stp>
        <stp>[Andrea New RollM.xlsm]DB!R220C16</stp>
        <stp>BarSz=60</stp>
        <stp>BarTp=T</stp>
        <stp>RecurDaily=True</stp>
        <stp>TZ=London</stp>
        <stp>DTS=H</stp>
        <tr r="P220" s="23"/>
      </tp>
    </main>
    <main first="marketviewexcelplugin.mkvxp">
      <tp t="s">
        <v>FRTR</v>
        <stp/>
        <stp>0</stp>
        <stp>EUR.CM_INSTRUMENT.PXE.FR0011337880</stp>
        <stp>Ticker</stp>
        <tr r="B68" s="23"/>
      </tp>
    </main>
    <main first="bloomberg.rtd">
      <tp>
        <v>124.97799999999999</v>
        <stp/>
        <stp>##V3_BDHV12</stp>
        <stp>ES00000123B9@CBBT Corp</stp>
        <stp>OPEN</stp>
        <stp>04/10/2016 4:15:00 PM</stp>
        <stp>04/10/2016 5:15:00 PM</stp>
        <stp>[Andrea New RollM.xlsm]DB!R199C15</stp>
        <stp>BarSz=60</stp>
        <stp>BarTp=T</stp>
        <stp>RecurDaily=True</stp>
        <stp>TZ=London</stp>
        <stp>DTS=H</stp>
        <tr r="O199" s="23"/>
      </tp>
      <tp>
        <v>113.991</v>
        <stp/>
        <stp>##V3_BDHV12</stp>
        <stp>DE0001135457@CBBT Corp</stp>
        <stp>OPEN</stp>
        <stp>09/09/2016 4:15:00 PM</stp>
        <stp>09/09/2016 5:15:00 PM</stp>
        <stp>[Andrea New RollM.xlsm]DB!R154C16</stp>
        <stp>BarSz=60</stp>
        <stp>BarTp=T</stp>
        <stp>RecurDaily=True</stp>
        <stp>TZ=London</stp>
        <stp>DTS=H</stp>
        <tr r="P154" s="23"/>
      </tp>
      <tp>
        <v>100.62</v>
        <stp/>
        <stp>##V3_BDHV12</stp>
        <stp>DE0001141620@CBBT Corp</stp>
        <stp>OPEN</stp>
        <stp>09/09/2016 4:15:00 PM</stp>
        <stp>09/09/2016 5:15:00 PM</stp>
        <stp>[Andrea New RollM.xlsm]DB!R125C16</stp>
        <stp>BarSz=60</stp>
        <stp>BarTp=T</stp>
        <stp>RecurDaily=True</stp>
        <stp>TZ=London</stp>
        <stp>DTS=H</stp>
        <tr r="P125" s="23"/>
      </tp>
    </main>
    <main first="marketviewexcelplugin.mkvxp">
      <tp t="s">
        <v>FRTR</v>
        <stp/>
        <stp>0</stp>
        <stp>EUR.CM_INSTRUMENT.PXE.FR0012557957</stp>
        <stp>Ticker</stp>
        <tr r="B46" s="23"/>
      </tp>
    </main>
    <main first="bloomberg.rtd">
      <tp t="b">
        <v>0</v>
        <stp/>
        <stp>##V3_BCURVEINTV12</stp>
        <stp>[Andrea New RollM.xlsm]SPF!R18C9</stp>
        <stp>EUR.OIS:BLOOMBERG DC 272086</stp>
        <stp>Par.Mid</stp>
        <stp>20231016</stp>
        <stp>Frequency=Annual</stp>
        <stp>DayCount=D30_360_EOMC</stp>
        <tr r="I18" s="4"/>
      </tp>
      <tp t="b">
        <v>0</v>
        <stp/>
        <stp>##V3_BCURVEINTV12</stp>
        <stp>[Andrea New RollM.xlsm]SPF!R28C9</stp>
        <stp>EUR.OIS:BLOOMBERG DC 272086</stp>
        <stp>Par.Mid</stp>
        <stp>20281016</stp>
        <stp>Frequency=Annual</stp>
        <stp>DayCount=D30_360_EOMC</stp>
        <tr r="I28" s="4"/>
      </tp>
      <tp t="b">
        <v>0</v>
        <stp/>
        <stp>##V3_BCURVEINTV12</stp>
        <stp>[Andrea New RollM.xlsm]SPF!R38C9</stp>
        <stp>EUR.OIS:BLOOMBERG DC 272086</stp>
        <stp>Par.Mid</stp>
        <stp>20331014</stp>
        <stp>Frequency=Annual</stp>
        <stp>DayCount=D30_360_EOMC</stp>
        <tr r="I38" s="4"/>
      </tp>
      <tp t="b">
        <v>0</v>
        <stp/>
        <stp>##V3_BCURVEINTV12</stp>
        <stp>[Andrea New RollM.xlsm]SPF!R48C9</stp>
        <stp>EUR.OIS:BLOOMBERG DC 272086</stp>
        <stp>Par.Mid</stp>
        <stp>20381014</stp>
        <stp>Frequency=Annual</stp>
        <stp>DayCount=D30_360_EOMC</stp>
        <tr r="I48" s="4"/>
      </tp>
      <tp t="b">
        <v>0</v>
        <stp/>
        <stp>##V3_BCURVEINTV12</stp>
        <stp>[Andrea New RollM.xlsm]SPF!R58C9</stp>
        <stp>EUR.OIS:BLOOMBERG DC 272086</stp>
        <stp>Par.Mid</stp>
        <stp>20431014</stp>
        <stp>Frequency=Annual</stp>
        <stp>DayCount=D30_360_EOMC</stp>
        <tr r="I58" s="4"/>
      </tp>
      <tp>
        <v>121.803</v>
        <stp/>
        <stp>##V3_BDHV12</stp>
        <stp>IE00BJ38CR43@CBBT Corp</stp>
        <stp>OPEN</stp>
        <stp>04/10/2016 4:15:00 PM</stp>
        <stp>04/10/2016 5:15:00 PM</stp>
        <stp>[Andrea New RollM.xlsm]DB!R248C15</stp>
        <stp>BarSz=60</stp>
        <stp>BarTp=T</stp>
        <stp>RecurDaily=True</stp>
        <stp>TZ=London</stp>
        <stp>DTS=H</stp>
        <tr r="O248" s="23"/>
      </tp>
      <tp>
        <v>105.57</v>
        <stp/>
        <stp>##V3_BDHV12</stp>
        <stp>IE00BJ38CQ36@CBBT Corp</stp>
        <stp>OPEN</stp>
        <stp>11/10/2016 4:15:00 PM</stp>
        <stp>11/10/2016 5:15:00 PM</stp>
        <stp>[Andrea New RollM.xlsm]DB!R243C14</stp>
        <stp>BarSz=60</stp>
        <stp>BarTp=T</stp>
        <stp>RecurDaily=True</stp>
        <stp>TZ=London</stp>
        <stp>DTS=H</stp>
        <tr r="N243" s="23"/>
      </tp>
      <tp>
        <v>1.04</v>
        <stp/>
        <stp>##V3_BDPV12</stp>
        <stp>ES00000123C7@CBBT Corp</stp>
        <stp>YAS_BOND_YLD</stp>
        <stp>[Andrea New RollM.xlsm]DB!R210C17</stp>
        <stp>SETTLE_DT=20161011</stp>
        <stp>YAS_BOND_PX=145.057</stp>
        <tr r="Q210" s="23"/>
      </tp>
      <tp>
        <v>-8.1000000000000003E-2</v>
        <stp/>
        <stp>##V3_BDPV12</stp>
        <stp>ES00000121L2@CBBT Corp</stp>
        <stp>YAS_BOND_YLD</stp>
        <stp>[Andrea New RollM.xlsm]DB!R193C17</stp>
        <stp>SETTLE_DT=20161011</stp>
        <stp>YAS_BOND_PX=113.128</stp>
        <tr r="Q193" s="23"/>
      </tp>
      <tp>
        <v>1.1599999999999999</v>
        <stp/>
        <stp>##V3_BDPV12</stp>
        <stp>ES00000128H5@CBBT Corp</stp>
        <stp>YAS_BOND_YLD</stp>
        <stp>[Andrea New RollM.xlsm]DB!R211C19</stp>
        <stp>SETTLE_DT=20160909</stp>
        <stp>YAS_BOND_PX=101.327</stp>
        <tr r="S211" s="23"/>
      </tp>
      <tp>
        <v>7.3999999999999996E-2</v>
        <stp/>
        <stp>##V3_BDPV12</stp>
        <stp>ES00000123J2@CBBT Corp</stp>
        <stp>YAS_BOND_YLD</stp>
        <stp>[Andrea New RollM.xlsm]DB!R182C17</stp>
        <stp>SETTLE_DT=20161011</stp>
        <stp>YAS_BOND_PX=100.228</stp>
        <tr r="Q182" s="23"/>
      </tp>
      <tp>
        <v>1.968</v>
        <stp/>
        <stp>##V3_BDPV12</stp>
        <stp>IT0003934657@CBBT Corp</stp>
        <stp>YAS_BOND_YLD</stp>
        <stp>[Andrea New RollM.xlsm]DB!R109C19</stp>
        <stp>SETTLE_DT=20160909</stp>
        <stp>YAS_BOND_PX=134.182</stp>
        <tr r="S109" s="23"/>
      </tp>
      <tp>
        <v>0.80100000000000005</v>
        <stp/>
        <stp>##V3_BDPV12</stp>
        <stp>IE00BJ38CR43@CBBT Corp</stp>
        <stp>YAS_BOND_YLD</stp>
        <stp>[Andrea New RollM.xlsm]DB!R248C17</stp>
        <stp>SETTLE_DT=20161011</stp>
        <stp>YAS_BOND_PX=120.518</stp>
        <tr r="Q248" s="23"/>
      </tp>
      <tp>
        <v>0.77300000000000002</v>
        <stp/>
        <stp>##V3_BDPV12</stp>
        <stp>FR0010070060@CBBT Corp</stp>
        <stp>YAS_BOND_YLD</stp>
        <stp>[Andrea New RollM.xlsm]DB!R106C17</stp>
        <stp>SETTLE_DT=20161011</stp>
        <stp>YAS_BOND_PX=168.425</stp>
        <tr r="Q106" s="23"/>
      </tp>
      <tp t="s">
        <v>#N/A Invalid object ID</v>
        <stp/>
        <stp>##V3_BCURVEINTV12</stp>
        <stp>[Andrea New RollM.xlsm]Ita!R45C24</stp>
        <stp>EUR.OIS:BLOOMBERG DC 272086</stp>
        <stp>Par.Mid</stp>
        <stp>20230801</stp>
        <stp>Frequency=Annual</stp>
        <stp>DayCount=D30_360_EOMC</stp>
        <tr r="X45" s="7"/>
      </tp>
      <tp t="s">
        <v>#N/A Invalid object ID</v>
        <stp/>
        <stp>##V3_BCURVEINTV12</stp>
        <stp>[Andrea New RollM.xlsm]Ita!R65C24</stp>
        <stp>EUR.OIS:BLOOMBERG DC 272086</stp>
        <stp>Par.Mid</stp>
        <stp>20340801</stp>
        <stp>Frequency=Annual</stp>
        <stp>DayCount=D30_360_EOMC</stp>
        <tr r="X65" s="7"/>
      </tp>
      <tp t="s">
        <v>#N/A Invalid object ID</v>
        <stp/>
        <stp>##V3_BCURVEINTV12</stp>
        <stp>[Andrea New RollM.xlsm]Ita!R68C24</stp>
        <stp>EUR.OIS:BLOOMBERG DC 272086</stp>
        <stp>Par.Mid</stp>
        <stp>20390801</stp>
        <stp>Frequency=Annual</stp>
        <stp>DayCount=D30_360_EOMC</stp>
        <tr r="X68" s="7"/>
      </tp>
      <tp t="s">
        <v>#N/A Invalid object ID</v>
        <stp/>
        <stp>##V3_BCURVEINTV12</stp>
        <stp>[Andrea New RollM.xlsm]Ita!R22C24</stp>
        <stp>EUR.OIS:BLOOMBERG DC 272086</stp>
        <stp>Par.Mid</stp>
        <stp>20190801</stp>
        <stp>Frequency=Annual</stp>
        <stp>DayCount=D30_360_EOMC</stp>
        <tr r="X22" s="7"/>
      </tp>
      <tp t="s">
        <v>#N/A Invalid object ID</v>
        <stp/>
        <stp>##V3_BCURVEINTV12</stp>
        <stp>[Andrea New RollM.xlsm]Ita!R34C24</stp>
        <stp>EUR.OIS:BLOOMBERG DC 272086</stp>
        <stp>Par.Mid</stp>
        <stp>20210801</stp>
        <stp>Frequency=Annual</stp>
        <stp>DayCount=D30_360_EOMC</stp>
        <tr r="X34" s="7"/>
      </tp>
      <tp t="s">
        <v>#N/A Invalid object ID</v>
        <stp/>
        <stp>##V3_BCURVEINTV12</stp>
        <stp>[Andrea New RollM.xlsm]Ita!R15C24</stp>
        <stp>EUR.OIS:BLOOMBERG DC 272086</stp>
        <stp>Par.Mid</stp>
        <stp>20180801</stp>
        <stp>Frequency=Annual</stp>
        <stp>DayCount=D30_360_EOMC</stp>
        <tr r="X15" s="7"/>
      </tp>
      <tp t="s">
        <v>#N/A Invalid object ID</v>
        <stp/>
        <stp>##V3_BCURVEINTV12</stp>
        <stp>[Andrea New RollM.xlsm]Ita!R41C24</stp>
        <stp>EUR.OIS:BLOOMBERG DC 272086</stp>
        <stp>Par.Mid</stp>
        <stp>20220915</stp>
        <stp>Frequency=Annual</stp>
        <stp>DayCount=D30_360_EOMC</stp>
        <tr r="X41" s="7"/>
      </tp>
      <tp t="s">
        <v>#N/A Invalid object ID</v>
        <stp/>
        <stp>##V3_BCURVEINTV12</stp>
        <stp>[Andrea New RollM.xlsm]Ita!R59C24</stp>
        <stp>EUR.OIS:BLOOMBERG DC 272086</stp>
        <stp>Par.Mid</stp>
        <stp>20280901</stp>
        <stp>Frequency=Annual</stp>
        <stp>DayCount=D30_360_EOMC</stp>
        <tr r="X59" s="7"/>
      </tp>
      <tp t="s">
        <v>#N/A Invalid object ID</v>
        <stp/>
        <stp>##V3_BCURVEINTV12</stp>
        <stp>[Andrea New RollM.xlsm]Ita!R40C24</stp>
        <stp>EUR.OIS:BLOOMBERG DC 272086</stp>
        <stp>Par.Mid</stp>
        <stp>20220901</stp>
        <stp>Frequency=Annual</stp>
        <stp>DayCount=D30_360_EOMC</stp>
        <tr r="X40" s="7"/>
      </tp>
      <tp t="s">
        <v>#N/A Invalid object ID</v>
        <stp/>
        <stp>##V3_BCURVEINTV12</stp>
        <stp>[Andrea New RollM.xlsm]Ita!R49C24</stp>
        <stp>EUR.OIS:BLOOMBERG DC 272086</stp>
        <stp>Par.Mid</stp>
        <stp>20240901</stp>
        <stp>Frequency=Annual</stp>
        <stp>DayCount=D30_360_EOMC</stp>
        <tr r="X49" s="7"/>
      </tp>
      <tp t="s">
        <v>#N/A Invalid object ID</v>
        <stp/>
        <stp>##V3_BCURVEINTV12</stp>
        <stp>[Andrea New RollM.xlsm]Ita!R66C24</stp>
        <stp>EUR.OIS:BLOOMBERG DC 272086</stp>
        <stp>Par.Mid</stp>
        <stp>20360901</stp>
        <stp>Frequency=Annual</stp>
        <stp>DayCount=D30_360_EOMC</stp>
        <tr r="X66" s="7"/>
      </tp>
      <tp t="s">
        <v>#N/A Invalid object ID</v>
        <stp/>
        <stp>##V3_BCURVEINTV12</stp>
        <stp>[Andrea New RollM.xlsm]Ita!R70C24</stp>
        <stp>EUR.OIS:BLOOMBERG DC 272086</stp>
        <stp>Par.Mid</stp>
        <stp>20440901</stp>
        <stp>Frequency=Annual</stp>
        <stp>DayCount=D30_360_EOMC</stp>
        <tr r="X70" s="7"/>
      </tp>
      <tp t="s">
        <v>#N/A Invalid object ID</v>
        <stp/>
        <stp>##V3_BCURVEINTV12</stp>
        <stp>[Andrea New RollM.xlsm]Ita!R71C24</stp>
        <stp>EUR.OIS:BLOOMBERG DC 272086</stp>
        <stp>Par.Mid</stp>
        <stp>20460901</stp>
        <stp>Frequency=Annual</stp>
        <stp>DayCount=D30_360_EOMC</stp>
        <tr r="X71" s="7"/>
      </tp>
      <tp t="s">
        <v>#N/A Invalid object ID</v>
        <stp/>
        <stp>##V3_BCURVEINTV12</stp>
        <stp>[Andrea New RollM.xlsm]Ita!R23C24</stp>
        <stp>EUR.OIS:BLOOMBERG DC 272086</stp>
        <stp>Par.Mid</stp>
        <stp>20190901</stp>
        <stp>Frequency=Annual</stp>
        <stp>DayCount=D30_360_EOMC</stp>
        <tr r="X23" s="7"/>
      </tp>
      <tp t="s">
        <v>#N/A Invalid object ID</v>
        <stp/>
        <stp>##V3_BCURVEINTV12</stp>
        <stp>[Andrea New RollM.xlsm]Ita!R69C24</stp>
        <stp>EUR.OIS:BLOOMBERG DC 272086</stp>
        <stp>Par.Mid</stp>
        <stp>20400901</stp>
        <stp>Frequency=Annual</stp>
        <stp>DayCount=D30_360_EOMC</stp>
        <tr r="X69" s="7"/>
      </tp>
      <tp t="s">
        <v>#N/A Invalid object ID</v>
        <stp/>
        <stp>##V3_BCURVEINTV12</stp>
        <stp>[Andrea New RollM.xlsm]Ita!R35C24</stp>
        <stp>EUR.OIS:BLOOMBERG DC 272086</stp>
        <stp>Par.Mid</stp>
        <stp>20210901</stp>
        <stp>Frequency=Annual</stp>
        <stp>DayCount=D30_360_EOMC</stp>
        <tr r="X35" s="7"/>
      </tp>
      <tp t="s">
        <v>#N/A Invalid object ID</v>
        <stp/>
        <stp>##V3_BCURVEINTV12</stp>
        <stp>[Andrea New RollM.xlsm]Ita!R29C24</stp>
        <stp>EUR.OIS:BLOOMBERG DC 272086</stp>
        <stp>Par.Mid</stp>
        <stp>20200901</stp>
        <stp>Frequency=Annual</stp>
        <stp>DayCount=D30_360_EOMC</stp>
        <tr r="X29" s="7"/>
      </tp>
      <tp t="s">
        <v>#N/A Invalid object ID</v>
        <stp/>
        <stp>##V3_BCURVEINTV12</stp>
        <stp>[Andrea New RollM.xlsm]Ita!R11C24</stp>
        <stp>EUR.OIS:BLOOMBERG DC 272086</stp>
        <stp>Par.Mid</stp>
        <stp>20180115</stp>
        <stp>Frequency=Annual</stp>
        <stp>DayCount=D30_360_EOMC</stp>
        <tr r="X11" s="7"/>
      </tp>
      <tp t="s">
        <v>#N/A Invalid object ID</v>
        <stp/>
        <stp>##V3_BCURVEINTV12</stp>
        <stp>[Andrea New RollM.xlsm]Ita!R64C24</stp>
        <stp>EUR.OIS:BLOOMBERG DC 272086</stp>
        <stp>Par.Mid</stp>
        <stp>20330201</stp>
        <stp>Frequency=Annual</stp>
        <stp>DayCount=D30_360_EOMC</stp>
        <tr r="X64" s="7"/>
      </tp>
      <tp t="s">
        <v>#N/A Invalid object ID</v>
        <stp/>
        <stp>##V3_BCURVEINTV12</stp>
        <stp>[Andrea New RollM.xlsm]Ita!R67C24</stp>
        <stp>EUR.OIS:BLOOMBERG DC 272086</stp>
        <stp>Par.Mid</stp>
        <stp>20370201</stp>
        <stp>Frequency=Annual</stp>
        <stp>DayCount=D30_360_EOMC</stp>
        <tr r="X67" s="7"/>
      </tp>
      <tp t="s">
        <v>#N/A Invalid object ID</v>
        <stp/>
        <stp>##V3_BCURVEINTV12</stp>
        <stp>[Andrea New RollM.xlsm]Ita!R26C24</stp>
        <stp>EUR.OIS:BLOOMBERG DC 272086</stp>
        <stp>Par.Mid</stp>
        <stp>20200201</stp>
        <stp>Frequency=Annual</stp>
        <stp>DayCount=D30_360_EOMC</stp>
        <tr r="X26" s="7"/>
      </tp>
      <tp t="s">
        <v>#N/A Invalid object ID</v>
        <stp/>
        <stp>##V3_BCURVEINTV12</stp>
        <stp>[Andrea New RollM.xlsm]Ita!R18C24</stp>
        <stp>EUR.OIS:BLOOMBERG DC 272086</stp>
        <stp>Par.Mid</stp>
        <stp>20190201</stp>
        <stp>Frequency=Annual</stp>
        <stp>DayCount=D30_360_EOMC</stp>
        <tr r="X18" s="7"/>
      </tp>
      <tp t="s">
        <v>#N/A Invalid object ID</v>
        <stp/>
        <stp>##V3_BCURVEINTV12</stp>
        <stp>[Andrea New RollM.xlsm]Ita!R12C24</stp>
        <stp>EUR.OIS:BLOOMBERG DC 272086</stp>
        <stp>Par.Mid</stp>
        <stp>20180201</stp>
        <stp>Frequency=Annual</stp>
        <stp>DayCount=D30_360_EOMC</stp>
        <tr r="X12" s="7"/>
      </tp>
      <tp t="s">
        <v>#N/A Invalid object ID</v>
        <stp/>
        <stp>##V3_BCURVEINTV12</stp>
        <stp>[Andrea New RollM.xlsm]Ita!R43C24</stp>
        <stp>EUR.OIS:BLOOMBERG DC 272086</stp>
        <stp>Par.Mid</stp>
        <stp>20230315</stp>
        <stp>Frequency=Annual</stp>
        <stp>DayCount=D30_360_EOMC</stp>
        <tr r="X43" s="7"/>
      </tp>
      <tp t="s">
        <v>#N/A Invalid object ID</v>
        <stp/>
        <stp>##V3_BCURVEINTV12</stp>
        <stp>[Andrea New RollM.xlsm]Ita!R51C24</stp>
        <stp>EUR.OIS:BLOOMBERG DC 272086</stp>
        <stp>Par.Mid</stp>
        <stp>20250301</stp>
        <stp>Frequency=Annual</stp>
        <stp>DayCount=D30_360_EOMC</stp>
        <tr r="X51" s="7"/>
      </tp>
      <tp t="s">
        <v>#N/A Invalid object ID</v>
        <stp/>
        <stp>##V3_BCURVEINTV12</stp>
        <stp>[Andrea New RollM.xlsm]Ita!R54C24</stp>
        <stp>EUR.OIS:BLOOMBERG DC 272086</stp>
        <stp>Par.Mid</stp>
        <stp>20260301</stp>
        <stp>Frequency=Annual</stp>
        <stp>DayCount=D30_360_EOMC</stp>
        <tr r="X54" s="7"/>
      </tp>
      <tp t="s">
        <v>#N/A Invalid object ID</v>
        <stp/>
        <stp>##V3_BCURVEINTV12</stp>
        <stp>[Andrea New RollM.xlsm]Ita!R48C24</stp>
        <stp>EUR.OIS:BLOOMBERG DC 272086</stp>
        <stp>Par.Mid</stp>
        <stp>20240301</stp>
        <stp>Frequency=Annual</stp>
        <stp>DayCount=D30_360_EOMC</stp>
        <tr r="X48" s="7"/>
      </tp>
      <tp t="s">
        <v>#N/A Invalid object ID</v>
        <stp/>
        <stp>##V3_BCURVEINTV12</stp>
        <stp>[Andrea New RollM.xlsm]Ita!R61C24</stp>
        <stp>EUR.OIS:BLOOMBERG DC 272086</stp>
        <stp>Par.Mid</stp>
        <stp>20300301</stp>
        <stp>Frequency=Annual</stp>
        <stp>DayCount=D30_360_EOMC</stp>
        <tr r="X61" s="7"/>
      </tp>
      <tp t="s">
        <v>#N/A Invalid object ID</v>
        <stp/>
        <stp>##V3_BCURVEINTV12</stp>
        <stp>[Andrea New RollM.xlsm]Ita!R63C24</stp>
        <stp>EUR.OIS:BLOOMBERG DC 272086</stp>
        <stp>Par.Mid</stp>
        <stp>20320301</stp>
        <stp>Frequency=Annual</stp>
        <stp>DayCount=D30_360_EOMC</stp>
        <tr r="X63" s="7"/>
      </tp>
      <tp t="s">
        <v>#N/A Invalid object ID</v>
        <stp/>
        <stp>##V3_BCURVEINTV12</stp>
        <stp>[Andrea New RollM.xlsm]Ita!R72C24</stp>
        <stp>EUR.OIS:BLOOMBERG DC 272086</stp>
        <stp>Par.Mid</stp>
        <stp>20470301</stp>
        <stp>Frequency=Annual</stp>
        <stp>DayCount=D30_360_EOMC</stp>
        <tr r="X72" s="7"/>
      </tp>
      <tp t="s">
        <v>#N/A Invalid object ID</v>
        <stp/>
        <stp>##V3_BCURVEINTV12</stp>
        <stp>[Andrea New RollM.xlsm]Ita!R73C24</stp>
        <stp>EUR.OIS:BLOOMBERG DC 272086</stp>
        <stp>Par.Mid</stp>
        <stp>20670301</stp>
        <stp>Frequency=Annual</stp>
        <stp>DayCount=D30_360_EOMC</stp>
        <tr r="X73" s="7"/>
      </tp>
      <tp t="s">
        <v>#N/A Invalid object ID</v>
        <stp/>
        <stp>##V3_BCURVEINTV12</stp>
        <stp>[Andrea New RollM.xlsm]Ita!R31C24</stp>
        <stp>EUR.OIS:BLOOMBERG DC 272086</stp>
        <stp>Par.Mid</stp>
        <stp>20210301</stp>
        <stp>Frequency=Annual</stp>
        <stp>DayCount=D30_360_EOMC</stp>
        <tr r="X31" s="7"/>
      </tp>
      <tp t="s">
        <v>#N/A Invalid object ID</v>
        <stp/>
        <stp>##V3_BCURVEINTV12</stp>
        <stp>[Andrea New RollM.xlsm]Ita!R38C24</stp>
        <stp>EUR.OIS:BLOOMBERG DC 272086</stp>
        <stp>Par.Mid</stp>
        <stp>20220301</stp>
        <stp>Frequency=Annual</stp>
        <stp>DayCount=D30_360_EOMC</stp>
        <tr r="X38" s="7"/>
      </tp>
      <tp t="s">
        <v>#N/A Invalid object ID</v>
        <stp/>
        <stp>##V3_BCURVEINTV12</stp>
        <stp>[Andrea New RollM.xlsm]Ita!R27C24</stp>
        <stp>EUR.OIS:BLOOMBERG DC 272086</stp>
        <stp>Par.Mid</stp>
        <stp>20200301</stp>
        <stp>Frequency=Annual</stp>
        <stp>DayCount=D30_360_EOMC</stp>
        <tr r="X27" s="7"/>
      </tp>
      <tp t="s">
        <v>#N/A Invalid object ID</v>
        <stp/>
        <stp>##V3_BCURVEINTV12</stp>
        <stp>[Andrea New RollM.xlsm]Ita!R19C24</stp>
        <stp>EUR.OIS:BLOOMBERG DC 272086</stp>
        <stp>Par.Mid</stp>
        <stp>20190301</stp>
        <stp>Frequency=Annual</stp>
        <stp>DayCount=D30_360_EOMC</stp>
        <tr r="X19" s="7"/>
      </tp>
      <tp t="s">
        <v>#N/A Invalid object ID</v>
        <stp/>
        <stp>##V3_BCURVEINTV12</stp>
        <stp>[Andrea New RollM.xlsm]Ita!R20C24</stp>
        <stp>EUR.OIS:BLOOMBERG DC 272086</stp>
        <stp>Par.Mid</stp>
        <stp>20190415</stp>
        <stp>Frequency=Annual</stp>
        <stp>DayCount=D30_360_EOMC</stp>
        <tr r="X20" s="7"/>
      </tp>
      <tp t="s">
        <v>#N/A Invalid object ID</v>
        <stp/>
        <stp>##V3_BCURVEINTV12</stp>
        <stp>[Andrea New RollM.xlsm]Ita!R39C24</stp>
        <stp>EUR.OIS:BLOOMBERG DC 272086</stp>
        <stp>Par.Mid</stp>
        <stp>20220415</stp>
        <stp>Frequency=Annual</stp>
        <stp>DayCount=D30_360_EOMC</stp>
        <tr r="X39" s="7"/>
      </tp>
      <tp t="s">
        <v>#N/A Invalid object ID</v>
        <stp/>
        <stp>##V3_BCURVEINTV12</stp>
        <stp>[Andrea New RollM.xlsm]Ita!R44C24</stp>
        <stp>EUR.OIS:BLOOMBERG DC 272086</stp>
        <stp>Par.Mid</stp>
        <stp>20230501</stp>
        <stp>Frequency=Annual</stp>
        <stp>DayCount=D30_360_EOMC</stp>
        <tr r="X44" s="7"/>
      </tp>
      <tp t="s">
        <v>#N/A Invalid object ID</v>
        <stp/>
        <stp>##V3_BCURVEINTV12</stp>
        <stp>[Andrea New RollM.xlsm]Ita!R62C24</stp>
        <stp>EUR.OIS:BLOOMBERG DC 272086</stp>
        <stp>Par.Mid</stp>
        <stp>20310501</stp>
        <stp>Frequency=Annual</stp>
        <stp>DayCount=D30_360_EOMC</stp>
        <tr r="X62" s="7"/>
      </tp>
      <tp t="s">
        <v>#N/A Invalid object ID</v>
        <stp/>
        <stp>##V3_BCURVEINTV12</stp>
        <stp>[Andrea New RollM.xlsm]Ita!R21C24</stp>
        <stp>EUR.OIS:BLOOMBERG DC 272086</stp>
        <stp>Par.Mid</stp>
        <stp>20190501</stp>
        <stp>Frequency=Annual</stp>
        <stp>DayCount=D30_360_EOMC</stp>
        <tr r="X21" s="7"/>
      </tp>
      <tp t="s">
        <v>#N/A Invalid object ID</v>
        <stp/>
        <stp>##V3_BCURVEINTV12</stp>
        <stp>[Andrea New RollM.xlsm]Ita!R32C24</stp>
        <stp>EUR.OIS:BLOOMBERG DC 272086</stp>
        <stp>Par.Mid</stp>
        <stp>20210501</stp>
        <stp>Frequency=Annual</stp>
        <stp>DayCount=D30_360_EOMC</stp>
        <tr r="X32" s="7"/>
      </tp>
      <tp t="s">
        <v>#N/A Invalid object ID</v>
        <stp/>
        <stp>##V3_BCURVEINTV12</stp>
        <stp>[Andrea New RollM.xlsm]Ita!R13C24</stp>
        <stp>EUR.OIS:BLOOMBERG DC 272086</stp>
        <stp>Par.Mid</stp>
        <stp>20180515</stp>
        <stp>Frequency=Annual</stp>
        <stp>DayCount=D30_360_EOMC</stp>
        <tr r="X13" s="7"/>
      </tp>
      <tp t="s">
        <v>#N/A Invalid object ID</v>
        <stp/>
        <stp>##V3_BCURVEINTV12</stp>
        <stp>[Andrea New RollM.xlsm]Ita!R28C24</stp>
        <stp>EUR.OIS:BLOOMBERG DC 272086</stp>
        <stp>Par.Mid</stp>
        <stp>20200501</stp>
        <stp>Frequency=Annual</stp>
        <stp>DayCount=D30_360_EOMC</stp>
        <tr r="X28" s="7"/>
      </tp>
      <tp t="s">
        <v>#N/A Invalid object ID</v>
        <stp/>
        <stp>##V3_BCURVEINTV12</stp>
        <stp>[Andrea New RollM.xlsm]Ita!R52C24</stp>
        <stp>EUR.OIS:BLOOMBERG DC 272086</stp>
        <stp>Par.Mid</stp>
        <stp>20250601</stp>
        <stp>Frequency=Annual</stp>
        <stp>DayCount=D30_360_EOMC</stp>
        <tr r="X52" s="7"/>
      </tp>
      <tp t="s">
        <v>#N/A Invalid object ID</v>
        <stp/>
        <stp>##V3_BCURVEINTV12</stp>
        <stp>[Andrea New RollM.xlsm]Ita!R55C24</stp>
        <stp>EUR.OIS:BLOOMBERG DC 272086</stp>
        <stp>Par.Mid</stp>
        <stp>20260601</stp>
        <stp>Frequency=Annual</stp>
        <stp>DayCount=D30_360_EOMC</stp>
        <tr r="X55" s="7"/>
      </tp>
      <tp t="s">
        <v>#N/A Invalid object ID</v>
        <stp/>
        <stp>##V3_BCURVEINTV12</stp>
        <stp>[Andrea New RollM.xlsm]Ita!R33C24</stp>
        <stp>EUR.OIS:BLOOMBERG DC 272086</stp>
        <stp>Par.Mid</stp>
        <stp>20210601</stp>
        <stp>Frequency=Annual</stp>
        <stp>DayCount=D30_360_EOMC</stp>
        <tr r="X33" s="7"/>
      </tp>
      <tp t="s">
        <v>#N/A Invalid object ID</v>
        <stp/>
        <stp>##V3_BCURVEINTV12</stp>
        <stp>[Andrea New RollM.xlsm]Ita!R14C24</stp>
        <stp>EUR.OIS:BLOOMBERG DC 272086</stp>
        <stp>Par.Mid</stp>
        <stp>20180601</stp>
        <stp>Frequency=Annual</stp>
        <stp>DayCount=D30_360_EOMC</stp>
        <tr r="X14" s="7"/>
      </tp>
    </main>
    <main first="marketviewexcelplugin.mkvxp">
      <tp t="e">
        <v>#REF!</v>
        <stp/>
        <stp>0</stp>
        <stp>EUR.CM_INSTRUMENT.PXE.DE0001137479</stp>
        <stp>Ticker</stp>
        <tr r="B122" s="23"/>
      </tp>
      <tp t="s">
        <v>BKO</v>
        <stp/>
        <stp>0</stp>
        <stp>EUR.CM_INSTRUMENT.PXE.DE0001137495</stp>
        <stp>Ticker</stp>
        <tr r="B126" s="23"/>
      </tp>
      <tp t="s">
        <v>BKO</v>
        <stp/>
        <stp>0</stp>
        <stp>EUR.CM_INSTRUMENT.PXE.DE0001137487</stp>
        <stp>Ticker</stp>
        <tr r="B124" s="23"/>
      </tp>
    </main>
    <main first="bloomberg.rtd">
      <tp>
        <v>108.71599999999999</v>
        <stp/>
        <stp>##V3_BDHV12</stp>
        <stp>DE0001135358@CBBT Corp</stp>
        <stp>OPEN</stp>
        <stp>04/10/2016 4:15:00 PM</stp>
        <stp>04/10/2016 5:15:00 PM</stp>
        <stp>[Andrea New RollM.xlsm]DB!R138C15</stp>
        <stp>BarSz=60</stp>
        <stp>BarTp=T</stp>
        <stp>RecurDaily=True</stp>
        <stp>TZ=London</stp>
        <stp>DTS=H</stp>
        <tr r="O138" s="23"/>
      </tp>
    </main>
    <main first="marketviewexcelplugin.mkvxp">
      <tp t="s">
        <v>FRTR</v>
        <stp/>
        <stp>0</stp>
        <stp>EUR.CM_INSTRUMENT.PXE.FR0012634558</stp>
        <stp>Ticker</stp>
        <tr r="B19" s="23"/>
      </tp>
    </main>
    <main first="bloomberg.rtd">
      <tp>
        <v>131.88300000000001</v>
        <stp/>
        <stp>##V3_BDHV12</stp>
        <stp>ES00000123U9@CBBT Corp</stp>
        <stp>OPEN</stp>
        <stp>04/10/2016 4:15:00 PM</stp>
        <stp>04/10/2016 5:15:00 PM</stp>
        <stp>[Andrea New RollM.xlsm]DB!R201C15</stp>
        <stp>BarSz=60</stp>
        <stp>BarTp=T</stp>
        <stp>RecurDaily=True</stp>
        <stp>TZ=London</stp>
        <stp>DTS=H</stp>
        <tr r="O201" s="23"/>
      </tp>
      <tp>
        <v>109.29</v>
        <stp/>
        <stp>##V3_BDHV12</stp>
        <stp>ES00000127Z9@CBBT Corp</stp>
        <stp>OPEN</stp>
        <stp>04/10/2016 4:15:00 PM</stp>
        <stp>04/10/2016 5:15:00 PM</stp>
        <stp>[Andrea New RollM.xlsm]DB!R209C15</stp>
        <stp>BarSz=60</stp>
        <stp>BarTp=T</stp>
        <stp>RecurDaily=True</stp>
        <stp>TZ=London</stp>
        <stp>DTS=H</stp>
        <tr r="O209" s="23"/>
      </tp>
      <tp>
        <v>111.16</v>
        <stp/>
        <stp>##V3_BDHV12</stp>
        <stp>ES00000127G9@CBBT Corp</stp>
        <stp>OPEN</stp>
        <stp>04/10/2016 4:15:00 PM</stp>
        <stp>04/10/2016 5:15:00 PM</stp>
        <stp>[Andrea New RollM.xlsm]DB!R208C15</stp>
        <stp>BarSz=60</stp>
        <stp>BarTp=T</stp>
        <stp>RecurDaily=True</stp>
        <stp>TZ=London</stp>
        <stp>DTS=H</stp>
        <tr r="O208" s="23"/>
      </tp>
    </main>
    <main first="marketviewexcelplugin.mkvxp">
      <tp t="s">
        <v>FRTR</v>
        <stp/>
        <stp>0</stp>
        <stp>EUR.CM_INSTRUMENT.PXE.FR0010854182</stp>
        <stp>Ticker</stp>
        <tr r="B44" s="23"/>
      </tp>
    </main>
    <main first="bloomberg.rtd">
      <tp>
        <v>100.62</v>
        <stp/>
        <stp>##V3_BDHV12</stp>
        <stp>ES00000127D6@CBBT Corp</stp>
        <stp>OPEN</stp>
        <stp>09/09/2016 4:15:00 PM</stp>
        <stp>09/09/2016 5:15:00 PM</stp>
        <stp>[Andrea New RollM.xlsm]DB!R188C16</stp>
        <stp>BarSz=60</stp>
        <stp>BarTp=T</stp>
        <stp>RecurDaily=True</stp>
        <stp>TZ=London</stp>
        <stp>DTS=H</stp>
        <tr r="P188" s="23"/>
      </tp>
      <tp>
        <v>113.992</v>
        <stp/>
        <stp>##V3_BDHV12</stp>
        <stp>DE0001135408@CBBT Corp</stp>
        <stp>OPEN</stp>
        <stp>04/10/2016 4:15:00 PM</stp>
        <stp>04/10/2016 5:15:00 PM</stp>
        <stp>[Andrea New RollM.xlsm]DB!R148C15</stp>
        <stp>BarSz=60</stp>
        <stp>BarTp=T</stp>
        <stp>RecurDaily=True</stp>
        <stp>TZ=London</stp>
        <stp>DTS=H</stp>
        <tr r="O148" s="23"/>
      </tp>
    </main>
    <main first="marketviewexcelplugin.mkvxp">
      <tp t="s">
        <v>FRTR</v>
        <stp/>
        <stp>0</stp>
        <stp>EUR.CM_INSTRUMENT.PXE.FR0013154044</stp>
        <stp>Ticker</stp>
        <tr r="B107" s="23"/>
      </tp>
      <tp t="s">
        <v>FRTR</v>
        <stp/>
        <stp>0</stp>
        <stp>EUR.CM_INSTRUMENT.PXE.FR0013154028</stp>
        <stp>Ticker</stp>
        <tr r="B121" s="23"/>
      </tp>
    </main>
    <main first="bloomberg.rtd">
      <tp>
        <v>113.402</v>
        <stp/>
        <stp>##V3_BDHV12</stp>
        <stp>ES00000121O6@CBBT Corp</stp>
        <stp>OPEN</stp>
        <stp>09/09/2016 4:15:00 PM</stp>
        <stp>09/09/2016 5:15:00 PM</stp>
        <stp>[Andrea New RollM.xlsm]DB!R194C16</stp>
        <stp>BarSz=60</stp>
        <stp>BarTp=T</stp>
        <stp>RecurDaily=True</stp>
        <stp>TZ=London</stp>
        <stp>DTS=H</stp>
        <tr r="P194" s="23"/>
      </tp>
    </main>
    <main first="marketviewexcelplugin.mkvxp">
      <tp t="s">
        <v>FRTR</v>
        <stp/>
        <stp>0</stp>
        <stp>EUR.CM_INSTRUMENT.PXE.FR0011394345</stp>
        <stp>Ticker</stp>
        <tr r="B22" s="23"/>
      </tp>
    </main>
    <main first="bloomberg.rtd">
      <tp>
        <v>102.75700000000001</v>
        <stp/>
        <stp>##V3_BDHV12</stp>
        <stp>DE0001141703@CBBT Corp</stp>
        <stp>OPEN</stp>
        <stp>09/09/2016 4:15:00 PM</stp>
        <stp>09/09/2016 5:15:00 PM</stp>
        <stp>[Andrea New RollM.xlsm]DB!R145C16</stp>
        <stp>BarSz=60</stp>
        <stp>BarTp=T</stp>
        <stp>RecurDaily=True</stp>
        <stp>TZ=London</stp>
        <stp>DTS=H</stp>
        <tr r="P145" s="23"/>
      </tp>
      <tp>
        <v>104.878</v>
        <stp/>
        <stp>##V3_BDHV12</stp>
        <stp>IT0005162828@CBBT Corp</stp>
        <stp>OPEN</stp>
        <stp>11/10/2016 4:15:00 PM</stp>
        <stp>11/10/2016 5:15:00 PM</stp>
        <stp>[Andrea New RollM.xlsm]DB!R117C14</stp>
        <stp>BarSz=60</stp>
        <stp>BarTp=T</stp>
        <stp>RecurDaily=True</stp>
        <stp>TZ=London</stp>
        <stp>DTS=H</stp>
        <tr r="N117" s="23"/>
      </tp>
      <tp>
        <v>112.773</v>
        <stp/>
        <stp>##V3_BDHV12</stp>
        <stp>DE0001102317@CBBT Corp</stp>
        <stp>OPEN</stp>
        <stp>09/09/2016 4:15:00 PM</stp>
        <stp>09/09/2016 5:15:00 PM</stp>
        <stp>[Andrea New RollM.xlsm]DB!R160C16</stp>
        <stp>BarSz=60</stp>
        <stp>BarTp=T</stp>
        <stp>RecurDaily=True</stp>
        <stp>TZ=London</stp>
        <stp>DTS=H</stp>
        <tr r="P160" s="23"/>
      </tp>
      <tp>
        <v>110.254</v>
        <stp/>
        <stp>##V3_BDHV12</stp>
        <stp>DE0001135374@CBBT Corp</stp>
        <stp>OPEN</stp>
        <stp>09/09/2016 4:15:00 PM</stp>
        <stp>09/09/2016 5:15:00 PM</stp>
        <stp>[Andrea New RollM.xlsm]DB!R141C16</stp>
        <stp>BarSz=60</stp>
        <stp>BarTp=T</stp>
        <stp>RecurDaily=True</stp>
        <stp>TZ=London</stp>
        <stp>DTS=H</stp>
        <tr r="P141" s="23"/>
      </tp>
    </main>
    <main first="marketviewexcelplugin.mkvxp">
      <tp t="s">
        <v>FRTR</v>
        <stp/>
        <stp>0</stp>
        <stp>EUR.CM_INSTRUMENT.PXE.FR0010604983</stp>
        <stp>Ticker</stp>
        <tr r="B20" s="23"/>
      </tp>
    </main>
    <main first="bloomberg.rtd">
      <tp>
        <v>125.46</v>
        <stp/>
        <stp>##V3_BDHV12</stp>
        <stp>IE00B4S3JD47@CBBT Corp</stp>
        <stp>OPEN</stp>
        <stp>09/09/2016 4:15:00 PM</stp>
        <stp>09/09/2016 5:15:00 PM</stp>
        <stp>[Andrea New RollM.xlsm]DB!R244C16</stp>
        <stp>BarSz=60</stp>
        <stp>BarTp=T</stp>
        <stp>RecurDaily=True</stp>
        <stp>TZ=London</stp>
        <stp>DTS=H</stp>
        <tr r="P244" s="23"/>
      </tp>
      <tp>
        <v>102.658</v>
        <stp/>
        <stp>##V3_BDHV12</stp>
        <stp>IT0005177909@CBBT Corp</stp>
        <stp>OPEN</stp>
        <stp>11/10/2016 4:15:00 PM</stp>
        <stp>11/10/2016 5:15:00 PM</stp>
        <stp>[Andrea New RollM.xlsm]DB!R108C14</stp>
        <stp>BarSz=60</stp>
        <stp>BarTp=T</stp>
        <stp>RecurDaily=True</stp>
        <stp>TZ=London</stp>
        <stp>DTS=H</stp>
        <tr r="N108" s="23"/>
      </tp>
      <tp>
        <v>148.58500000000001</v>
        <stp/>
        <stp>##V3_BDHV12</stp>
        <stp>IT0004286966@CBBT Corp</stp>
        <stp>OPEN</stp>
        <stp>11/10/2016 4:15:00 PM</stp>
        <stp>11/10/2016 5:15:00 PM</stp>
        <stp>[Andrea New RollM.xlsm]DB!R111C14</stp>
        <stp>BarSz=60</stp>
        <stp>BarTp=T</stp>
        <stp>RecurDaily=True</stp>
        <stp>TZ=London</stp>
        <stp>DTS=H</stp>
        <tr r="N111" s="23"/>
      </tp>
      <tp>
        <v>113.479</v>
        <stp/>
        <stp>##V3_BDHV12</stp>
        <stp>DE0001135424@CBBT Corp</stp>
        <stp>OPEN</stp>
        <stp>09/09/2016 4:15:00 PM</stp>
        <stp>09/09/2016 5:15:00 PM</stp>
        <stp>[Andrea New RollM.xlsm]DB!R151C16</stp>
        <stp>BarSz=60</stp>
        <stp>BarTp=T</stp>
        <stp>RecurDaily=True</stp>
        <stp>TZ=London</stp>
        <stp>DTS=H</stp>
        <tr r="P151" s="23"/>
      </tp>
      <tp>
        <v>131.185</v>
        <stp/>
        <stp>##V3_BDHV12</stp>
        <stp>ES00000122E5@CBBT Corp</stp>
        <stp>OPEN</stp>
        <stp>09/09/2016 4:15:00 PM</stp>
        <stp>09/09/2016 5:15:00 PM</stp>
        <stp>[Andrea New RollM.xlsm]DB!R207C16</stp>
        <stp>BarSz=60</stp>
        <stp>BarTp=T</stp>
        <stp>RecurDaily=True</stp>
        <stp>TZ=London</stp>
        <stp>DTS=H</stp>
        <tr r="P207" s="23"/>
      </tp>
      <tp>
        <v>168.702</v>
        <stp/>
        <stp>##V3_BDHV12</stp>
        <stp>FR0010070060@CBBT Corp</stp>
        <stp>OPEN</stp>
        <stp>09/09/2016 4:15:00 PM</stp>
        <stp>09/09/2016 5:15:00 PM</stp>
        <stp>[Andrea New RollM.xlsm]DB!R106C16</stp>
        <stp>BarSz=60</stp>
        <stp>BarTp=T</stp>
        <stp>RecurDaily=True</stp>
        <stp>TZ=London</stp>
        <stp>DTS=H</stp>
        <tr r="P106" s="23"/>
      </tp>
      <tp>
        <v>101.327</v>
        <stp/>
        <stp>##V3_BDHV12</stp>
        <stp>ES00000128H5@CBBT Corp</stp>
        <stp>OPEN</stp>
        <stp>09/09/2016 4:15:00 PM</stp>
        <stp>09/09/2016 5:15:00 PM</stp>
        <stp>[Andrea New RollM.xlsm]DB!R211C16</stp>
        <stp>BarSz=60</stp>
        <stp>BarTp=T</stp>
        <stp>RecurDaily=True</stp>
        <stp>TZ=London</stp>
        <stp>DTS=H</stp>
        <tr r="P211" s="23"/>
      </tp>
      <tp>
        <v>142.49</v>
        <stp/>
        <stp>##V3_BDHV12</stp>
        <stp>ES00000124C5@CBBT Corp</stp>
        <stp>OPEN</stp>
        <stp>09/09/2016 4:15:00 PM</stp>
        <stp>09/09/2016 5:15:00 PM</stp>
        <stp>[Andrea New RollM.xlsm]DB!R212C16</stp>
        <stp>BarSz=60</stp>
        <stp>BarTp=T</stp>
        <stp>RecurDaily=True</stp>
        <stp>TZ=London</stp>
        <stp>DTS=H</stp>
        <tr r="P212" s="23"/>
      </tp>
      <tp>
        <v>101.66</v>
        <stp/>
        <stp>##V3_BDHV12</stp>
        <stp>DE0001141653@CBBT Corp</stp>
        <stp>OPEN</stp>
        <stp>09/09/2016 4:15:00 PM</stp>
        <stp>09/09/2016 5:15:00 PM</stp>
        <stp>[Andrea New RollM.xlsm]DB!R134C16</stp>
        <stp>BarSz=60</stp>
        <stp>BarTp=T</stp>
        <stp>RecurDaily=True</stp>
        <stp>TZ=London</stp>
        <stp>DTS=H</stp>
        <tr r="P134" s="23"/>
      </tp>
      <tp>
        <v>170.672</v>
        <stp/>
        <stp>##V3_BDHV12</stp>
        <stp>DE0001135044@CBBT Corp</stp>
        <stp>OPEN</stp>
        <stp>09/09/2016 4:15:00 PM</stp>
        <stp>09/09/2016 5:15:00 PM</stp>
        <stp>[Andrea New RollM.xlsm]DB!R170C16</stp>
        <stp>BarSz=60</stp>
        <stp>BarTp=T</stp>
        <stp>RecurDaily=True</stp>
        <stp>TZ=London</stp>
        <stp>DTS=H</stp>
        <tr r="P170" s="23"/>
      </tp>
      <tp>
        <v>-0.15</v>
        <stp/>
        <stp>##V3_BDPV12</stp>
        <stp>ES00000128A0@CBBT Corp</stp>
        <stp>YAS_BOND_YLD</stp>
        <stp>[Andrea New RollM.xlsm]DB!R191C17</stp>
        <stp>SETTLE_DT=20161011</stp>
        <stp>YAS_BOND_PX=100.925</stp>
        <tr r="Q191" s="23"/>
      </tp>
      <tp>
        <v>1.3260000000000001</v>
        <stp/>
        <stp>##V3_BDPV12</stp>
        <stp>FR0010870956@CBBT Corp</stp>
        <stp>YAS_BOND_YLD</stp>
        <stp>[Andrea New RollM.xlsm]DB!R120C19</stp>
        <stp>SETTLE_DT=20160909</stp>
        <stp>YAS_BOND_PX=188.165</stp>
        <tr r="S120" s="23"/>
      </tp>
      <tp>
        <v>1.284</v>
        <stp/>
        <stp>##V3_BDPV12</stp>
        <stp>FR0010171975@CBBT Corp</stp>
        <stp>YAS_BOND_YLD</stp>
        <stp>[Andrea New RollM.xlsm]DB!R119C17</stp>
        <stp>SETTLE_DT=20161011</stp>
        <stp>YAS_BOND_PX=182.156</stp>
        <tr r="Q119" s="23"/>
      </tp>
      <tp>
        <v>119.333</v>
        <stp/>
        <stp>##V3_BDHV12</stp>
        <stp>IE00B6089D15@CBBT Corp</stp>
        <stp>OPEN</stp>
        <stp>11/10/2016 4:15:00 PM</stp>
        <stp>11/10/2016 5:15:00 PM</stp>
        <stp>[Andrea New RollM.xlsm]DB!R240C14</stp>
        <stp>BarSz=60</stp>
        <stp>BarTp=T</stp>
        <stp>RecurDaily=True</stp>
        <stp>TZ=London</stp>
        <stp>DTS=H</stp>
        <tr r="N240" s="23"/>
      </tp>
    </main>
    <main first="bloomberg.rtd">
      <tp t="s">
        <v>#N/A N/A</v>
        <stp/>
        <stp>##V3_BDHV12</stp>
        <stp>DE0001137479@CBBT Corp</stp>
        <stp>OPEN</stp>
        <stp>04/10/2016 4:15:00 PM</stp>
        <stp>04/10/2016 5:15:00 PM</stp>
        <stp>[Andrea New RollM.xlsm]DB!R122C15</stp>
        <stp>BarSz=60</stp>
        <stp>BarTp=T</stp>
        <stp>RecurDaily=True</stp>
        <stp>TZ=London</stp>
        <stp>DTS=H</stp>
        <tr r="O122" s="23"/>
      </tp>
      <tp>
        <v>165</v>
        <stp/>
        <stp>##V3_BDHV12</stp>
        <stp>DE0001135069@CBBT Corp</stp>
        <stp>OPEN</stp>
        <stp>04/10/2016 4:15:00 PM</stp>
        <stp>04/10/2016 5:15:00 PM</stp>
        <stp>[Andrea New RollM.xlsm]DB!R171C15</stp>
        <stp>BarSz=60</stp>
        <stp>BarTp=T</stp>
        <stp>RecurDaily=True</stp>
        <stp>TZ=London</stp>
        <stp>DTS=H</stp>
        <tr r="O171" s="23"/>
      </tp>
      <tp>
        <v>106.41800000000001</v>
        <stp/>
        <stp>##V3_BDHV12</stp>
        <stp>ES00000123Q7@CBBT Corp</stp>
        <stp>OPEN</stp>
        <stp>09/09/2016 4:15:00 PM</stp>
        <stp>09/09/2016 5:15:00 PM</stp>
        <stp>[Andrea New RollM.xlsm]DB!R187C16</stp>
        <stp>BarSz=60</stp>
        <stp>BarTp=T</stp>
        <stp>RecurDaily=True</stp>
        <stp>TZ=London</stp>
        <stp>DTS=H</stp>
        <tr r="P187" s="23"/>
      </tp>
      <tp>
        <v>155.29300000000001</v>
        <stp/>
        <stp>##V3_BDHV12</stp>
        <stp>ES0000011868@CBBT Corp</stp>
        <stp>OPEN</stp>
        <stp>04/10/2016 4:15:00 PM</stp>
        <stp>04/10/2016 5:15:00 PM</stp>
        <stp>[Andrea New RollM.xlsm]DB!R213C15</stp>
        <stp>BarSz=60</stp>
        <stp>BarTp=T</stp>
        <stp>RecurDaily=True</stp>
        <stp>TZ=London</stp>
        <stp>DTS=H</stp>
        <tr r="O213" s="23"/>
      </tp>
    </main>
    <main first="marketviewexcelplugin.mkvxp">
      <tp t="s">
        <v>FRTR</v>
        <stp/>
        <stp>0</stp>
        <stp>EUR.CM_INSTRUMENT.PXE.FR0010415331</stp>
        <stp>Ticker</stp>
        <tr r="B10" s="23"/>
      </tp>
    </main>
    <main first="bloomberg.rtd">
      <tp>
        <v>113.63800000000001</v>
        <stp/>
        <stp>##V3_BDHV12</stp>
        <stp>FR0012993103@CBBT Corp</stp>
        <stp>OPEN</stp>
        <stp>04/10/2016 4:15:00 PM</stp>
        <stp>04/10/2016 5:15:00 PM</stp>
        <stp>[Andrea New RollM.xlsm]DB!R101C15</stp>
        <stp>BarSz=60</stp>
        <stp>BarTp=T</stp>
        <stp>RecurDaily=True</stp>
        <stp>TZ=London</stp>
        <stp>DTS=H</stp>
        <tr r="O101" s="23"/>
      </tp>
      <tp>
        <v>114.245</v>
        <stp/>
        <stp>##V3_BDHV12</stp>
        <stp>ES00000122D7@CBBT Corp</stp>
        <stp>OPEN</stp>
        <stp>09/09/2016 4:15:00 PM</stp>
        <stp>09/09/2016 5:15:00 PM</stp>
        <stp>[Andrea New RollM.xlsm]DB!R196C16</stp>
        <stp>BarSz=60</stp>
        <stp>BarTp=T</stp>
        <stp>RecurDaily=True</stp>
        <stp>TZ=London</stp>
        <stp>DTS=H</stp>
        <tr r="P196" s="23"/>
      </tp>
      <tp>
        <v>108.28</v>
        <stp/>
        <stp>##V3_BDHV12</stp>
        <stp>ES00000124B7@CBBT Corp</stp>
        <stp>OPEN</stp>
        <stp>09/09/2016 4:15:00 PM</stp>
        <stp>09/09/2016 5:15:00 PM</stp>
        <stp>[Andrea New RollM.xlsm]DB!R190C16</stp>
        <stp>BarSz=60</stp>
        <stp>BarTp=T</stp>
        <stp>RecurDaily=True</stp>
        <stp>TZ=London</stp>
        <stp>DTS=H</stp>
        <tr r="P190" s="23"/>
      </tp>
      <tp>
        <v>104.202</v>
        <stp/>
        <stp>##V3_BDHV12</stp>
        <stp>ES00000127H7@CBBT Corp</stp>
        <stp>OPEN</stp>
        <stp>09/09/2016 4:15:00 PM</stp>
        <stp>09/09/2016 5:15:00 PM</stp>
        <stp>[Andrea New RollM.xlsm]DB!R197C16</stp>
        <stp>BarSz=60</stp>
        <stp>BarTp=T</stp>
        <stp>RecurDaily=True</stp>
        <stp>TZ=London</stp>
        <stp>DTS=H</stp>
        <tr r="P197" s="23"/>
      </tp>
      <tp>
        <v>112.209</v>
        <stp/>
        <stp>##V3_BDHV12</stp>
        <stp>DE0001135499@CBBT Corp</stp>
        <stp>OPEN</stp>
        <stp>04/10/2016 4:15:00 PM</stp>
        <stp>04/10/2016 5:15:00 PM</stp>
        <stp>[Andrea New RollM.xlsm]DB!R158C15</stp>
        <stp>BarSz=60</stp>
        <stp>BarTp=T</stp>
        <stp>RecurDaily=True</stp>
        <stp>TZ=London</stp>
        <stp>DTS=H</stp>
        <tr r="O158" s="23"/>
      </tp>
      <tp>
        <v>117.105</v>
        <stp/>
        <stp>##V3_BDHV12</stp>
        <stp>IT0005083057@CBBT Corp</stp>
        <stp>OPEN</stp>
        <stp>11/10/2016 4:15:00 PM</stp>
        <stp>11/10/2016 5:15:00 PM</stp>
        <stp>[Andrea New RollM.xlsm]DB!R116C14</stp>
        <stp>BarSz=60</stp>
        <stp>BarTp=T</stp>
        <stp>RecurDaily=True</stp>
        <stp>TZ=London</stp>
        <stp>DTS=H</stp>
        <tr r="N116" s="23"/>
      </tp>
      <tp>
        <v>151.74700000000001</v>
        <stp/>
        <stp>##V3_BDHV12</stp>
        <stp>IT0004923998@CBBT Corp</stp>
        <stp>OPEN</stp>
        <stp>04/10/2016 4:15:00 PM</stp>
        <stp>04/10/2016 5:15:00 PM</stp>
        <stp>[Andrea New RollM.xlsm]DB!R114C15</stp>
        <stp>BarSz=60</stp>
        <stp>BarTp=T</stp>
        <stp>RecurDaily=True</stp>
        <stp>TZ=London</stp>
        <stp>DTS=H</stp>
        <tr r="O114" s="23"/>
      </tp>
      <tp>
        <v>100.319</v>
        <stp/>
        <stp>##V3_BDHV12</stp>
        <stp>DE0001137495@CBBT Corp</stp>
        <stp>OPEN</stp>
        <stp>09/09/2016 4:15:00 PM</stp>
        <stp>09/09/2016 5:15:00 PM</stp>
        <stp>[Andrea New RollM.xlsm]DB!R126C16</stp>
        <stp>BarSz=60</stp>
        <stp>BarTp=T</stp>
        <stp>RecurDaily=True</stp>
        <stp>TZ=London</stp>
        <stp>DTS=H</stp>
        <tr r="P126" s="23"/>
      </tp>
      <tp>
        <v>152.98500000000001</v>
        <stp/>
        <stp>##V3_BDHV12</stp>
        <stp>IT0004532559@CBBT Corp</stp>
        <stp>OPEN</stp>
        <stp>04/10/2016 4:15:00 PM</stp>
        <stp>04/10/2016 5:15:00 PM</stp>
        <stp>[Andrea New RollM.xlsm]DB!R112C15</stp>
        <stp>BarSz=60</stp>
        <stp>BarTp=T</stp>
        <stp>RecurDaily=True</stp>
        <stp>TZ=London</stp>
        <stp>DTS=H</stp>
        <tr r="O112" s="23"/>
      </tp>
      <tp>
        <v>110.111</v>
        <stp/>
        <stp>##V3_BDHV12</stp>
        <stp>DE0001102366@CBBT Corp</stp>
        <stp>OPEN</stp>
        <stp>09/09/2016 4:15:00 PM</stp>
        <stp>09/09/2016 5:15:00 PM</stp>
        <stp>[Andrea New RollM.xlsm]DB!R165C16</stp>
        <stp>BarSz=60</stp>
        <stp>BarTp=T</stp>
        <stp>RecurDaily=True</stp>
        <stp>TZ=London</stp>
        <stp>DTS=H</stp>
        <tr r="P165" s="23"/>
      </tp>
      <tp>
        <v>100.953</v>
        <stp/>
        <stp>##V3_BDHV12</stp>
        <stp>DE0001104636@CBBT Corp</stp>
        <stp>OPEN</stp>
        <stp>09/09/2016 4:15:00 PM</stp>
        <stp>09/09/2016 5:15:00 PM</stp>
        <stp>[Andrea New RollM.xlsm]DB!R135C16</stp>
        <stp>BarSz=60</stp>
        <stp>BarTp=T</stp>
        <stp>RecurDaily=True</stp>
        <stp>TZ=London</stp>
        <stp>DTS=H</stp>
        <tr r="P135" s="23"/>
      </tp>
      <tp>
        <v>113.395</v>
        <stp/>
        <stp>##V3_BDHV12</stp>
        <stp>DE0001135465@CBBT Corp</stp>
        <stp>OPEN</stp>
        <stp>09/09/2016 4:15:00 PM</stp>
        <stp>09/09/2016 5:15:00 PM</stp>
        <stp>[Andrea New RollM.xlsm]DB!R156C16</stp>
        <stp>BarSz=60</stp>
        <stp>BarTp=T</stp>
        <stp>RecurDaily=True</stp>
        <stp>TZ=London</stp>
        <stp>DTS=H</stp>
        <tr r="P156" s="23"/>
      </tp>
      <tp>
        <v>161.34299999999999</v>
        <stp/>
        <stp>##V3_BDHV12</stp>
        <stp>FR0010371401@CBBT Corp</stp>
        <stp>OPEN</stp>
        <stp>09/09/2016 4:15:00 PM</stp>
        <stp>09/09/2016 5:15:00 PM</stp>
        <stp>[Andrea New RollM.xlsm]DB!R110C16</stp>
        <stp>BarSz=60</stp>
        <stp>BarTp=T</stp>
        <stp>RecurDaily=True</stp>
        <stp>TZ=London</stp>
        <stp>DTS=H</stp>
        <tr r="P110" s="23"/>
      </tp>
      <tp>
        <v>100.15300000000001</v>
        <stp/>
        <stp>##V3_BDHV12</stp>
        <stp>DE0001141612@CBBT Corp</stp>
        <stp>OPEN</stp>
        <stp>09/09/2016 4:15:00 PM</stp>
        <stp>09/09/2016 5:15:00 PM</stp>
        <stp>[Andrea New RollM.xlsm]DB!R123C16</stp>
        <stp>BarSz=60</stp>
        <stp>BarTp=T</stp>
        <stp>RecurDaily=True</stp>
        <stp>TZ=London</stp>
        <stp>DTS=H</stp>
        <tr r="P123" s="23"/>
      </tp>
      <tp>
        <v>163.36699999999999</v>
        <stp/>
        <stp>##V3_BDHV12</stp>
        <stp>ES00000124H4@CBBT Corp</stp>
        <stp>OPEN</stp>
        <stp>09/09/2016 4:15:00 PM</stp>
        <stp>09/09/2016 5:15:00 PM</stp>
        <stp>[Andrea New RollM.xlsm]DB!R219C16</stp>
        <stp>BarSz=60</stp>
        <stp>BarTp=T</stp>
        <stp>RecurDaily=True</stp>
        <stp>TZ=London</stp>
        <stp>DTS=H</stp>
        <tr r="P219" s="23"/>
      </tp>
      <tp>
        <v>155.5</v>
        <stp/>
        <stp>##V3_BDHV12</stp>
        <stp>DE0001135085@CBBT Corp</stp>
        <stp>OPEN</stp>
        <stp>09/09/2016 4:15:00 PM</stp>
        <stp>09/09/2016 5:15:00 PM</stp>
        <stp>[Andrea New RollM.xlsm]DB!R172C16</stp>
        <stp>BarSz=60</stp>
        <stp>BarTp=T</stp>
        <stp>RecurDaily=True</stp>
        <stp>TZ=London</stp>
        <stp>DTS=H</stp>
        <tr r="P172" s="23"/>
      </tp>
      <tp>
        <v>169.98500000000001</v>
        <stp/>
        <stp>##V3_BDHV12</stp>
        <stp>DE0001135275@CBBT Corp</stp>
        <stp>OPEN</stp>
        <stp>09/09/2016 4:15:00 PM</stp>
        <stp>09/09/2016 5:15:00 PM</stp>
        <stp>[Andrea New RollM.xlsm]DB!R176C16</stp>
        <stp>BarSz=60</stp>
        <stp>BarTp=T</stp>
        <stp>RecurDaily=True</stp>
        <stp>TZ=London</stp>
        <stp>DTS=H</stp>
        <tr r="P176" s="23"/>
      </tp>
      <tp>
        <v>181.48</v>
        <stp/>
        <stp>##V3_BDHV12</stp>
        <stp>DE0001135325@CBBT Corp</stp>
        <stp>OPEN</stp>
        <stp>09/09/2016 4:15:00 PM</stp>
        <stp>09/09/2016 5:15:00 PM</stp>
        <stp>[Andrea New RollM.xlsm]DB!R177C16</stp>
        <stp>BarSz=60</stp>
        <stp>BarTp=T</stp>
        <stp>RecurDaily=True</stp>
        <stp>TZ=London</stp>
        <stp>DTS=H</stp>
        <tr r="P177" s="23"/>
      </tp>
      <tp>
        <v>-0.25800000000000001</v>
        <stp/>
        <stp>##V3_BDPV12</stp>
        <stp>ES00000120J8@CBBT Corp</stp>
        <stp>YAS_BOND_YLD</stp>
        <stp>[Andrea New RollM.xlsm]DB!R183C17</stp>
        <stp>SETTLE_DT=20161011</stp>
        <stp>YAS_BOND_PX=101.245</stp>
        <tr r="Q183" s="23"/>
      </tp>
    </main>
    <main first="marketviewexcelplugin.mkvxp">
      <tp>
        <v>100.655</v>
        <stp/>
        <stp>0</stp>
        <stp>EUR.PRICING_MAIN.PXE.PTOTE5OE0007</stp>
        <stp>CurrentClosingPriceMid</stp>
        <tr r="L235" s="23"/>
      </tp>
      <tp>
        <v>100.03</v>
        <stp/>
        <stp>0</stp>
        <stp>EUR.PRICING_MAIN.PXE.PTOTE6OE0006</stp>
        <stp>CurrentClosingPriceMid</stp>
        <tr r="L222" s="23"/>
      </tp>
    </main>
    <main first="bloomberg.rtd">
      <tp>
        <v>0.36199999999999999</v>
        <stp/>
        <stp>##V3_BDPV12</stp>
        <stp>ES00000123U9@CBBT Corp</stp>
        <stp>YAS_BOND_YLD</stp>
        <stp>[Andrea New RollM.xlsm]DB!R201C17</stp>
        <stp>SETTLE_DT=20161011</stp>
        <stp>YAS_BOND_PX=131.348</stp>
        <tr r="Q201" s="23"/>
      </tp>
    </main>
    <main first="marketviewexcelplugin.mkvxp">
      <tp>
        <v>108.33499999999999</v>
        <stp/>
        <stp>0</stp>
        <stp>EUR.PRICING_MAIN.PXE.PTOTEYOE0007</stp>
        <stp>CurrentClosingPriceMid</stp>
        <tr r="L227" s="23"/>
      </tp>
    </main>
    <main first="marketviewexcelplugin.mkvxp">
      <tp>
        <v>116.53</v>
        <stp/>
        <stp>0</stp>
        <stp>EUR.PRICING_MAIN.PXE.PTOTEQOE0015</stp>
        <stp>CurrentClosingPriceMid</stp>
        <tr r="L230" s="23"/>
      </tp>
    </main>
    <main first="marketviewexcelplugin.mkvxp">
      <tp>
        <v>98.635000000000005</v>
        <stp/>
        <stp>0</stp>
        <stp>EUR.PRICING_MAIN.PXE.PTOTESOE0013</stp>
        <stp>CurrentClosingPriceMid</stp>
        <tr r="L228" s="23"/>
      </tp>
      <tp>
        <v>100.535</v>
        <stp/>
        <stp>0</stp>
        <stp>EUR.PRICING_MAIN.PXE.PTOTEROE0014</stp>
        <stp>CurrentClosingPriceMid</stp>
        <tr r="L234" s="23"/>
      </tp>
      <tp>
        <v>96.025000000000006</v>
        <stp/>
        <stp>0</stp>
        <stp>EUR.PRICING_MAIN.PXE.PTOTETOE0012</stp>
        <stp>CurrentClosingPriceMid</stp>
        <tr r="L232" s="23"/>
      </tp>
    </main>
    <main first="marketviewexcelplugin.mkvxp">
      <tp>
        <v>97.72</v>
        <stp/>
        <stp>0</stp>
        <stp>EUR.PRICING_MAIN.PXE.PTOTEKOE0011</stp>
        <stp>CurrentClosingPriceMid</stp>
        <tr r="L231" s="23"/>
      </tp>
      <tp>
        <v>110.1</v>
        <stp/>
        <stp>0</stp>
        <stp>EUR.PRICING_MAIN.PXE.PTOTEMOE0027</stp>
        <stp>CurrentClosingPriceMid</stp>
        <tr r="L225" s="23"/>
      </tp>
    </main>
    <main first="bloomberg.rtd">
      <tp>
        <v>1.5369999999999999</v>
        <stp/>
        <stp>##V3_BDPV12</stp>
        <stp>ES0000012411@CBBT Corp</stp>
        <stp>YAS_BOND_YLD</stp>
        <stp>[Andrea New RollM.xlsm]DB!R215C19</stp>
        <stp>SETTLE_DT=20160909</stp>
        <stp>YAS_BOND_PX=158.977</stp>
        <tr r="S215" s="23"/>
      </tp>
    </main>
    <main first="marketviewexcelplugin.mkvxp">
      <tp>
        <v>104.44499999999999</v>
        <stp/>
        <stp>0</stp>
        <stp>EUR.PRICING_MAIN.PXE.PTOTELOE0010</stp>
        <stp>CurrentClosingPriceMid</stp>
        <tr r="L223" s="23"/>
      </tp>
      <tp>
        <v>0.178817</v>
        <stp/>
        <stp>0</stp>
        <stp>EUR.PRICING_MAIN.PXE.IE00B6X95T99</stp>
        <stp>CurrentClosingYieldMid</stp>
        <tr r="J245" s="23"/>
      </tp>
    </main>
    <main first="marketviewexcelplugin.mkvxp">
      <tp>
        <v>106.935</v>
        <stp/>
        <stp>0</stp>
        <stp>EUR.PRICING_MAIN.PXE.PTOTENOE0018</stp>
        <stp>CurrentClosingPriceMid</stp>
        <tr r="L224" s="23"/>
      </tp>
      <tp>
        <v>113.175</v>
        <stp/>
        <stp>0</stp>
        <stp>EUR.PRICING_MAIN.PXE.PTOTEAOE0021</stp>
        <stp>CurrentClosingPriceMid</stp>
        <tr r="L229" s="23"/>
      </tp>
      <tp>
        <v>111.24</v>
        <stp/>
        <stp>0</stp>
        <stp>EUR.PRICING_MAIN.PXE.PTOTECOE0029</stp>
        <stp>CurrentClosingPriceMid</stp>
        <tr r="L226" s="23"/>
      </tp>
      <tp>
        <v>97.29</v>
        <stp/>
        <stp>0</stp>
        <stp>EUR.PRICING_MAIN.PXE.PTOTEBOE0020</stp>
        <stp>CurrentClosingPriceMid</stp>
        <tr r="L236" s="23"/>
        <tr r="L233" s="23"/>
      </tp>
    </main>
    <main first="bloomberg.rtd">
      <tp>
        <v>100.64</v>
        <stp/>
        <stp>##V3_BDHV12</stp>
        <stp>DE0001104610@CBBT Corp</stp>
        <stp>OPEN</stp>
        <stp>11/10/2016 4:15:00 PM</stp>
        <stp>11/10/2016 5:15:00 PM</stp>
        <stp>[Andrea New RollM.xlsm]DB!R130C14</stp>
        <stp>BarSz=60</stp>
        <stp>BarTp=T</stp>
        <stp>RecurDaily=True</stp>
        <stp>TZ=London</stp>
        <stp>DTS=H</stp>
        <tr r="N130" s="23"/>
      </tp>
      <tp>
        <v>103.60299999999999</v>
        <stp/>
        <stp>##V3_BDHV12</stp>
        <stp>DE0001135333@CBBT Corp</stp>
        <stp>OPEN</stp>
        <stp>11/10/2016 4:15:00 PM</stp>
        <stp>11/10/2016 5:15:00 PM</stp>
        <stp>[Andrea New RollM.xlsm]DB!R129C14</stp>
        <stp>BarSz=60</stp>
        <stp>BarTp=T</stp>
        <stp>RecurDaily=True</stp>
        <stp>TZ=London</stp>
        <stp>DTS=H</stp>
        <tr r="N129" s="23"/>
      </tp>
    </main>
    <main first="marketviewexcelplugin.mkvxp">
      <tp t="s">
        <v>BTPS</v>
        <stp/>
        <stp>0</stp>
        <stp>EUR.CM_INSTRUMENT.PXE.IT0004644735</stp>
        <stp>Ticker</stp>
        <tr r="A54" s="7"/>
        <tr r="B87" s="23"/>
      </tp>
      <tp t="s">
        <v>BTPS</v>
        <stp/>
        <stp>0</stp>
        <stp>EUR.CM_INSTRUMENT.PXE.IT0004164775</stp>
        <stp>Ticker</stp>
        <tr r="A5" s="7"/>
        <tr r="B9" s="23"/>
      </tp>
    </main>
    <main first="marketviewexcelplugin.mkvxp">
      <tp t="s">
        <v>BTPS</v>
        <stp/>
        <stp>0</stp>
        <stp>EUR.CM_INSTRUMENT.PXE.IT0001444378</stp>
        <stp>Ticker</stp>
        <tr r="A62" s="7"/>
        <tr r="B100" s="23"/>
      </tp>
    </main>
    <main first="bloomberg.rtd">
      <tp>
        <v>102.47</v>
        <stp/>
        <stp>##V3_BDHV12</stp>
        <stp>DE0001141711@CBBT Corp</stp>
        <stp>OPEN</stp>
        <stp>04/10/2016 4:15:00 PM</stp>
        <stp>04/10/2016 5:15:00 PM</stp>
        <stp>[Andrea New RollM.xlsm]DB!R147C15</stp>
        <stp>BarSz=60</stp>
        <stp>BarTp=T</stp>
        <stp>RecurDaily=True</stp>
        <stp>TZ=London</stp>
        <stp>DTS=H</stp>
        <tr r="O147" s="23"/>
      </tp>
      <tp>
        <v>117.206</v>
        <stp/>
        <stp>##V3_BDHV12</stp>
        <stp>DE0001102325@CBBT Corp</stp>
        <stp>OPEN</stp>
        <stp>04/10/2016 4:15:00 PM</stp>
        <stp>04/10/2016 5:15:00 PM</stp>
        <stp>[Andrea New RollM.xlsm]DB!R161C15</stp>
        <stp>BarSz=60</stp>
        <stp>BarTp=T</stp>
        <stp>RecurDaily=True</stp>
        <stp>TZ=London</stp>
        <stp>DTS=H</stp>
        <tr r="O161" s="23"/>
      </tp>
      <tp>
        <v>105.039</v>
        <stp/>
        <stp>##V3_BDHV12</stp>
        <stp>DE0001102390@CBBT Corp</stp>
        <stp>OPEN</stp>
        <stp>11/10/2016 4:15:00 PM</stp>
        <stp>11/10/2016 5:15:00 PM</stp>
        <stp>[Andrea New RollM.xlsm]DB!R168C14</stp>
        <stp>BarSz=60</stp>
        <stp>BarTp=T</stp>
        <stp>RecurDaily=True</stp>
        <stp>TZ=London</stp>
        <stp>DTS=H</stp>
        <tr r="N168" s="23"/>
      </tp>
      <tp>
        <v>115.425</v>
        <stp/>
        <stp>##V3_BDHV12</stp>
        <stp>ES00000126B2@CBBT Corp</stp>
        <stp>OPEN</stp>
        <stp>11/10/2016 4:15:00 PM</stp>
        <stp>11/10/2016 5:15:00 PM</stp>
        <stp>[Andrea New RollM.xlsm]DB!R205C14</stp>
        <stp>BarSz=60</stp>
        <stp>BarTp=T</stp>
        <stp>RecurDaily=True</stp>
        <stp>TZ=London</stp>
        <stp>DTS=H</stp>
        <tr r="N205" s="23"/>
      </tp>
      <tp>
        <v>130.02699999999999</v>
        <stp/>
        <stp>##V3_BDHV12</stp>
        <stp>ES00000121G2@CBBT Corp</stp>
        <stp>OPEN</stp>
        <stp>11/10/2016 4:15:00 PM</stp>
        <stp>11/10/2016 5:15:00 PM</stp>
        <stp>[Andrea New RollM.xlsm]DB!R203C14</stp>
        <stp>BarSz=60</stp>
        <stp>BarTp=T</stp>
        <stp>RecurDaily=True</stp>
        <stp>TZ=London</stp>
        <stp>DTS=H</stp>
        <tr r="N203" s="23"/>
      </tp>
    </main>
    <main first="marketviewexcelplugin.mkvxp">
      <tp t="s">
        <v>BTPS</v>
        <stp/>
        <stp>0</stp>
        <stp>EUR.CM_INSTRUMENT.PXE.IT0001174611</stp>
        <stp>Ticker</stp>
        <tr r="A58" s="7"/>
        <tr r="B95" s="23"/>
      </tp>
      <tp t="s">
        <v>BTPS</v>
        <stp/>
        <stp>0</stp>
        <stp>EUR.CM_INSTRUMENT.PXE.IT0005024234</stp>
        <stp>Ticker</stp>
        <tr r="A61" s="7"/>
        <tr r="B98" s="23"/>
      </tp>
    </main>
    <main first="bloomberg.rtd">
      <tp>
        <v>146.155</v>
        <stp/>
        <stp>##V3_BDHV12</stp>
        <stp>ES00000123C7@CBBT Corp</stp>
        <stp>OPEN</stp>
        <stp>04/10/2016 4:15:00 PM</stp>
        <stp>04/10/2016 5:15:00 PM</stp>
        <stp>[Andrea New RollM.xlsm]DB!R210C15</stp>
        <stp>BarSz=60</stp>
        <stp>BarTp=T</stp>
        <stp>RecurDaily=True</stp>
        <stp>TZ=London</stp>
        <stp>DTS=H</stp>
        <tr r="O210" s="23"/>
      </tp>
      <tp>
        <v>107.185</v>
        <stp/>
        <stp>##V3_BDHV12</stp>
        <stp>ES00000127A2@CBBT Corp</stp>
        <stp>OPEN</stp>
        <stp>11/10/2016 4:15:00 PM</stp>
        <stp>11/10/2016 5:15:00 PM</stp>
        <stp>[Andrea New RollM.xlsm]DB!R214C14</stp>
        <stp>BarSz=60</stp>
        <stp>BarTp=T</stp>
        <stp>RecurDaily=True</stp>
        <stp>TZ=London</stp>
        <stp>DTS=H</stp>
        <tr r="N214" s="23"/>
      </tp>
      <tp>
        <v>155.96199999999999</v>
        <stp/>
        <stp>##V3_BDHV12</stp>
        <stp>ES00000121S7@CBBT Corp</stp>
        <stp>OPEN</stp>
        <stp>04/10/2016 4:15:00 PM</stp>
        <stp>04/10/2016 5:15:00 PM</stp>
        <stp>[Andrea New RollM.xlsm]DB!R218C15</stp>
        <stp>BarSz=60</stp>
        <stp>BarTp=T</stp>
        <stp>RecurDaily=True</stp>
        <stp>TZ=London</stp>
        <stp>DTS=H</stp>
        <tr r="O218" s="23"/>
      </tp>
      <tp>
        <v>141.36000000000001</v>
        <stp/>
        <stp>##V3_BDHV12</stp>
        <stp>ES0000012932@CBBT Corp</stp>
        <stp>OPEN</stp>
        <stp>11/10/2016 4:15:00 PM</stp>
        <stp>11/10/2016 5:15:00 PM</stp>
        <stp>[Andrea New RollM.xlsm]DB!R216C14</stp>
        <stp>BarSz=60</stp>
        <stp>BarTp=T</stp>
        <stp>RecurDaily=True</stp>
        <stp>TZ=London</stp>
        <stp>DTS=H</stp>
        <tr r="N216" s="23"/>
      </tp>
      <tp>
        <v>181.26</v>
        <stp/>
        <stp>##V3_BDHV12</stp>
        <stp>DE0001135143@CBBT Corp</stp>
        <stp>OPEN</stp>
        <stp>11/10/2016 4:15:00 PM</stp>
        <stp>11/10/2016 5:15:00 PM</stp>
        <stp>[Andrea New RollM.xlsm]DB!R173C14</stp>
        <stp>BarSz=60</stp>
        <stp>BarTp=T</stp>
        <stp>RecurDaily=True</stp>
        <stp>TZ=London</stp>
        <stp>DTS=H</stp>
        <tr r="N173" s="23"/>
      </tp>
      <tp>
        <v>179.92500000000001</v>
        <stp/>
        <stp>##V3_BDHV12</stp>
        <stp>DE0001135226@CBBT Corp</stp>
        <stp>OPEN</stp>
        <stp>04/10/2016 4:15:00 PM</stp>
        <stp>04/10/2016 5:15:00 PM</stp>
        <stp>[Andrea New RollM.xlsm]DB!R175C15</stp>
        <stp>BarSz=60</stp>
        <stp>BarTp=T</stp>
        <stp>RecurDaily=True</stp>
        <stp>TZ=London</stp>
        <stp>DTS=H</stp>
        <tr r="O175" s="23"/>
      </tp>
      <tp>
        <v>177.42</v>
        <stp/>
        <stp>##V3_BDHV12</stp>
        <stp>DE0001135176@CBBT Corp</stp>
        <stp>OPEN</stp>
        <stp>04/10/2016 4:15:00 PM</stp>
        <stp>04/10/2016 5:15:00 PM</stp>
        <stp>[Andrea New RollM.xlsm]DB!R174C15</stp>
        <stp>BarSz=60</stp>
        <stp>BarTp=T</stp>
        <stp>RecurDaily=True</stp>
        <stp>TZ=London</stp>
        <stp>DTS=H</stp>
        <tr r="O174" s="23"/>
      </tp>
      <tp>
        <v>101.441</v>
        <stp/>
        <stp>##V3_BDHV12</stp>
        <stp>DE0001141661@CBBT Corp</stp>
        <stp>OPEN</stp>
        <stp>04/10/2016 4:15:00 PM</stp>
        <stp>04/10/2016 5:15:00 PM</stp>
        <stp>[Andrea New RollM.xlsm]DB!R136C15</stp>
        <stp>BarSz=60</stp>
        <stp>BarTp=T</stp>
        <stp>RecurDaily=True</stp>
        <stp>TZ=London</stp>
        <stp>DTS=H</stp>
        <tr r="O136" s="23"/>
      </tp>
      <tp>
        <v>199.32900000000001</v>
        <stp/>
        <stp>##V3_BDHV12</stp>
        <stp>DE0001135366@CBBT Corp</stp>
        <stp>OPEN</stp>
        <stp>04/10/2016 4:15:00 PM</stp>
        <stp>04/10/2016 5:15:00 PM</stp>
        <stp>[Andrea New RollM.xlsm]DB!R178C15</stp>
        <stp>BarSz=60</stp>
        <stp>BarTp=T</stp>
        <stp>RecurDaily=True</stp>
        <stp>TZ=London</stp>
        <stp>DTS=H</stp>
        <tr r="O178" s="23"/>
      </tp>
    </main>
    <main first="bloomberg.rtd">
      <tp>
        <v>179.541</v>
        <stp/>
        <stp>##V3_BDHV12</stp>
        <stp>FR0010773192@CBBT Corp</stp>
        <stp>OPEN</stp>
        <stp>04/10/2016 4:15:00 PM</stp>
        <stp>04/10/2016 5:15:00 PM</stp>
        <stp>[Andrea New RollM.xlsm]DB!R113C15</stp>
        <stp>BarSz=60</stp>
        <stp>BarTp=T</stp>
        <stp>RecurDaily=True</stp>
        <stp>TZ=London</stp>
        <stp>DTS=H</stp>
        <tr r="O113" s="23"/>
      </tp>
      <tp>
        <v>122.702</v>
        <stp/>
        <stp>##V3_BDHV12</stp>
        <stp>ES00000128E2@CBBT Corp</stp>
        <stp>OPEN</stp>
        <stp>11/10/2016 4:15:00 PM</stp>
        <stp>11/10/2016 5:15:00 PM</stp>
        <stp>[Andrea New RollM.xlsm]DB!R221C14</stp>
        <stp>BarSz=60</stp>
        <stp>BarTp=T</stp>
        <stp>RecurDaily=True</stp>
        <stp>TZ=London</stp>
        <stp>DTS=H</stp>
        <tr r="N221" s="23"/>
      </tp>
      <tp>
        <v>101.56</v>
        <stp/>
        <stp>##V3_BDHV12</stp>
        <stp>ES00000120J8@CBBT Corp</stp>
        <stp>OPEN</stp>
        <stp>09/09/2016 4:15:00 PM</stp>
        <stp>09/09/2016 5:15:00 PM</stp>
        <stp>[Andrea New RollM.xlsm]DB!R183C16</stp>
        <stp>BarSz=60</stp>
        <stp>BarTp=T</stp>
        <stp>RecurDaily=True</stp>
        <stp>TZ=London</stp>
        <stp>DTS=H</stp>
        <tr r="P183" s="23"/>
      </tp>
      <tp>
        <v>111.71</v>
        <stp/>
        <stp>##V3_BDHV12</stp>
        <stp>DE0001135416@CBBT Corp</stp>
        <stp>OPEN</stp>
        <stp>04/10/2016 4:15:00 PM</stp>
        <stp>04/10/2016 5:15:00 PM</stp>
        <stp>[Andrea New RollM.xlsm]DB!R149C15</stp>
        <stp>BarSz=60</stp>
        <stp>BarTp=T</stp>
        <stp>RecurDaily=True</stp>
        <stp>TZ=London</stp>
        <stp>DTS=H</stp>
        <tr r="O149" s="23"/>
      </tp>
    </main>
    <main first="marketviewexcelplugin.mkvxp">
      <tp t="s">
        <v>BTPS</v>
        <stp/>
        <stp>0</stp>
        <stp>EUR.CM_INSTRUMENT.PXE.IT0004634132</stp>
        <stp>Ticker</stp>
        <tr r="A31" s="7"/>
        <tr r="B52" s="23"/>
      </tp>
      <tp t="s">
        <v>BTPS</v>
        <stp/>
        <stp>0</stp>
        <stp>EUR.CM_INSTRUMENT.PXE.IT0003934657</stp>
        <stp>Ticker</stp>
        <tr r="A67" s="7"/>
        <tr r="B109" s="23"/>
      </tp>
      <tp t="s">
        <v>BTPS</v>
        <stp/>
        <stp>0</stp>
        <stp>EUR.CM_INSTRUMENT.PXE.IT0005094088</stp>
        <stp>Ticker</stp>
        <tr r="A63" s="7"/>
        <tr r="B102" s="23"/>
      </tp>
    </main>
    <main first="bloomberg.rtd">
      <tp>
        <v>112.764</v>
        <stp/>
        <stp>##V3_BDHV12</stp>
        <stp>DE0001135473@CBBT Corp</stp>
        <stp>OPEN</stp>
        <stp>11/10/2016 4:15:00 PM</stp>
        <stp>11/10/2016 5:15:00 PM</stp>
        <stp>[Andrea New RollM.xlsm]DB!R157C14</stp>
        <stp>BarSz=60</stp>
        <stp>BarTp=T</stp>
        <stp>RecurDaily=True</stp>
        <stp>TZ=London</stp>
        <stp>DTS=H</stp>
        <tr r="N157" s="23"/>
      </tp>
    </main>
    <main first="marketviewexcelplugin.mkvxp">
      <tp t="s">
        <v>BTPS</v>
        <stp/>
        <stp>0</stp>
        <stp>EUR.CM_INSTRUMENT.PXE.IT0003644769</stp>
        <stp>Ticker</stp>
        <tr r="A26" s="7"/>
        <tr r="B42" s="23"/>
      </tp>
    </main>
    <main first="bloomberg.rtd">
      <tp>
        <v>112.408</v>
        <stp/>
        <stp>##V3_BDHV12</stp>
        <stp>DE0001102309@CBBT Corp</stp>
        <stp>OPEN</stp>
        <stp>09/09/2016 4:15:00 PM</stp>
        <stp>09/09/2016 5:15:00 PM</stp>
        <stp>[Andrea New RollM.xlsm]DB!R159C16</stp>
        <stp>BarSz=60</stp>
        <stp>BarTp=T</stp>
        <stp>RecurDaily=True</stp>
        <stp>TZ=London</stp>
        <stp>DTS=H</stp>
        <tr r="P159" s="23"/>
      </tp>
      <tp>
        <v>157.21199999999999</v>
        <stp/>
        <stp>##V3_BDHV12</stp>
        <stp>IT0003256820@CBBT Corp</stp>
        <stp>OPEN</stp>
        <stp>04/10/2016 4:15:00 PM</stp>
        <stp>04/10/2016 5:15:00 PM</stp>
        <stp>[Andrea New RollM.xlsm]DB!R104C15</stp>
        <stp>BarSz=60</stp>
        <stp>BarTp=T</stp>
        <stp>RecurDaily=True</stp>
        <stp>TZ=London</stp>
        <stp>DTS=H</stp>
        <tr r="O104" s="23"/>
      </tp>
    </main>
    <main first="marketviewexcelplugin.mkvxp">
      <tp t="s">
        <v>BTPS</v>
        <stp/>
        <stp>0</stp>
        <stp>EUR.CM_INSTRUMENT.PXE.IT0004594930</stp>
        <stp>Ticker</stp>
        <tr r="A29" s="7"/>
        <tr r="B47" s="23"/>
      </tp>
    </main>
    <main first="bloomberg.rtd">
      <tp>
        <v>2.6269999999999998</v>
        <stp/>
        <stp>##V3_BDPV12</stp>
        <stp>ES00000128E2@CBBT Corp</stp>
        <stp>YAS_BOND_YLD</stp>
        <stp>[Andrea New RollM.xlsm]DB!R221C17</stp>
        <stp>SETTLE_DT=20161011</stp>
        <stp>YAS_BOND_PX=122.702</stp>
        <tr r="Q221" s="23"/>
      </tp>
      <tp>
        <v>1.0209999999999999</v>
        <stp/>
        <stp>##V3_BDPV12</stp>
        <stp>ES00000127G9@CBBT Corp</stp>
        <stp>YAS_BOND_YLD</stp>
        <stp>[Andrea New RollM.xlsm]DB!R208C19</stp>
        <stp>SETTLE_DT=20160909</stp>
        <stp>YAS_BOND_PX=109.802</stp>
        <tr r="S208" s="23"/>
      </tp>
      <tp>
        <v>-0.33</v>
        <stp/>
        <stp>##V3_BDPV12</stp>
        <stp>EUSWEC CMPN Curncy</stp>
        <stp>ask</stp>
        <stp>[Andrea New RollM.xlsm]Crv!R13C5</stp>
        <tr r="E13" s="1"/>
      </tp>
      <tp>
        <v>-0.17899999999999999</v>
        <stp/>
        <stp>##V3_BDPV12</stp>
        <stp>ES00000126V0@CBBT Corp</stp>
        <stp>YAS_BOND_YLD</stp>
        <stp>[Andrea New RollM.xlsm]DB!R186C19</stp>
        <stp>SETTLE_DT=20160909</stp>
        <stp>YAS_BOND_PX=100.777</stp>
        <tr r="S186" s="23"/>
      </tp>
      <tp>
        <v>0.98799999999999999</v>
        <stp/>
        <stp>##V3_BDPV12</stp>
        <stp>FR0010773192@CBBT Corp</stp>
        <stp>YAS_BOND_YLD</stp>
        <stp>[Andrea New RollM.xlsm]DB!R113C19</stp>
        <stp>SETTLE_DT=20160909</stp>
        <stp>YAS_BOND_PX=176.441</stp>
        <tr r="S113" s="23"/>
      </tp>
      <tp>
        <v>2.274</v>
        <stp/>
        <stp>##V3_BDPV12</stp>
        <stp>IT0004286966@CBBT Corp</stp>
        <stp>YAS_BOND_YLD</stp>
        <stp>[Andrea New RollM.xlsm]DB!R111C17</stp>
        <stp>SETTLE_DT=20161011</stp>
        <stp>YAS_BOND_PX=148.585</stp>
        <tr r="Q111" s="23"/>
      </tp>
    </main>
    <main first="marketviewexcelplugin.mkvxp">
      <tp t="s">
        <v>IRISH</v>
        <stp/>
        <stp>0</stp>
        <stp>EUR.CM_INSTRUMENT.PXE.IE00B2QTFG59</stp>
        <stp>Ticker</stp>
        <tr r="B239" s="23"/>
      </tp>
    </main>
    <main first="bloomberg.rtd">
      <tp>
        <v>106.26300000000001</v>
        <stp/>
        <stp>##V3_BDHV12</stp>
        <stp>FR0013154044@CBBT Corp</stp>
        <stp>OPEN</stp>
        <stp>11/10/2016 4:15:00 PM</stp>
        <stp>11/10/2016 5:15:00 PM</stp>
        <stp>[Andrea New RollM.xlsm]DB!R107C14</stp>
        <stp>BarSz=60</stp>
        <stp>BarTp=T</stp>
        <stp>RecurDaily=True</stp>
        <stp>TZ=London</stp>
        <stp>DTS=H</stp>
        <tr r="N107" s="23"/>
      </tp>
      <tp>
        <v>101.185</v>
        <stp/>
        <stp>##V3_BDHV12</stp>
        <stp>DE0001104644@CBBT Corp</stp>
        <stp>OPEN</stp>
        <stp>04/10/2016 4:15:00 PM</stp>
        <stp>04/10/2016 5:15:00 PM</stp>
        <stp>[Andrea New RollM.xlsm]DB!R137C15</stp>
        <stp>BarSz=60</stp>
        <stp>BarTp=T</stp>
        <stp>RecurDaily=True</stp>
        <stp>TZ=London</stp>
        <stp>DTS=H</stp>
        <tr r="O137" s="23"/>
      </tp>
      <tp>
        <v>101.303</v>
        <stp/>
        <stp>##V3_BDHV12</stp>
        <stp>DE0001104651@CBBT Corp</stp>
        <stp>OPEN</stp>
        <stp>11/10/2016 4:15:00 PM</stp>
        <stp>11/10/2016 5:15:00 PM</stp>
        <stp>[Andrea New RollM.xlsm]DB!R139C14</stp>
        <stp>BarSz=60</stp>
        <stp>BarTp=T</stp>
        <stp>RecurDaily=True</stp>
        <stp>TZ=London</stp>
        <stp>DTS=H</stp>
        <tr r="N139" s="23"/>
      </tp>
    </main>
    <main first="marketviewexcelplugin.mkvxp">
      <tp t="s">
        <v>BTPS</v>
        <stp/>
        <stp>0</stp>
        <stp>EUR.CM_INSTRUMENT.PXE.IT0003535157</stp>
        <stp>Ticker</stp>
        <tr r="A65" s="7"/>
        <tr r="B105" s="23"/>
      </tp>
    </main>
    <main first="bloomberg.rtd">
      <tp>
        <v>100.13800000000001</v>
        <stp/>
        <stp>##V3_BDHV12</stp>
        <stp>DE0001137487@CBBT Corp</stp>
        <stp>OPEN</stp>
        <stp>04/10/2016 4:15:00 PM</stp>
        <stp>04/10/2016 5:15:00 PM</stp>
        <stp>[Andrea New RollM.xlsm]DB!R124C15</stp>
        <stp>BarSz=60</stp>
        <stp>BarTp=T</stp>
        <stp>RecurDaily=True</stp>
        <stp>TZ=London</stp>
        <stp>DTS=H</stp>
        <tr r="O124" s="23"/>
      </tp>
      <tp>
        <v>102.988</v>
        <stp/>
        <stp>##V3_BDHV12</stp>
        <stp>DE0001141695@CBBT Corp</stp>
        <stp>OPEN</stp>
        <stp>11/10/2016 4:15:00 PM</stp>
        <stp>11/10/2016 5:15:00 PM</stp>
        <stp>[Andrea New RollM.xlsm]DB!R143C14</stp>
        <stp>BarSz=60</stp>
        <stp>BarTp=T</stp>
        <stp>RecurDaily=True</stp>
        <stp>TZ=London</stp>
        <stp>DTS=H</stp>
        <tr r="N143" s="23"/>
      </tp>
      <tp>
        <v>102.45699999999999</v>
        <stp/>
        <stp>##V3_BDHV12</stp>
        <stp>DE0001141745@CBBT Corp</stp>
        <stp>OPEN</stp>
        <stp>11/10/2016 4:15:00 PM</stp>
        <stp>11/10/2016 5:15:00 PM</stp>
        <stp>[Andrea New RollM.xlsm]DB!R155C14</stp>
        <stp>BarSz=60</stp>
        <stp>BarTp=T</stp>
        <stp>RecurDaily=True</stp>
        <stp>TZ=London</stp>
        <stp>DTS=H</stp>
        <tr r="N155" s="23"/>
      </tp>
      <tp>
        <v>106.855</v>
        <stp/>
        <stp>##V3_BDHV12</stp>
        <stp>DE0001102374@CBBT Corp</stp>
        <stp>OPEN</stp>
        <stp>04/10/2016 4:15:00 PM</stp>
        <stp>04/10/2016 5:15:00 PM</stp>
        <stp>[Andrea New RollM.xlsm]DB!R166C15</stp>
        <stp>BarSz=60</stp>
        <stp>BarTp=T</stp>
        <stp>RecurDaily=True</stp>
        <stp>TZ=London</stp>
        <stp>DTS=H</stp>
        <tr r="O166" s="23"/>
      </tp>
    </main>
    <main first="marketviewexcelplugin.mkvxp">
      <tp t="s">
        <v>BTPS</v>
        <stp/>
        <stp>0</stp>
        <stp>EUR.CM_INSTRUMENT.PXE.IT0005175598</stp>
        <stp>Ticker</stp>
        <tr r="A33" s="7"/>
        <tr r="B56" s="23"/>
      </tp>
    </main>
    <main first="bloomberg.rtd">
      <tp>
        <v>151.38800000000001</v>
        <stp/>
        <stp>##V3_BDHV12</stp>
        <stp>FR0011461037@CBBT Corp</stp>
        <stp>OPEN</stp>
        <stp>11/10/2016 4:15:00 PM</stp>
        <stp>11/10/2016 5:15:00 PM</stp>
        <stp>[Andrea New RollM.xlsm]DB!R115C14</stp>
        <stp>BarSz=60</stp>
        <stp>BarTp=T</stp>
        <stp>RecurDaily=True</stp>
        <stp>TZ=London</stp>
        <stp>DTS=H</stp>
        <tr r="N115" s="23"/>
      </tp>
      <tp>
        <v>126.765</v>
        <stp/>
        <stp>##V3_BDHV12</stp>
        <stp>ES00000123X3@CBBT Corp</stp>
        <stp>OPEN</stp>
        <stp>11/10/2016 4:15:00 PM</stp>
        <stp>11/10/2016 5:15:00 PM</stp>
        <stp>[Andrea New RollM.xlsm]DB!R202C14</stp>
        <stp>BarSz=60</stp>
        <stp>BarTp=T</stp>
        <stp>RecurDaily=True</stp>
        <stp>TZ=London</stp>
        <stp>DTS=H</stp>
        <tr r="N202" s="23"/>
      </tp>
      <tp>
        <v>122.94499999999999</v>
        <stp/>
        <stp>##V3_BDHV12</stp>
        <stp>ES00000124W3@CBBT Corp</stp>
        <stp>OPEN</stp>
        <stp>11/10/2016 4:15:00 PM</stp>
        <stp>11/10/2016 5:15:00 PM</stp>
        <stp>[Andrea New RollM.xlsm]DB!R204C14</stp>
        <stp>BarSz=60</stp>
        <stp>BarTp=T</stp>
        <stp>RecurDaily=True</stp>
        <stp>TZ=London</stp>
        <stp>DTS=H</stp>
        <tr r="N204" s="23"/>
      </tp>
      <tp>
        <v>100.56699999999999</v>
        <stp/>
        <stp>##V3_BDHV12</stp>
        <stp>DE0001141620@CBBT Corp</stp>
        <stp>OPEN</stp>
        <stp>04/10/2016 4:15:00 PM</stp>
        <stp>04/10/2016 5:15:00 PM</stp>
        <stp>[Andrea New RollM.xlsm]DB!R125C15</stp>
        <stp>BarSz=60</stp>
        <stp>BarTp=T</stp>
        <stp>RecurDaily=True</stp>
        <stp>TZ=London</stp>
        <stp>DTS=H</stp>
        <tr r="O125" s="23"/>
      </tp>
    </main>
    <main first="marketviewexcelplugin.mkvxp">
      <tp t="s">
        <v>BTPS</v>
        <stp/>
        <stp>0</stp>
        <stp>EUR.CM_INSTRUMENT.PXE.IT0005215246</stp>
        <stp>Ticker</stp>
        <tr r="A46" s="7"/>
        <tr r="B74" s="23"/>
      </tp>
      <tp t="s">
        <v>BTPS</v>
        <stp/>
        <stp>0</stp>
        <stp>EUR.CM_INSTRUMENT.PXE.IT0005045270</stp>
        <stp>Ticker</stp>
        <tr r="A50" s="7"/>
        <tr r="B81" s="23"/>
      </tp>
    </main>
    <main first="bloomberg.rtd">
      <tp>
        <v>120.712</v>
        <stp/>
        <stp>##V3_BDHV12</stp>
        <stp>IE00BJ38CR43@CBBT Corp</stp>
        <stp>OPEN</stp>
        <stp>09/09/2016 4:15:00 PM</stp>
        <stp>09/09/2016 5:15:00 PM</stp>
        <stp>[Andrea New RollM.xlsm]DB!R248C16</stp>
        <stp>BarSz=60</stp>
        <stp>BarTp=T</stp>
        <stp>RecurDaily=True</stp>
        <stp>TZ=London</stp>
        <stp>DTS=H</stp>
        <tr r="P248" s="23"/>
      </tp>
      <tp>
        <v>148.375</v>
        <stp/>
        <stp>##V3_BDHV12</stp>
        <stp>DE0001134922@CBBT Corp</stp>
        <stp>OPEN</stp>
        <stp>11/10/2016 4:15:00 PM</stp>
        <stp>11/10/2016 5:15:00 PM</stp>
        <stp>[Andrea New RollM.xlsm]DB!R162C14</stp>
        <stp>BarSz=60</stp>
        <stp>BarTp=T</stp>
        <stp>RecurDaily=True</stp>
        <stp>TZ=London</stp>
        <stp>DTS=H</stp>
        <tr r="N162" s="23"/>
      </tp>
      <tp>
        <v>163.19999999999999</v>
        <stp/>
        <stp>##V3_BDHV12</stp>
        <stp>DE0001135432@CBBT Corp</stp>
        <stp>OPEN</stp>
        <stp>11/10/2016 4:15:00 PM</stp>
        <stp>11/10/2016 5:15:00 PM</stp>
        <stp>[Andrea New RollM.xlsm]DB!R179C14</stp>
        <stp>BarSz=60</stp>
        <stp>BarTp=T</stp>
        <stp>RecurDaily=True</stp>
        <stp>TZ=London</stp>
        <stp>DTS=H</stp>
        <tr r="N179" s="23"/>
      </tp>
      <tp>
        <v>118.8</v>
        <stp/>
        <stp>##V3_BDHV12</stp>
        <stp>ES00000128C6@CBBT Corp</stp>
        <stp>OPEN</stp>
        <stp>04/10/2016 4:15:00 PM</stp>
        <stp>04/10/2016 5:15:00 PM</stp>
        <stp>[Andrea New RollM.xlsm]DB!R220C15</stp>
        <stp>BarSz=60</stp>
        <stp>BarTp=T</stp>
        <stp>RecurDaily=True</stp>
        <stp>TZ=London</stp>
        <stp>DTS=H</stp>
        <tr r="O220" s="23"/>
      </tp>
      <tp>
        <v>187.9</v>
        <stp/>
        <stp>##V3_BDHV12</stp>
        <stp>FR0010870956@CBBT Corp</stp>
        <stp>OPEN</stp>
        <stp>11/10/2016 4:15:00 PM</stp>
        <stp>11/10/2016 5:15:00 PM</stp>
        <stp>[Andrea New RollM.xlsm]DB!R120C14</stp>
        <stp>BarSz=60</stp>
        <stp>BarTp=T</stp>
        <stp>RecurDaily=True</stp>
        <stp>TZ=London</stp>
        <stp>DTS=H</stp>
        <tr r="N120" s="23"/>
      </tp>
      <tp>
        <v>111.49299999999999</v>
        <stp/>
        <stp>##V3_BDHV12</stp>
        <stp>DE0001135382@CBBT Corp</stp>
        <stp>OPEN</stp>
        <stp>11/10/2016 4:15:00 PM</stp>
        <stp>11/10/2016 5:15:00 PM</stp>
        <stp>[Andrea New RollM.xlsm]DB!R144C14</stp>
        <stp>BarSz=60</stp>
        <stp>BarTp=T</stp>
        <stp>RecurDaily=True</stp>
        <stp>TZ=London</stp>
        <stp>DTS=H</stp>
        <tr r="N144" s="23"/>
      </tp>
      <tp>
        <v>124.65</v>
        <stp/>
        <stp>##V3_BDHV12</stp>
        <stp>ES00000123B9@CBBT Corp</stp>
        <stp>OPEN</stp>
        <stp>09/09/2016 4:15:00 PM</stp>
        <stp>09/09/2016 5:15:00 PM</stp>
        <stp>[Andrea New RollM.xlsm]DB!R199C16</stp>
        <stp>BarSz=60</stp>
        <stp>BarTp=T</stp>
        <stp>RecurDaily=True</stp>
        <stp>TZ=London</stp>
        <stp>DTS=H</stp>
        <tr r="P199" s="23"/>
      </tp>
      <tp>
        <v>114.259</v>
        <stp/>
        <stp>##V3_BDHV12</stp>
        <stp>DE0001135457@CBBT Corp</stp>
        <stp>OPEN</stp>
        <stp>04/10/2016 4:15:00 PM</stp>
        <stp>04/10/2016 5:15:00 PM</stp>
        <stp>[Andrea New RollM.xlsm]DB!R154C15</stp>
        <stp>BarSz=60</stp>
        <stp>BarTp=T</stp>
        <stp>RecurDaily=True</stp>
        <stp>TZ=London</stp>
        <stp>DTS=H</stp>
        <tr r="O154" s="23"/>
      </tp>
    </main>
    <main first="marketviewexcelplugin.mkvxp">
      <tp t="s">
        <v>BTPS</v>
        <stp/>
        <stp>0</stp>
        <stp>EUR.CM_INSTRUMENT.PXE.IT0004695075</stp>
        <stp>Ticker</stp>
        <tr r="A35" s="7"/>
        <tr r="B59" s="23"/>
      </tp>
    </main>
    <main first="bloomberg.rtd">
      <tp>
        <v>99.852000000000004</v>
        <stp/>
        <stp>##V3_BDHV12</stp>
        <stp>DE0001102408@CBBT Corp</stp>
        <stp>OPEN</stp>
        <stp>09/09/2016 4:15:00 PM</stp>
        <stp>09/09/2016 5:15:00 PM</stp>
        <stp>[Andrea New RollM.xlsm]DB!R169C16</stp>
        <stp>BarSz=60</stp>
        <stp>BarTp=T</stp>
        <stp>RecurDaily=True</stp>
        <stp>TZ=London</stp>
        <stp>DTS=H</stp>
        <tr r="P169" s="23"/>
      </tp>
      <tp>
        <v>114.006</v>
        <stp/>
        <stp>##V3_BDHV12</stp>
        <stp>DE0001102358@CBBT Corp</stp>
        <stp>OPEN</stp>
        <stp>09/09/2016 4:15:00 PM</stp>
        <stp>09/09/2016 5:15:00 PM</stp>
        <stp>[Andrea New RollM.xlsm]DB!R164C16</stp>
        <stp>BarSz=60</stp>
        <stp>BarTp=T</stp>
        <stp>RecurDaily=True</stp>
        <stp>TZ=London</stp>
        <stp>DTS=H</stp>
        <tr r="P164" s="23"/>
      </tp>
      <tp>
        <v>100.80500000000001</v>
        <stp/>
        <stp>##V3_BDHV12</stp>
        <stp>DE0001104628@CBBT Corp</stp>
        <stp>OPEN</stp>
        <stp>09/09/2016 4:15:00 PM</stp>
        <stp>09/09/2016 5:15:00 PM</stp>
        <stp>[Andrea New RollM.xlsm]DB!R132C16</stp>
        <stp>BarSz=60</stp>
        <stp>BarTp=T</stp>
        <stp>RecurDaily=True</stp>
        <stp>TZ=London</stp>
        <stp>DTS=H</stp>
        <tr r="P132" s="23"/>
      </tp>
      <tp t="b">
        <v>0</v>
        <stp/>
        <stp>##V3_BCURVEINTV12</stp>
        <stp>[Andrea New RollM.xlsm]SPF!R25C9</stp>
        <stp>EUR.OIS:BLOOMBERG DC 272086</stp>
        <stp>Par.Mid</stp>
        <stp>20270414</stp>
        <stp>Frequency=Annual</stp>
        <stp>DayCount=D30_360_EOMC</stp>
        <tr r="I25" s="4"/>
      </tp>
      <tp t="b">
        <v>0</v>
        <stp/>
        <stp>##V3_BCURVEINTV12</stp>
        <stp>[Andrea New RollM.xlsm]SPF!R15C9</stp>
        <stp>EUR.OIS:BLOOMBERG DC 272086</stp>
        <stp>Par.Mid</stp>
        <stp>20220414</stp>
        <stp>Frequency=Annual</stp>
        <stp>DayCount=D30_360_EOMC</stp>
        <tr r="I15" s="4"/>
      </tp>
      <tp t="b">
        <v>0</v>
        <stp/>
        <stp>##V3_BCURVEINTV12</stp>
        <stp>[Andrea New RollM.xlsm]SPF!R45C9</stp>
        <stp>EUR.OIS:BLOOMBERG DC 272086</stp>
        <stp>Par.Mid</stp>
        <stp>20370414</stp>
        <stp>Frequency=Annual</stp>
        <stp>DayCount=D30_360_EOMC</stp>
        <tr r="I45" s="4"/>
      </tp>
      <tp t="b">
        <v>0</v>
        <stp/>
        <stp>##V3_BCURVEINTV12</stp>
        <stp>[Andrea New RollM.xlsm]SPF!R35C9</stp>
        <stp>EUR.OIS:BLOOMBERG DC 272086</stp>
        <stp>Par.Mid</stp>
        <stp>20320414</stp>
        <stp>Frequency=Annual</stp>
        <stp>DayCount=D30_360_EOMC</stp>
        <tr r="I35" s="4"/>
      </tp>
      <tp t="b">
        <v>0</v>
        <stp/>
        <stp>##V3_BCURVEINTV12</stp>
        <stp>[Andrea New RollM.xlsm]SPF!R55C9</stp>
        <stp>EUR.OIS:BLOOMBERG DC 272086</stp>
        <stp>Par.Mid</stp>
        <stp>20420414</stp>
        <stp>Frequency=Annual</stp>
        <stp>DayCount=D30_360_EOMC</stp>
        <tr r="I55" s="4"/>
      </tp>
      <tp t="b">
        <v>0</v>
        <stp/>
        <stp>##V3_BCURVEINTV12</stp>
        <stp>[Andrea New RollM.xlsm]SPF!R65C9</stp>
        <stp>EUR.OIS:BLOOMBERG DC 272086</stp>
        <stp>Par.Mid</stp>
        <stp>20470416</stp>
        <stp>Frequency=Annual</stp>
        <stp>DayCount=D30_360_EOMC</stp>
        <tr r="I65" s="4"/>
      </tp>
      <tp>
        <v>100.8</v>
        <stp/>
        <stp>##V3_BDHV12</stp>
        <stp>ES00000126V0@CBBT Corp</stp>
        <stp>OPEN</stp>
        <stp>11/10/2016 4:15:00 PM</stp>
        <stp>11/10/2016 5:15:00 PM</stp>
        <stp>[Andrea New RollM.xlsm]DB!R186C14</stp>
        <stp>BarSz=60</stp>
        <stp>BarTp=T</stp>
        <stp>RecurDaily=True</stp>
        <stp>TZ=London</stp>
        <stp>DTS=H</stp>
        <tr r="N186" s="23"/>
      </tp>
      <tp>
        <v>107.887</v>
        <stp/>
        <stp>##V3_BDHV12</stp>
        <stp>ES00000121A5@CBBT Corp</stp>
        <stp>OPEN</stp>
        <stp>04/10/2016 4:15:00 PM</stp>
        <stp>04/10/2016 5:15:00 PM</stp>
        <stp>[Andrea New RollM.xlsm]DB!R189C15</stp>
        <stp>BarSz=60</stp>
        <stp>BarTp=T</stp>
        <stp>RecurDaily=True</stp>
        <stp>TZ=London</stp>
        <stp>DTS=H</stp>
        <tr r="O189" s="23"/>
      </tp>
      <tp>
        <v>97.11</v>
        <stp/>
        <stp>##V3_BDHV12</stp>
        <stp>IT0005217390@CBBT Corp</stp>
        <stp>OPEN</stp>
        <stp>11/10/2016 4:15:00 PM</stp>
        <stp>11/10/2016 5:15:00 PM</stp>
        <stp>[Andrea New RollM.xlsm]DB!R118C14</stp>
        <stp>BarSz=60</stp>
        <stp>BarTp=T</stp>
        <stp>RecurDaily=True</stp>
        <stp>TZ=London</stp>
        <stp>DTS=H</stp>
        <tr r="N118" s="23"/>
      </tp>
      <tp>
        <v>104.783</v>
        <stp/>
        <stp>##V3_BDHV12</stp>
        <stp>ES00000126C0@CBBT Corp</stp>
        <stp>OPEN</stp>
        <stp>11/10/2016 4:15:00 PM</stp>
        <stp>11/10/2016 5:15:00 PM</stp>
        <stp>[Andrea New RollM.xlsm]DB!R195C14</stp>
        <stp>BarSz=60</stp>
        <stp>BarTp=T</stp>
        <stp>RecurDaily=True</stp>
        <stp>TZ=London</stp>
        <stp>DTS=H</stp>
        <tr r="N195" s="23"/>
      </tp>
      <tp>
        <v>107.438</v>
        <stp/>
        <stp>##V3_BDHV12</stp>
        <stp>ES00000124V5@CBBT Corp</stp>
        <stp>OPEN</stp>
        <stp>04/10/2016 4:15:00 PM</stp>
        <stp>04/10/2016 5:15:00 PM</stp>
        <stp>[Andrea New RollM.xlsm]DB!R192C15</stp>
        <stp>BarSz=60</stp>
        <stp>BarTp=T</stp>
        <stp>RecurDaily=True</stp>
        <stp>TZ=London</stp>
        <stp>DTS=H</stp>
        <tr r="O192" s="23"/>
      </tp>
      <tp>
        <v>100.925</v>
        <stp/>
        <stp>##V3_BDHV12</stp>
        <stp>ES00000128A0@CBBT Corp</stp>
        <stp>OPEN</stp>
        <stp>11/10/2016 4:15:00 PM</stp>
        <stp>11/10/2016 5:15:00 PM</stp>
        <stp>[Andrea New RollM.xlsm]DB!R191C14</stp>
        <stp>BarSz=60</stp>
        <stp>BarTp=T</stp>
        <stp>RecurDaily=True</stp>
        <stp>TZ=London</stp>
        <stp>DTS=H</stp>
        <tr r="N191" s="23"/>
      </tp>
      <tp>
        <v>149.63499999999999</v>
        <stp/>
        <stp>##V3_BDHV12</stp>
        <stp>DE0001102341@CBBT Corp</stp>
        <stp>OPEN</stp>
        <stp>11/10/2016 4:15:00 PM</stp>
        <stp>11/10/2016 5:15:00 PM</stp>
        <stp>[Andrea New RollM.xlsm]DB!R181C14</stp>
        <stp>BarSz=60</stp>
        <stp>BarTp=T</stp>
        <stp>RecurDaily=True</stp>
        <stp>TZ=London</stp>
        <stp>DTS=H</stp>
        <tr r="N181" s="23"/>
      </tp>
      <tp>
        <v>98.292000000000002</v>
        <stp/>
        <stp>##V3_BDHV12</stp>
        <stp>IT0005094088@CBBT Corp</stp>
        <stp>OPEN</stp>
        <stp>11/10/2016 4:15:00 PM</stp>
        <stp>11/10/2016 5:15:00 PM</stp>
        <stp>[Andrea New RollM.xlsm]DB!R102C14</stp>
        <stp>BarSz=60</stp>
        <stp>BarTp=T</stp>
        <stp>RecurDaily=True</stp>
        <stp>TZ=London</stp>
        <stp>DTS=H</stp>
        <tr r="N102" s="23"/>
      </tp>
      <tp>
        <v>133.99199999999999</v>
        <stp/>
        <stp>##V3_BDHV12</stp>
        <stp>IT0003934657@CBBT Corp</stp>
        <stp>OPEN</stp>
        <stp>04/10/2016 4:15:00 PM</stp>
        <stp>04/10/2016 5:15:00 PM</stp>
        <stp>[Andrea New RollM.xlsm]DB!R109C15</stp>
        <stp>BarSz=60</stp>
        <stp>BarTp=T</stp>
        <stp>RecurDaily=True</stp>
        <stp>TZ=London</stp>
        <stp>DTS=H</stp>
        <tr r="O109" s="23"/>
      </tp>
    </main>
    <main first="marketviewexcelplugin.mkvxp">
      <tp t="s">
        <v>BTPS</v>
        <stp/>
        <stp>0</stp>
        <stp>EUR.CM_INSTRUMENT.PXE.IT0005135840</stp>
        <stp>Ticker</stp>
        <tr r="A41" s="7"/>
        <tr r="B67" s="23"/>
      </tp>
    </main>
    <main first="bloomberg.rtd">
      <tp t="b">
        <v>0</v>
        <stp/>
        <stp>##V3_BCURVEINTV12</stp>
        <stp>[Andrea New RollM.xlsm]SPF!R24C9</stp>
        <stp>EUR.OIS:BLOOMBERG DC 272086</stp>
        <stp>Par.Mid</stp>
        <stp>20261014</stp>
        <stp>Frequency=Annual</stp>
        <stp>DayCount=D30_360_EOMC</stp>
        <tr r="I24" s="4"/>
      </tp>
      <tp t="b">
        <v>0</v>
        <stp/>
        <stp>##V3_BCURVEINTV12</stp>
        <stp>[Andrea New RollM.xlsm]SPF!R14C9</stp>
        <stp>EUR.OIS:BLOOMBERG DC 272086</stp>
        <stp>Par.Mid</stp>
        <stp>20211014</stp>
        <stp>Frequency=Annual</stp>
        <stp>DayCount=D30_360_EOMC</stp>
        <tr r="I14" s="4"/>
      </tp>
      <tp t="b">
        <v>0</v>
        <stp/>
        <stp>##V3_BCURVEINTV12</stp>
        <stp>[Andrea New RollM.xlsm]SPF!R34C9</stp>
        <stp>EUR.OIS:BLOOMBERG DC 272086</stp>
        <stp>Par.Mid</stp>
        <stp>20311014</stp>
        <stp>Frequency=Annual</stp>
        <stp>DayCount=D30_360_EOMC</stp>
        <tr r="I34" s="4"/>
      </tp>
      <tp t="b">
        <v>0</v>
        <stp/>
        <stp>##V3_BCURVEINTV12</stp>
        <stp>[Andrea New RollM.xlsm]SPF!R44C9</stp>
        <stp>EUR.OIS:BLOOMBERG DC 272086</stp>
        <stp>Par.Mid</stp>
        <stp>20361014</stp>
        <stp>Frequency=Annual</stp>
        <stp>DayCount=D30_360_EOMC</stp>
        <tr r="I44" s="4"/>
      </tp>
      <tp t="b">
        <v>0</v>
        <stp/>
        <stp>##V3_BCURVEINTV12</stp>
        <stp>[Andrea New RollM.xlsm]SPF!R54C9</stp>
        <stp>EUR.OIS:BLOOMBERG DC 272086</stp>
        <stp>Par.Mid</stp>
        <stp>20411014</stp>
        <stp>Frequency=Annual</stp>
        <stp>DayCount=D30_360_EOMC</stp>
        <tr r="I54" s="4"/>
      </tp>
      <tp t="b">
        <v>0</v>
        <stp/>
        <stp>##V3_BCURVEINTV12</stp>
        <stp>[Andrea New RollM.xlsm]SPF!R64C9</stp>
        <stp>EUR.OIS:BLOOMBERG DC 272086</stp>
        <stp>Par.Mid</stp>
        <stp>20461015</stp>
        <stp>Frequency=Annual</stp>
        <stp>DayCount=D30_360_EOMC</stp>
        <tr r="I64" s="4"/>
      </tp>
      <tp>
        <v>147.94800000000001</v>
        <stp/>
        <stp>##V3_BDHV12</stp>
        <stp>IT0003535157@CBBT Corp</stp>
        <stp>OPEN</stp>
        <stp>04/10/2016 4:15:00 PM</stp>
        <stp>04/10/2016 5:15:00 PM</stp>
        <stp>[Andrea New RollM.xlsm]DB!R105C15</stp>
        <stp>BarSz=60</stp>
        <stp>BarTp=T</stp>
        <stp>RecurDaily=True</stp>
        <stp>TZ=London</stp>
        <stp>DTS=H</stp>
        <tr r="O105" s="23"/>
      </tp>
      <tp>
        <v>-0.20799999999999999</v>
        <stp/>
        <stp>##V3_BDPV12</stp>
        <stp>ES00000121A5@CBBT Corp</stp>
        <stp>YAS_BOND_YLD</stp>
        <stp>[Andrea New RollM.xlsm]DB!R189C17</stp>
        <stp>SETTLE_DT=20161011</stp>
        <stp>YAS_BOND_PX=107.777</stp>
        <tr r="Q189" s="23"/>
      </tp>
      <tp>
        <v>5.3999999999999999E-2</v>
        <stp/>
        <stp>##V3_BDPV12</stp>
        <stp>ES00000126C0@CBBT Corp</stp>
        <stp>YAS_BOND_YLD</stp>
        <stp>[Andrea New RollM.xlsm]DB!R195C19</stp>
        <stp>SETTLE_DT=20160909</stp>
        <stp>YAS_BOND_PX=104.563</stp>
        <tr r="S195" s="23"/>
      </tp>
      <tp>
        <v>7.8E-2</v>
        <stp/>
        <stp>##V3_BDPV12</stp>
        <stp>ES00000122D7@CBBT Corp</stp>
        <stp>YAS_BOND_YLD</stp>
        <stp>[Andrea New RollM.xlsm]DB!R196C19</stp>
        <stp>SETTLE_DT=20160909</stp>
        <stp>YAS_BOND_PX=114.245</stp>
        <tr r="S196" s="23"/>
      </tp>
      <tp>
        <v>0.69299999999999995</v>
        <stp/>
        <stp>##V3_BDPV12</stp>
        <stp>ES00000121G2@CBBT Corp</stp>
        <stp>YAS_BOND_YLD</stp>
        <stp>[Andrea New RollM.xlsm]DB!R203C19</stp>
        <stp>SETTLE_DT=20160909</stp>
        <stp>YAS_BOND_PX=129.497</stp>
        <tr r="S203" s="23"/>
      </tp>
      <tp>
        <v>-0.33</v>
        <stp/>
        <stp>##V3_BDPV12</stp>
        <stp>EUSWEB CMPN Curncy</stp>
        <stp>ask</stp>
        <stp>[Andrea New RollM.xlsm]Crv!R12C5</stp>
        <tr r="E12" s="1"/>
      </tp>
      <tp>
        <v>8.1500000000000003E-2</v>
        <stp/>
        <stp>##V3_BDPV12</stp>
        <stp>EUSWE9 CMPN Curncy</stp>
        <stp>ask</stp>
        <stp>[Andrea New RollM.xlsm]Crv!R32C5</stp>
        <tr r="E32" s="1"/>
      </tp>
      <tp>
        <v>0.63100000000000001</v>
        <stp/>
        <stp>##V3_BDPV12</stp>
        <stp>FR0000187635@CBBT Corp</stp>
        <stp>YAS_BOND_YLD</stp>
        <stp>[Andrea New RollM.xlsm]DB!R103C19</stp>
        <stp>SETTLE_DT=20160909</stp>
        <stp>YAS_BOND_PX=178.249</stp>
        <tr r="S103" s="23"/>
      </tp>
      <tp>
        <v>0.92200000000000004</v>
        <stp/>
        <stp>##V3_BDPV12</stp>
        <stp>FR0010371401@CBBT Corp</stp>
        <stp>YAS_BOND_YLD</stp>
        <stp>[Andrea New RollM.xlsm]DB!R110C19</stp>
        <stp>SETTLE_DT=20160909</stp>
        <stp>YAS_BOND_PX=161.343</stp>
        <tr r="S110" s="23"/>
      </tp>
      <tp>
        <v>-0.377</v>
        <stp/>
        <stp>##V3_BDPV12</stp>
        <stp>EUSWE1 CMPN Curncy</stp>
        <stp>ask</stp>
        <stp>[Andrea New RollM.xlsm]Crv!R22C5</stp>
        <tr r="E22" s="1"/>
      </tp>
      <tp>
        <v>1.2730000000000001</v>
        <stp/>
        <stp>##V3_BDPV12</stp>
        <stp>FR0010171975@CBBT Corp</stp>
        <stp>YAS_BOND_YLD</stp>
        <stp>[Andrea New RollM.xlsm]DB!R119C19</stp>
        <stp>SETTLE_DT=20160909</stp>
        <stp>YAS_BOND_PX=182.776</stp>
        <tr r="S119" s="23"/>
      </tp>
    </main>
    <main first="bloomberg.rtd">
      <tp>
        <v>105.836</v>
        <stp/>
        <stp>##V3_BDHV12</stp>
        <stp>DE0001135341@CBBT Corp</stp>
        <stp>OPEN</stp>
        <stp>11/10/2016 4:15:00 PM</stp>
        <stp>11/10/2016 5:15:00 PM</stp>
        <stp>[Andrea New RollM.xlsm]DB!R133C14</stp>
        <stp>BarSz=60</stp>
        <stp>BarTp=T</stp>
        <stp>RecurDaily=True</stp>
        <stp>TZ=London</stp>
        <stp>DTS=H</stp>
        <tr r="N133" s="23"/>
      </tp>
      <tp>
        <v>100.48099999999999</v>
        <stp/>
        <stp>##V3_BDHV12</stp>
        <stp>DE0001104602@CBBT Corp</stp>
        <stp>OPEN</stp>
        <stp>11/10/2016 4:15:00 PM</stp>
        <stp>11/10/2016 5:15:00 PM</stp>
        <stp>[Andrea New RollM.xlsm]DB!R128C14</stp>
        <stp>BarSz=60</stp>
        <stp>BarTp=T</stp>
        <stp>RecurDaily=True</stp>
        <stp>TZ=London</stp>
        <stp>DTS=H</stp>
        <tr r="N128" s="23"/>
      </tp>
      <tp>
        <v>102.919</v>
        <stp/>
        <stp>##V3_BDHV12</stp>
        <stp>DE0001141703@CBBT Corp</stp>
        <stp>OPEN</stp>
        <stp>04/10/2016 4:15:00 PM</stp>
        <stp>04/10/2016 5:15:00 PM</stp>
        <stp>[Andrea New RollM.xlsm]DB!R145C15</stp>
        <stp>BarSz=60</stp>
        <stp>BarTp=T</stp>
        <stp>RecurDaily=True</stp>
        <stp>TZ=London</stp>
        <stp>DTS=H</stp>
        <tr r="O145" s="23"/>
      </tp>
    </main>
    <main first="marketviewexcelplugin.mkvxp">
      <tp t="s">
        <v>BTPS</v>
        <stp/>
        <stp>0</stp>
        <stp>EUR.CM_INSTRUMENT.PXE.IT0005216491</stp>
        <stp>Ticker</stp>
        <tr r="A36" s="7"/>
        <tr r="B61" s="23"/>
      </tp>
    </main>
    <main first="bloomberg.rtd">
      <tp>
        <v>113.309</v>
        <stp/>
        <stp>##V3_BDHV12</stp>
        <stp>DE0001102317@CBBT Corp</stp>
        <stp>OPEN</stp>
        <stp>04/10/2016 4:15:00 PM</stp>
        <stp>04/10/2016 5:15:00 PM</stp>
        <stp>[Andrea New RollM.xlsm]DB!R160C15</stp>
        <stp>BarSz=60</stp>
        <stp>BarTp=T</stp>
        <stp>RecurDaily=True</stp>
        <stp>TZ=London</stp>
        <stp>DTS=H</stp>
        <tr r="O160" s="23"/>
      </tp>
      <tp>
        <v>109.983</v>
        <stp/>
        <stp>##V3_BDHV12</stp>
        <stp>DE0001102382@CBBT Corp</stp>
        <stp>OPEN</stp>
        <stp>11/10/2016 4:15:00 PM</stp>
        <stp>11/10/2016 5:15:00 PM</stp>
        <stp>[Andrea New RollM.xlsm]DB!R167C14</stp>
        <stp>BarSz=60</stp>
        <stp>BarTp=T</stp>
        <stp>RecurDaily=True</stp>
        <stp>TZ=London</stp>
        <stp>DTS=H</stp>
        <tr r="N167" s="23"/>
      </tp>
    </main>
    <main first="marketviewexcelplugin.mkvxp">
      <tp t="s">
        <v>BTPS</v>
        <stp/>
        <stp>0</stp>
        <stp>EUR.CM_INSTRUMENT.PXE.IT0004966401</stp>
        <stp>Ticker</stp>
        <tr r="A32" s="7"/>
        <tr r="B54" s="23"/>
      </tp>
    </main>
    <main first="bloomberg.rtd">
      <tp>
        <v>182.15600000000001</v>
        <stp/>
        <stp>##V3_BDHV12</stp>
        <stp>FR0010171975@CBBT Corp</stp>
        <stp>OPEN</stp>
        <stp>11/10/2016 4:15:00 PM</stp>
        <stp>11/10/2016 5:15:00 PM</stp>
        <stp>[Andrea New RollM.xlsm]DB!R119C14</stp>
        <stp>BarSz=60</stp>
        <stp>BarTp=T</stp>
        <stp>RecurDaily=True</stp>
        <stp>TZ=London</stp>
        <stp>DTS=H</stp>
        <tr r="N119" s="23"/>
      </tp>
      <tp>
        <v>132.50800000000001</v>
        <stp/>
        <stp>##V3_BDHV12</stp>
        <stp>ES00000122E5@CBBT Corp</stp>
        <stp>OPEN</stp>
        <stp>04/10/2016 4:15:00 PM</stp>
        <stp>04/10/2016 5:15:00 PM</stp>
        <stp>[Andrea New RollM.xlsm]DB!R207C15</stp>
        <stp>BarSz=60</stp>
        <stp>BarTp=T</stp>
        <stp>RecurDaily=True</stp>
        <stp>TZ=London</stp>
        <stp>DTS=H</stp>
        <tr r="O207" s="23"/>
      </tp>
      <tp>
        <v>129.845</v>
        <stp/>
        <stp>##V3_BDHV12</stp>
        <stp>ES00000123K0@CBBT Corp</stp>
        <stp>OPEN</stp>
        <stp>11/10/2016 4:15:00 PM</stp>
        <stp>11/10/2016 5:15:00 PM</stp>
        <stp>[Andrea New RollM.xlsm]DB!R200C14</stp>
        <stp>BarSz=60</stp>
        <stp>BarTp=T</stp>
        <stp>RecurDaily=True</stp>
        <stp>TZ=London</stp>
        <stp>DTS=H</stp>
        <tr r="N200" s="23"/>
      </tp>
      <tp>
        <v>170.947</v>
        <stp/>
        <stp>##V3_BDHV12</stp>
        <stp>FR0010070060@CBBT Corp</stp>
        <stp>OPEN</stp>
        <stp>04/10/2016 4:15:00 PM</stp>
        <stp>04/10/2016 5:15:00 PM</stp>
        <stp>[Andrea New RollM.xlsm]DB!R106C15</stp>
        <stp>BarSz=60</stp>
        <stp>BarTp=T</stp>
        <stp>RecurDaily=True</stp>
        <stp>TZ=London</stp>
        <stp>DTS=H</stp>
        <tr r="O106" s="23"/>
      </tp>
    </main>
    <main first="marketviewexcelplugin.mkvxp">
      <tp t="s">
        <v>FRTR</v>
        <stp/>
        <stp>0</stp>
        <stp>EUR.CM_INSTRUMENT.PXE.FR0000189151</stp>
        <stp>Ticker</stp>
        <tr r="B32" s="23"/>
      </tp>
      <tp t="s">
        <v>FRTR</v>
        <stp/>
        <stp>0</stp>
        <stp>EUR.CM_INSTRUMENT.PXE.FR0011708080</stp>
        <stp>Ticker</stp>
        <tr r="B35" s="23"/>
      </tp>
      <tp t="s">
        <v>FRTR</v>
        <stp/>
        <stp>0</stp>
        <stp>EUR.CM_INSTRUMENT.PXE.FR0012968337</stp>
        <stp>Ticker</stp>
        <tr r="B51" s="23"/>
      </tp>
    </main>
    <main first="bloomberg.rtd">
      <tp>
        <v>156.31</v>
        <stp/>
        <stp>##V3_BDHV12</stp>
        <stp>ES00000120N0@CBBT Corp</stp>
        <stp>OPEN</stp>
        <stp>11/10/2016 4:15:00 PM</stp>
        <stp>11/10/2016 5:15:00 PM</stp>
        <stp>[Andrea New RollM.xlsm]DB!R217C14</stp>
        <stp>BarSz=60</stp>
        <stp>BarTp=T</stp>
        <stp>RecurDaily=True</stp>
        <stp>TZ=London</stp>
        <stp>DTS=H</stp>
        <tr r="N217" s="23"/>
      </tp>
      <tp>
        <v>144.68799999999999</v>
        <stp/>
        <stp>##V3_BDHV12</stp>
        <stp>ES00000124C5@CBBT Corp</stp>
        <stp>OPEN</stp>
        <stp>04/10/2016 4:15:00 PM</stp>
        <stp>04/10/2016 5:15:00 PM</stp>
        <stp>[Andrea New RollM.xlsm]DB!R212C15</stp>
        <stp>BarSz=60</stp>
        <stp>BarTp=T</stp>
        <stp>RecurDaily=True</stp>
        <stp>TZ=London</stp>
        <stp>DTS=H</stp>
        <tr r="O212" s="23"/>
      </tp>
      <tp>
        <v>102.848</v>
        <stp/>
        <stp>##V3_BDHV12</stp>
        <stp>ES00000128H5@CBBT Corp</stp>
        <stp>OPEN</stp>
        <stp>04/10/2016 4:15:00 PM</stp>
        <stp>04/10/2016 5:15:00 PM</stp>
        <stp>[Andrea New RollM.xlsm]DB!R211C15</stp>
        <stp>BarSz=60</stp>
        <stp>BarTp=T</stp>
        <stp>RecurDaily=True</stp>
        <stp>TZ=London</stp>
        <stp>DTS=H</stp>
        <tr r="O211" s="23"/>
      </tp>
      <tp>
        <v>101.19499999999999</v>
        <stp/>
        <stp>##V3_BDHV12</stp>
        <stp>DE0001141646@CBBT Corp</stp>
        <stp>OPEN</stp>
        <stp>11/10/2016 4:15:00 PM</stp>
        <stp>11/10/2016 5:15:00 PM</stp>
        <stp>[Andrea New RollM.xlsm]DB!R131C14</stp>
        <stp>BarSz=60</stp>
        <stp>BarTp=T</stp>
        <stp>RecurDaily=True</stp>
        <stp>TZ=London</stp>
        <stp>DTS=H</stp>
        <tr r="N131" s="23"/>
      </tp>
      <tp>
        <v>101.67</v>
        <stp/>
        <stp>##V3_BDHV12</stp>
        <stp>DE0001141653@CBBT Corp</stp>
        <stp>OPEN</stp>
        <stp>04/10/2016 4:15:00 PM</stp>
        <stp>04/10/2016 5:15:00 PM</stp>
        <stp>[Andrea New RollM.xlsm]DB!R134C15</stp>
        <stp>BarSz=60</stp>
        <stp>BarTp=T</stp>
        <stp>RecurDaily=True</stp>
        <stp>TZ=London</stp>
        <stp>DTS=H</stp>
        <tr r="O134" s="23"/>
      </tp>
      <tp>
        <v>171.929</v>
        <stp/>
        <stp>##V3_BDHV12</stp>
        <stp>DE0001135044@CBBT Corp</stp>
        <stp>OPEN</stp>
        <stp>04/10/2016 4:15:00 PM</stp>
        <stp>04/10/2016 5:15:00 PM</stp>
        <stp>[Andrea New RollM.xlsm]DB!R170C15</stp>
        <stp>BarSz=60</stp>
        <stp>BarTp=T</stp>
        <stp>RecurDaily=True</stp>
        <stp>TZ=London</stp>
        <stp>DTS=H</stp>
        <tr r="O170" s="23"/>
      </tp>
    </main>
    <main first="marketviewexcelplugin.mkvxp">
      <tp t="s">
        <v>BTPS</v>
        <stp/>
        <stp>0</stp>
        <stp>EUR.CM_INSTRUMENT.PXE.IT0000366655</stp>
        <stp>Ticker</stp>
        <tr r="A47" s="7"/>
        <tr r="B76" s="23"/>
      </tp>
    </main>
    <main first="bloomberg.rtd">
      <tp>
        <v>110.13</v>
        <stp/>
        <stp>##V3_BDHV12</stp>
        <stp>DE0001135374@CBBT Corp</stp>
        <stp>OPEN</stp>
        <stp>04/10/2016 4:15:00 PM</stp>
        <stp>04/10/2016 5:15:00 PM</stp>
        <stp>[Andrea New RollM.xlsm]DB!R141C15</stp>
        <stp>BarSz=60</stp>
        <stp>BarTp=T</stp>
        <stp>RecurDaily=True</stp>
        <stp>TZ=London</stp>
        <stp>DTS=H</stp>
        <tr r="O141" s="23"/>
      </tp>
    </main>
    <main first="marketviewexcelplugin.mkvxp">
      <tp t="s">
        <v>BTPS</v>
        <stp/>
        <stp>0</stp>
        <stp>EUR.CM_INSTRUMENT.PXE.IT0005106049</stp>
        <stp>Ticker</stp>
        <tr r="A13" s="7"/>
        <tr r="B21" s="23"/>
      </tp>
      <tp t="s">
        <v>FRTR</v>
        <stp/>
        <stp>0</stp>
        <stp>EUR.CM_INSTRUMENT.PXE.FR0012938116</stp>
        <stp>Ticker</stp>
        <tr r="B85" s="23"/>
      </tp>
    </main>
    <main first="bloomberg.rtd">
      <tp>
        <v>125.83199999999999</v>
        <stp/>
        <stp>##V3_BDHV12</stp>
        <stp>IE00B4S3JD47@CBBT Corp</stp>
        <stp>OPEN</stp>
        <stp>04/10/2016 4:15:00 PM</stp>
        <stp>04/10/2016 5:15:00 PM</stp>
        <stp>[Andrea New RollM.xlsm]DB!R244C15</stp>
        <stp>BarSz=60</stp>
        <stp>BarTp=T</stp>
        <stp>RecurDaily=True</stp>
        <stp>TZ=London</stp>
        <stp>DTS=H</stp>
        <tr r="O244" s="23"/>
      </tp>
      <tp>
        <v>113.63</v>
        <stp/>
        <stp>##V3_BDHV12</stp>
        <stp>DE0001135424@CBBT Corp</stp>
        <stp>OPEN</stp>
        <stp>04/10/2016 4:15:00 PM</stp>
        <stp>04/10/2016 5:15:00 PM</stp>
        <stp>[Andrea New RollM.xlsm]DB!R151C15</stp>
        <stp>BarSz=60</stp>
        <stp>BarTp=T</stp>
        <stp>RecurDaily=True</stp>
        <stp>TZ=London</stp>
        <stp>DTS=H</stp>
        <tr r="O151" s="23"/>
      </tp>
    </main>
    <main first="marketviewexcelplugin.mkvxp">
      <tp t="s">
        <v>BTPS</v>
        <stp/>
        <stp>0</stp>
        <stp>EUR.CM_INSTRUMENT.PXE.IT0001086567</stp>
        <stp>Ticker</stp>
        <tr r="A56" s="7"/>
        <tr r="B91" s="23"/>
      </tp>
    </main>
    <main first="marketviewexcelplugin.mkvxp">
      <tp t="s">
        <v>BTPS</v>
        <stp/>
        <stp>0</stp>
        <stp>EUR.CM_INSTRUMENT.PXE.IT0003256820</stp>
        <stp>Ticker</stp>
        <tr r="A64" s="7"/>
        <tr r="B104" s="23"/>
      </tp>
    </main>
    <main first="bloomberg.rtd">
      <tp>
        <v>147.56100000000001</v>
        <stp/>
        <stp>##V3_BDHV12</stp>
        <stp>DE0001135481@CBBT Corp</stp>
        <stp>OPEN</stp>
        <stp>11/10/2016 4:15:00 PM</stp>
        <stp>11/10/2016 5:15:00 PM</stp>
        <stp>[Andrea New RollM.xlsm]DB!R180C14</stp>
        <stp>BarSz=60</stp>
        <stp>BarTp=T</stp>
        <stp>RecurDaily=True</stp>
        <stp>TZ=London</stp>
        <stp>DTS=H</stp>
        <tr r="N180" s="23"/>
      </tp>
      <tp>
        <v>108.905</v>
        <stp/>
        <stp>##V3_BDHV12</stp>
        <stp>DE0001135358@CBBT Corp</stp>
        <stp>OPEN</stp>
        <stp>09/09/2016 4:15:00 PM</stp>
        <stp>09/09/2016 5:15:00 PM</stp>
        <stp>[Andrea New RollM.xlsm]DB!R138C16</stp>
        <stp>BarSz=60</stp>
        <stp>BarTp=T</stp>
        <stp>RecurDaily=True</stp>
        <stp>TZ=London</stp>
        <stp>DTS=H</stp>
        <tr r="P138" s="23"/>
      </tp>
      <tp>
        <v>104.61</v>
        <stp/>
        <stp>##V3_BDHV12</stp>
        <stp>ES0000012783@CBBT Corp</stp>
        <stp>OPEN</stp>
        <stp>11/10/2016 4:15:00 PM</stp>
        <stp>11/10/2016 5:15:00 PM</stp>
        <stp>[Andrea New RollM.xlsm]DB!R185C14</stp>
        <stp>BarSz=60</stp>
        <stp>BarTp=T</stp>
        <stp>RecurDaily=True</stp>
        <stp>TZ=London</stp>
        <stp>DTS=H</stp>
        <tr r="N185" s="23"/>
      </tp>
      <tp>
        <v>100.77500000000001</v>
        <stp/>
        <stp>##V3_BDHV12</stp>
        <stp>ES00000127D6@CBBT Corp</stp>
        <stp>OPEN</stp>
        <stp>04/10/2016 4:15:00 PM</stp>
        <stp>04/10/2016 5:15:00 PM</stp>
        <stp>[Andrea New RollM.xlsm]DB!R188C15</stp>
        <stp>BarSz=60</stp>
        <stp>BarTp=T</stp>
        <stp>RecurDaily=True</stp>
        <stp>TZ=London</stp>
        <stp>DTS=H</stp>
        <tr r="O188" s="23"/>
      </tp>
      <tp>
        <v>113.90600000000001</v>
        <stp/>
        <stp>##V3_BDHV12</stp>
        <stp>DE0001135408@CBBT Corp</stp>
        <stp>OPEN</stp>
        <stp>09/09/2016 4:15:00 PM</stp>
        <stp>09/09/2016 5:15:00 PM</stp>
        <stp>[Andrea New RollM.xlsm]DB!R148C16</stp>
        <stp>BarSz=60</stp>
        <stp>BarTp=T</stp>
        <stp>RecurDaily=True</stp>
        <stp>TZ=London</stp>
        <stp>DTS=H</stp>
        <tr r="P148" s="23"/>
      </tp>
      <tp>
        <v>113.515</v>
        <stp/>
        <stp>##V3_BDHV12</stp>
        <stp>ES00000121O6@CBBT Corp</stp>
        <stp>OPEN</stp>
        <stp>04/10/2016 4:15:00 PM</stp>
        <stp>04/10/2016 5:15:00 PM</stp>
        <stp>[Andrea New RollM.xlsm]DB!R194C15</stp>
        <stp>BarSz=60</stp>
        <stp>BarTp=T</stp>
        <stp>RecurDaily=True</stp>
        <stp>TZ=London</stp>
        <stp>DTS=H</stp>
        <tr r="O194" s="23"/>
      </tp>
      <tp>
        <v>119.56</v>
        <stp/>
        <stp>##V3_BDHV12</stp>
        <stp>ES00000122T3@CBBT Corp</stp>
        <stp>OPEN</stp>
        <stp>11/10/2016 4:15:00 PM</stp>
        <stp>11/10/2016 5:15:00 PM</stp>
        <stp>[Andrea New RollM.xlsm]DB!R198C14</stp>
        <stp>BarSz=60</stp>
        <stp>BarTp=T</stp>
        <stp>RecurDaily=True</stp>
        <stp>TZ=London</stp>
        <stp>DTS=H</stp>
        <tr r="N198" s="23"/>
      </tp>
      <tp>
        <v>107.87</v>
        <stp/>
        <stp>##V3_BDHV12</stp>
        <stp>ES00000127Z9@CBBT Corp</stp>
        <stp>OPEN</stp>
        <stp>09/09/2016 4:15:00 PM</stp>
        <stp>09/09/2016 5:15:00 PM</stp>
        <stp>[Andrea New RollM.xlsm]DB!R209C16</stp>
        <stp>BarSz=60</stp>
        <stp>BarTp=T</stp>
        <stp>RecurDaily=True</stp>
        <stp>TZ=London</stp>
        <stp>DTS=H</stp>
        <tr r="P209" s="23"/>
      </tp>
      <tp>
        <v>109.80200000000001</v>
        <stp/>
        <stp>##V3_BDHV12</stp>
        <stp>ES00000127G9@CBBT Corp</stp>
        <stp>OPEN</stp>
        <stp>09/09/2016 4:15:00 PM</stp>
        <stp>09/09/2016 5:15:00 PM</stp>
        <stp>[Andrea New RollM.xlsm]DB!R208C16</stp>
        <stp>BarSz=60</stp>
        <stp>BarTp=T</stp>
        <stp>RecurDaily=True</stp>
        <stp>TZ=London</stp>
        <stp>DTS=H</stp>
        <tr r="P208" s="23"/>
      </tp>
      <tp>
        <v>130.91499999999999</v>
        <stp/>
        <stp>##V3_BDHV12</stp>
        <stp>ES00000123U9@CBBT Corp</stp>
        <stp>OPEN</stp>
        <stp>09/09/2016 4:15:00 PM</stp>
        <stp>09/09/2016 5:15:00 PM</stp>
        <stp>[Andrea New RollM.xlsm]DB!R201C16</stp>
        <stp>BarSz=60</stp>
        <stp>BarTp=T</stp>
        <stp>RecurDaily=True</stp>
        <stp>TZ=London</stp>
        <stp>DTS=H</stp>
        <tr r="P201" s="23"/>
      </tp>
    </main>
    <main first="marketviewexcelplugin.mkvxp">
      <tp t="s">
        <v>BTPS</v>
        <stp/>
        <stp>0</stp>
        <stp>EUR.CM_INSTRUMENT.PXE.IT0004286966</stp>
        <stp>Ticker</stp>
        <tr r="A68" s="7"/>
        <tr r="B111" s="23"/>
      </tp>
      <tp t="s">
        <v>BTPS</v>
        <stp/>
        <stp>0</stp>
        <stp>EUR.CM_INSTRUMENT.PXE.IT0004536949</stp>
        <stp>Ticker</stp>
        <tr r="A27" s="7"/>
        <tr r="B43" s="23"/>
      </tp>
      <tp t="s">
        <v>BTPS</v>
        <stp/>
        <stp>0</stp>
        <stp>EUR.CM_INSTRUMENT.PXE.IT0005086886</stp>
        <stp>Ticker</stp>
        <tr r="A39" s="7"/>
        <tr r="B64" s="23"/>
      </tp>
    </main>
    <main first="marketviewexcelplugin.mkvxp">
      <tp t="s">
        <v>BTPS</v>
        <stp/>
        <stp>0</stp>
        <stp>EUR.CM_INSTRUMENT.PXE.IT0004356843</stp>
        <stp>Ticker</stp>
        <tr r="A45" s="7"/>
        <tr r="B73" s="23"/>
      </tp>
    </main>
    <main first="bloomberg.rtd">
      <tp>
        <v>7.1999999999999995E-2</v>
        <stp/>
        <stp>##V3_BDPV12</stp>
        <stp>ES00000123B9@CBBT Corp</stp>
        <stp>YAS_BOND_YLD</stp>
        <stp>[Andrea New RollM.xlsm]DB!R199C17</stp>
        <stp>SETTLE_DT=20161011</stp>
        <stp>YAS_BOND_PX=124.652</stp>
        <tr r="Q199" s="23"/>
      </tp>
      <tp>
        <v>0.95399999999999996</v>
        <stp/>
        <stp>##V3_BDPV12</stp>
        <stp>ES00000127G9@CBBT Corp</stp>
        <stp>YAS_BOND_YLD</stp>
        <stp>[Andrea New RollM.xlsm]DB!R208C17</stp>
        <stp>SETTLE_DT=20161011</stp>
        <stp>YAS_BOND_PX=110.327</stp>
        <tr r="Q208" s="23"/>
      </tp>
      <tp>
        <v>-0.36099999999999999</v>
        <stp/>
        <stp>##V3_BDPV12</stp>
        <stp>EUSWEK CMPN Curncy</stp>
        <stp>ask</stp>
        <stp>[Andrea New RollM.xlsm]Crv!R21C5</stp>
        <tr r="E21" s="1"/>
      </tp>
      <tp>
        <v>-0.33</v>
        <stp/>
        <stp>##V3_BDPV12</stp>
        <stp>EUSWEA CMPN Curncy</stp>
        <stp>ask</stp>
        <stp>[Andrea New RollM.xlsm]Crv!R11C5</stp>
        <tr r="E11" s="1"/>
      </tp>
      <tp>
        <v>0.92800000000000005</v>
        <stp/>
        <stp>##V3_BDPV12</stp>
        <stp>ES00000126Z1@CBBT Corp</stp>
        <stp>YAS_BOND_YLD</stp>
        <stp>[Andrea New RollM.xlsm]DB!R206C19</stp>
        <stp>SETTLE_DT=20160909</stp>
        <stp>YAS_BOND_PX=105.548</stp>
        <tr r="S206" s="23"/>
      </tp>
      <tp>
        <v>0.63100000000000001</v>
        <stp/>
        <stp>##V3_BDPV12</stp>
        <stp>FR0000187635@CBBT Corp</stp>
        <stp>YAS_BOND_YLD</stp>
        <stp>[Andrea New RollM.xlsm]DB!R103C17</stp>
        <stp>SETTLE_DT=20161011</stp>
        <stp>YAS_BOND_PX=177.839</stp>
        <tr r="Q103" s="23"/>
      </tp>
      <tp>
        <v>-0.03</v>
        <stp/>
        <stp>##V3_BDPV12</stp>
        <stp>EUSWE8 CMPN Curncy</stp>
        <stp>ask</stp>
        <stp>[Andrea New RollM.xlsm]Crv!R31C5</stp>
        <tr r="E31" s="1"/>
      </tp>
      <tp>
        <v>0.92900000000000005</v>
        <stp/>
        <stp>##V3_BDPV12</stp>
        <stp>FR0010371401@CBBT Corp</stp>
        <stp>YAS_BOND_YLD</stp>
        <stp>[Andrea New RollM.xlsm]DB!R110C17</stp>
        <stp>SETTLE_DT=20161011</stp>
        <stp>YAS_BOND_PX=160.941</stp>
        <tr r="Q110" s="23"/>
      </tp>
      <tp>
        <v>2.137</v>
        <stp/>
        <stp>##V3_BDPV12</stp>
        <stp>IT0003934657@CBBT Corp</stp>
        <stp>YAS_BOND_YLD</stp>
        <stp>[Andrea New RollM.xlsm]DB!R109C17</stp>
        <stp>SETTLE_DT=20161011</stp>
        <stp>YAS_BOND_PX=130.773</stp>
        <tr r="Q109" s="23"/>
      </tp>
      <tp>
        <v>1.4999999999999999E-2</v>
        <stp/>
        <stp>##V3_BDPV12</stp>
        <stp>DE0001102408@CBBT Corp</stp>
        <stp>YAS_BOND_YLD</stp>
        <stp>[Andrea New RollM.xlsm]DB!R169C19</stp>
        <stp>SETTLE_DT=20160909</stp>
        <stp>YAS_BOND_PX=99.852</stp>
        <tr r="S169" s="23"/>
      </tp>
    </main>
    <main first="marketviewexcelplugin.mkvxp">
      <tp t="s">
        <v>IRISH</v>
        <stp/>
        <stp>0</stp>
        <stp>EUR.CM_INSTRUMENT.PXE.IE0034074488</stp>
        <stp>Ticker</stp>
        <tr r="B241" s="23"/>
      </tp>
    </main>
    <main first="bloomberg.rtd">
      <tp>
        <v>101</v>
        <stp/>
        <stp>##V3_BDHV12</stp>
        <stp>DE0001104636@CBBT Corp</stp>
        <stp>OPEN</stp>
        <stp>04/10/2016 4:15:00 PM</stp>
        <stp>04/10/2016 5:15:00 PM</stp>
        <stp>[Andrea New RollM.xlsm]DB!R135C15</stp>
        <stp>BarSz=60</stp>
        <stp>BarTp=T</stp>
        <stp>RecurDaily=True</stp>
        <stp>TZ=London</stp>
        <stp>DTS=H</stp>
        <tr r="O135" s="23"/>
      </tp>
    </main>
    <main first="marketviewexcelplugin.mkvxp">
      <tp t="s">
        <v>FRTR</v>
        <stp/>
        <stp>0</stp>
        <stp>EUR.CM_INSTRUMENT.PXE.FR0011619436</stp>
        <stp>Ticker</stp>
        <tr r="B78" s="23"/>
      </tp>
      <tp t="s">
        <v>BTPS</v>
        <stp/>
        <stp>0</stp>
        <stp>EUR.CM_INSTRUMENT.PXE.IT0005107708</stp>
        <stp>Ticker</stp>
        <tr r="A28" s="7"/>
        <tr r="B45" s="23"/>
      </tp>
    </main>
    <main first="bloomberg.rtd">
      <tp>
        <v>151.55000000000001</v>
        <stp/>
        <stp>##V3_BDHV12</stp>
        <stp>IT0004923998@CBBT Corp</stp>
        <stp>OPEN</stp>
        <stp>09/09/2016 4:15:00 PM</stp>
        <stp>09/09/2016 5:15:00 PM</stp>
        <stp>[Andrea New RollM.xlsm]DB!R114C16</stp>
        <stp>BarSz=60</stp>
        <stp>BarTp=T</stp>
        <stp>RecurDaily=True</stp>
        <stp>TZ=London</stp>
        <stp>DTS=H</stp>
        <tr r="P114" s="23"/>
      </tp>
      <tp>
        <v>100.312</v>
        <stp/>
        <stp>##V3_BDHV12</stp>
        <stp>DE0001137495@CBBT Corp</stp>
        <stp>OPEN</stp>
        <stp>04/10/2016 4:15:00 PM</stp>
        <stp>04/10/2016 5:15:00 PM</stp>
        <stp>[Andrea New RollM.xlsm]DB!R126C15</stp>
        <stp>BarSz=60</stp>
        <stp>BarTp=T</stp>
        <stp>RecurDaily=True</stp>
        <stp>TZ=London</stp>
        <stp>DTS=H</stp>
        <tr r="O126" s="23"/>
      </tp>
      <tp>
        <v>104.009</v>
        <stp/>
        <stp>##V3_BDHV12</stp>
        <stp>DE0001141687@CBBT Corp</stp>
        <stp>OPEN</stp>
        <stp>11/10/2016 4:15:00 PM</stp>
        <stp>11/10/2016 5:15:00 PM</stp>
        <stp>[Andrea New RollM.xlsm]DB!R142C14</stp>
        <stp>BarSz=60</stp>
        <stp>BarTp=T</stp>
        <stp>RecurDaily=True</stp>
        <stp>TZ=London</stp>
        <stp>DTS=H</stp>
        <tr r="N142" s="23"/>
      </tp>
    </main>
    <main first="marketviewexcelplugin.mkvxp">
      <tp t="s">
        <v>BTPS</v>
        <stp/>
        <stp>0</stp>
        <stp>EUR.CM_INSTRUMENT.PXE.IT0004957574</stp>
        <stp>Ticker</stp>
        <tr r="A17" s="7"/>
        <tr r="B28" s="23"/>
      </tp>
    </main>
    <main first="bloomberg.rtd">
      <tp>
        <v>152.94800000000001</v>
        <stp/>
        <stp>##V3_BDHV12</stp>
        <stp>IT0004532559@CBBT Corp</stp>
        <stp>OPEN</stp>
        <stp>09/09/2016 4:15:00 PM</stp>
        <stp>09/09/2016 5:15:00 PM</stp>
        <stp>[Andrea New RollM.xlsm]DB!R112C16</stp>
        <stp>BarSz=60</stp>
        <stp>BarTp=T</stp>
        <stp>RecurDaily=True</stp>
        <stp>TZ=London</stp>
        <stp>DTS=H</stp>
        <tr r="P112" s="23"/>
      </tp>
      <tp>
        <v>110.88200000000001</v>
        <stp/>
        <stp>##V3_BDHV12</stp>
        <stp>DE0001102366@CBBT Corp</stp>
        <stp>OPEN</stp>
        <stp>04/10/2016 4:15:00 PM</stp>
        <stp>04/10/2016 5:15:00 PM</stp>
        <stp>[Andrea New RollM.xlsm]DB!R165C15</stp>
        <stp>BarSz=60</stp>
        <stp>BarTp=T</stp>
        <stp>RecurDaily=True</stp>
        <stp>TZ=London</stp>
        <stp>DTS=H</stp>
        <tr r="O165" s="23"/>
      </tp>
      <tp>
        <v>115.361</v>
        <stp/>
        <stp>##V3_BDHV12</stp>
        <stp>DE0001102333@CBBT Corp</stp>
        <stp>OPEN</stp>
        <stp>11/10/2016 4:15:00 PM</stp>
        <stp>11/10/2016 5:15:00 PM</stp>
        <stp>[Andrea New RollM.xlsm]DB!R163C14</stp>
        <stp>BarSz=60</stp>
        <stp>BarTp=T</stp>
        <stp>RecurDaily=True</stp>
        <stp>TZ=London</stp>
        <stp>DTS=H</stp>
        <tr r="N163" s="23"/>
      </tp>
      <tp>
        <v>102.476</v>
        <stp/>
        <stp>##V3_BDHV12</stp>
        <stp>DE0001141737@CBBT Corp</stp>
        <stp>OPEN</stp>
        <stp>11/10/2016 4:15:00 PM</stp>
        <stp>11/10/2016 5:15:00 PM</stp>
        <stp>[Andrea New RollM.xlsm]DB!R152C14</stp>
        <stp>BarSz=60</stp>
        <stp>BarTp=T</stp>
        <stp>RecurDaily=True</stp>
        <stp>TZ=London</stp>
        <stp>DTS=H</stp>
        <tr r="N152" s="23"/>
      </tp>
    </main>
    <main first="marketviewexcelplugin.mkvxp">
      <tp t="s">
        <v>FRTR</v>
        <stp/>
        <stp>0</stp>
        <stp>EUR.CM_INSTRUMENT.PXE.FR0010949651</stp>
        <stp>Ticker</stp>
        <tr r="B48" s="23"/>
      </tp>
    </main>
    <main first="bloomberg.rtd">
      <tp>
        <v>106.215</v>
        <stp/>
        <stp>##V3_BDHV12</stp>
        <stp>ES00000126Z1@CBBT Corp</stp>
        <stp>OPEN</stp>
        <stp>11/10/2016 4:15:00 PM</stp>
        <stp>11/10/2016 5:15:00 PM</stp>
        <stp>[Andrea New RollM.xlsm]DB!R206C14</stp>
        <stp>BarSz=60</stp>
        <stp>BarTp=T</stp>
        <stp>RecurDaily=True</stp>
        <stp>TZ=London</stp>
        <stp>DTS=H</stp>
        <tr r="N206" s="23"/>
      </tp>
      <tp>
        <v>164.03299999999999</v>
        <stp/>
        <stp>##V3_BDHV12</stp>
        <stp>FR0010371401@CBBT Corp</stp>
        <stp>OPEN</stp>
        <stp>04/10/2016 4:15:00 PM</stp>
        <stp>04/10/2016 5:15:00 PM</stp>
        <stp>[Andrea New RollM.xlsm]DB!R110C15</stp>
        <stp>BarSz=60</stp>
        <stp>BarTp=T</stp>
        <stp>RecurDaily=True</stp>
        <stp>TZ=London</stp>
        <stp>DTS=H</stp>
        <tr r="O110" s="23"/>
      </tp>
      <tp>
        <v>100.04600000000001</v>
        <stp/>
        <stp>##V3_BDHV12</stp>
        <stp>DE0001141612@CBBT Corp</stp>
        <stp>OPEN</stp>
        <stp>04/10/2016 4:15:00 PM</stp>
        <stp>04/10/2016 5:15:00 PM</stp>
        <stp>[Andrea New RollM.xlsm]DB!R123C15</stp>
        <stp>BarSz=60</stp>
        <stp>BarTp=T</stp>
        <stp>RecurDaily=True</stp>
        <stp>TZ=London</stp>
        <stp>DTS=H</stp>
        <tr r="O123" s="23"/>
      </tp>
    </main>
    <main first="marketviewexcelplugin.mkvxp">
      <tp t="s">
        <v>BTPS</v>
        <stp/>
        <stp>0</stp>
        <stp>EUR.CM_INSTRUMENT.PXE.IT0005177271</stp>
        <stp>Ticker</stp>
        <tr r="A20" s="7"/>
        <tr r="B33" s="23"/>
      </tp>
      <tp t="s">
        <v>FRTR</v>
        <stp/>
        <stp>0</stp>
        <stp>EUR.CM_INSTRUMENT.PXE.FR0011059088</stp>
        <stp>Ticker</stp>
        <tr r="B60" s="23"/>
      </tp>
    </main>
    <main first="bloomberg.rtd">
      <tp>
        <v>160.44999999999999</v>
        <stp/>
        <stp>##V3_BDHV12</stp>
        <stp>ES0000012411@CBBT Corp</stp>
        <stp>OPEN</stp>
        <stp>11/10/2016 4:15:00 PM</stp>
        <stp>11/10/2016 5:15:00 PM</stp>
        <stp>[Andrea New RollM.xlsm]DB!R215C14</stp>
        <stp>BarSz=60</stp>
        <stp>BarTp=T</stp>
        <stp>RecurDaily=True</stp>
        <stp>TZ=London</stp>
        <stp>DTS=H</stp>
        <tr r="N215" s="23"/>
      </tp>
      <tp>
        <v>167.76</v>
        <stp/>
        <stp>##V3_BDHV12</stp>
        <stp>ES00000124H4@CBBT Corp</stp>
        <stp>OPEN</stp>
        <stp>04/10/2016 4:15:00 PM</stp>
        <stp>04/10/2016 5:15:00 PM</stp>
        <stp>[Andrea New RollM.xlsm]DB!R219C15</stp>
        <stp>BarSz=60</stp>
        <stp>BarTp=T</stp>
        <stp>RecurDaily=True</stp>
        <stp>TZ=London</stp>
        <stp>DTS=H</stp>
        <tr r="O219" s="23"/>
      </tp>
      <tp>
        <v>173.196</v>
        <stp/>
        <stp>##V3_BDHV12</stp>
        <stp>DE0001135275@CBBT Corp</stp>
        <stp>OPEN</stp>
        <stp>04/10/2016 4:15:00 PM</stp>
        <stp>04/10/2016 5:15:00 PM</stp>
        <stp>[Andrea New RollM.xlsm]DB!R176C15</stp>
        <stp>BarSz=60</stp>
        <stp>BarTp=T</stp>
        <stp>RecurDaily=True</stp>
        <stp>TZ=London</stp>
        <stp>DTS=H</stp>
        <tr r="O176" s="23"/>
      </tp>
      <tp>
        <v>185.154</v>
        <stp/>
        <stp>##V3_BDHV12</stp>
        <stp>DE0001135325@CBBT Corp</stp>
        <stp>OPEN</stp>
        <stp>04/10/2016 4:15:00 PM</stp>
        <stp>04/10/2016 5:15:00 PM</stp>
        <stp>[Andrea New RollM.xlsm]DB!R177C15</stp>
        <stp>BarSz=60</stp>
        <stp>BarTp=T</stp>
        <stp>RecurDaily=True</stp>
        <stp>TZ=London</stp>
        <stp>DTS=H</stp>
        <tr r="O177" s="23"/>
      </tp>
      <tp>
        <v>157.04400000000001</v>
        <stp/>
        <stp>##V3_BDHV12</stp>
        <stp>DE0001135085@CBBT Corp</stp>
        <stp>OPEN</stp>
        <stp>04/10/2016 4:15:00 PM</stp>
        <stp>04/10/2016 5:15:00 PM</stp>
        <stp>[Andrea New RollM.xlsm]DB!R172C15</stp>
        <stp>BarSz=60</stp>
        <stp>BarTp=T</stp>
        <stp>RecurDaily=True</stp>
        <stp>TZ=London</stp>
        <stp>DTS=H</stp>
        <tr r="O172" s="23"/>
      </tp>
    </main>
    <main first="marketviewexcelplugin.mkvxp">
      <tp t="s">
        <v>BTPS</v>
        <stp/>
        <stp>0</stp>
        <stp>EUR.CM_INSTRUMENT.PXE.IT0005217390</stp>
        <stp>Ticker</stp>
        <tr r="A73" s="7"/>
        <tr r="B118" s="23"/>
      </tp>
    </main>
    <main first="bloomberg.rtd">
      <tp>
        <v>112.81</v>
        <stp/>
        <stp>##V3_BDHV12</stp>
        <stp>DE0001135390@CBBT Corp</stp>
        <stp>OPEN</stp>
        <stp>11/10/2016 4:15:00 PM</stp>
        <stp>11/10/2016 5:15:00 PM</stp>
        <stp>[Andrea New RollM.xlsm]DB!R146C14</stp>
        <stp>BarSz=60</stp>
        <stp>BarTp=T</stp>
        <stp>RecurDaily=True</stp>
        <stp>TZ=London</stp>
        <stp>DTS=H</stp>
        <tr r="N146" s="23"/>
      </tp>
    </main>
    <main first="marketviewexcelplugin.mkvxp">
      <tp t="s">
        <v>BTPS</v>
        <stp/>
        <stp>0</stp>
        <stp>EUR.CM_INSTRUMENT.PXE.IT0004987191</stp>
        <stp>Ticker</stp>
        <tr r="A4" s="7"/>
        <tr r="B8" s="23"/>
      </tp>
      <tp t="s">
        <v>BTPS</v>
        <stp/>
        <stp>0</stp>
        <stp>EUR.CM_INSTRUMENT.PXE.IT0005127086</stp>
        <stp>Ticker</stp>
        <tr r="A53" s="7"/>
        <tr r="B86" s="23"/>
      </tp>
    </main>
    <main first="bloomberg.rtd">
      <tp>
        <v>113.67400000000001</v>
        <stp/>
        <stp>##V3_BDHV12</stp>
        <stp>DE0001135465@CBBT Corp</stp>
        <stp>OPEN</stp>
        <stp>04/10/2016 4:15:00 PM</stp>
        <stp>04/10/2016 5:15:00 PM</stp>
        <stp>[Andrea New RollM.xlsm]DB!R156C15</stp>
        <stp>BarSz=60</stp>
        <stp>BarTp=T</stp>
        <stp>RecurDaily=True</stp>
        <stp>TZ=London</stp>
        <stp>DTS=H</stp>
        <tr r="O156" s="23"/>
      </tp>
      <tp>
        <v>118.256</v>
        <stp/>
        <stp>##V3_BDHV12</stp>
        <stp>DE0001135440@CBBT Corp</stp>
        <stp>OPEN</stp>
        <stp>11/10/2016 4:15:00 PM</stp>
        <stp>11/10/2016 5:15:00 PM</stp>
        <stp>[Andrea New RollM.xlsm]DB!R153C14</stp>
        <stp>BarSz=60</stp>
        <stp>BarTp=T</stp>
        <stp>RecurDaily=True</stp>
        <stp>TZ=London</stp>
        <stp>DTS=H</stp>
        <tr r="N153" s="23"/>
      </tp>
    </main>
    <main first="marketviewexcelplugin.mkvxp">
      <tp t="s">
        <v>BTPS</v>
        <stp/>
        <stp>0</stp>
        <stp>EUR.CM_INSTRUMENT.PXE.IT0004867070</stp>
        <stp>Ticker</stp>
        <tr r="A10" s="7"/>
        <tr r="B16" s="23"/>
      </tp>
    </main>
    <main first="bloomberg.rtd">
      <tp t="s">
        <v>#N/A N/A</v>
        <stp/>
        <stp>##V3_BDHV12</stp>
        <stp>DE0001137479@CBBT Corp</stp>
        <stp>OPEN</stp>
        <stp>09/09/2016 4:15:00 PM</stp>
        <stp>09/09/2016 5:15:00 PM</stp>
        <stp>[Andrea New RollM.xlsm]DB!R122C16</stp>
        <stp>BarSz=60</stp>
        <stp>BarTp=T</stp>
        <stp>RecurDaily=True</stp>
        <stp>TZ=London</stp>
        <stp>DTS=H</stp>
        <tr r="P122" s="23"/>
      </tp>
      <tp t="b">
        <v>0</v>
        <stp/>
        <stp>##V3_BCURVEINTV12</stp>
        <stp>[Andrea New RollM.xlsm]SPF!R27C9</stp>
        <stp>EUR.OIS:BLOOMBERG DC 272086</stp>
        <stp>Par.Mid</stp>
        <stp>20280418</stp>
        <stp>Frequency=Annual</stp>
        <stp>DayCount=D30_360_EOMC</stp>
        <tr r="I27" s="4"/>
      </tp>
      <tp t="b">
        <v>0</v>
        <stp/>
        <stp>##V3_BCURVEINTV12</stp>
        <stp>[Andrea New RollM.xlsm]SPF!R17C9</stp>
        <stp>EUR.OIS:BLOOMBERG DC 272086</stp>
        <stp>Par.Mid</stp>
        <stp>20230414</stp>
        <stp>Frequency=Annual</stp>
        <stp>DayCount=D30_360_EOMC</stp>
        <tr r="I17" s="4"/>
      </tp>
      <tp t="b">
        <v>0</v>
        <stp/>
        <stp>##V3_BCURVEINTV12</stp>
        <stp>[Andrea New RollM.xlsm]SPF!R37C9</stp>
        <stp>EUR.OIS:BLOOMBERG DC 272086</stp>
        <stp>Par.Mid</stp>
        <stp>20330414</stp>
        <stp>Frequency=Annual</stp>
        <stp>DayCount=D30_360_EOMC</stp>
        <tr r="I37" s="4"/>
      </tp>
      <tp t="b">
        <v>0</v>
        <stp/>
        <stp>##V3_BCURVEINTV12</stp>
        <stp>[Andrea New RollM.xlsm]SPF!R47C9</stp>
        <stp>EUR.OIS:BLOOMBERG DC 272086</stp>
        <stp>Par.Mid</stp>
        <stp>20380414</stp>
        <stp>Frequency=Annual</stp>
        <stp>DayCount=D30_360_EOMC</stp>
        <tr r="I47" s="4"/>
      </tp>
      <tp t="b">
        <v>0</v>
        <stp/>
        <stp>##V3_BCURVEINTV12</stp>
        <stp>[Andrea New RollM.xlsm]SPF!R57C9</stp>
        <stp>EUR.OIS:BLOOMBERG DC 272086</stp>
        <stp>Par.Mid</stp>
        <stp>20430414</stp>
        <stp>Frequency=Annual</stp>
        <stp>DayCount=D30_360_EOMC</stp>
        <tr r="I57" s="4"/>
      </tp>
      <tp t="b">
        <v>0</v>
        <stp/>
        <stp>##V3_BCURVEINTV12</stp>
        <stp>[Andrea New RollM.xlsm]SPF!R67C9</stp>
        <stp>EUR.OIS:BLOOMBERG DC 272086</stp>
        <stp>Par.Mid</stp>
        <stp>20480414</stp>
        <stp>Frequency=Annual</stp>
        <stp>DayCount=D30_360_EOMC</stp>
        <tr r="I67" s="4"/>
      </tp>
      <tp>
        <v>100.22799999999999</v>
        <stp/>
        <stp>##V3_BDHV12</stp>
        <stp>ES00000123J2@CBBT Corp</stp>
        <stp>OPEN</stp>
        <stp>11/10/2016 4:15:00 PM</stp>
        <stp>11/10/2016 5:15:00 PM</stp>
        <stp>[Andrea New RollM.xlsm]DB!R182C14</stp>
        <stp>BarSz=60</stp>
        <stp>BarTp=T</stp>
        <stp>RecurDaily=True</stp>
        <stp>TZ=London</stp>
        <stp>DTS=H</stp>
        <tr r="N182" s="23"/>
      </tp>
      <tp>
        <v>106.283</v>
        <stp/>
        <stp>##V3_BDHV12</stp>
        <stp>ES00000123Q7@CBBT Corp</stp>
        <stp>OPEN</stp>
        <stp>04/10/2016 4:15:00 PM</stp>
        <stp>04/10/2016 5:15:00 PM</stp>
        <stp>[Andrea New RollM.xlsm]DB!R187C15</stp>
        <stp>BarSz=60</stp>
        <stp>BarTp=T</stp>
        <stp>RecurDaily=True</stp>
        <stp>TZ=London</stp>
        <stp>DTS=H</stp>
        <tr r="O187" s="23"/>
      </tp>
      <tp>
        <v>101.31</v>
        <stp/>
        <stp>##V3_BDHV12</stp>
        <stp>ES00000124I2@CBBT Corp</stp>
        <stp>OPEN</stp>
        <stp>11/10/2016 4:15:00 PM</stp>
        <stp>11/10/2016 5:15:00 PM</stp>
        <stp>[Andrea New RollM.xlsm]DB!R184C14</stp>
        <stp>BarSz=60</stp>
        <stp>BarTp=T</stp>
        <stp>RecurDaily=True</stp>
        <stp>TZ=London</stp>
        <stp>DTS=H</stp>
        <tr r="N184" s="23"/>
      </tp>
      <tp>
        <v>152.94499999999999</v>
        <stp/>
        <stp>##V3_BDHV12</stp>
        <stp>ES0000011868@CBBT Corp</stp>
        <stp>OPEN</stp>
        <stp>09/09/2016 4:15:00 PM</stp>
        <stp>09/09/2016 5:15:00 PM</stp>
        <stp>[Andrea New RollM.xlsm]DB!R213C16</stp>
        <stp>BarSz=60</stp>
        <stp>BarTp=T</stp>
        <stp>RecurDaily=True</stp>
        <stp>TZ=London</stp>
        <stp>DTS=H</stp>
        <tr r="P213" s="23"/>
      </tp>
      <tp>
        <v>104.545</v>
        <stp/>
        <stp>##V3_BDHV12</stp>
        <stp>ES00000127H7@CBBT Corp</stp>
        <stp>OPEN</stp>
        <stp>04/10/2016 4:15:00 PM</stp>
        <stp>04/10/2016 5:15:00 PM</stp>
        <stp>[Andrea New RollM.xlsm]DB!R197C15</stp>
        <stp>BarSz=60</stp>
        <stp>BarTp=T</stp>
        <stp>RecurDaily=True</stp>
        <stp>TZ=London</stp>
        <stp>DTS=H</stp>
        <tr r="O197" s="23"/>
      </tp>
      <tp>
        <v>114.49</v>
        <stp/>
        <stp>##V3_BDHV12</stp>
        <stp>ES00000122D7@CBBT Corp</stp>
        <stp>OPEN</stp>
        <stp>04/10/2016 4:15:00 PM</stp>
        <stp>04/10/2016 5:15:00 PM</stp>
        <stp>[Andrea New RollM.xlsm]DB!R196C15</stp>
        <stp>BarSz=60</stp>
        <stp>BarTp=T</stp>
        <stp>RecurDaily=True</stp>
        <stp>TZ=London</stp>
        <stp>DTS=H</stp>
        <tr r="O196" s="23"/>
      </tp>
      <tp>
        <v>108.268</v>
        <stp/>
        <stp>##V3_BDHV12</stp>
        <stp>ES00000124B7@CBBT Corp</stp>
        <stp>OPEN</stp>
        <stp>04/10/2016 4:15:00 PM</stp>
        <stp>04/10/2016 5:15:00 PM</stp>
        <stp>[Andrea New RollM.xlsm]DB!R190C15</stp>
        <stp>BarSz=60</stp>
        <stp>BarTp=T</stp>
        <stp>RecurDaily=True</stp>
        <stp>TZ=London</stp>
        <stp>DTS=H</stp>
        <tr r="O190" s="23"/>
      </tp>
      <tp>
        <v>113.128</v>
        <stp/>
        <stp>##V3_BDHV12</stp>
        <stp>ES00000121L2@CBBT Corp</stp>
        <stp>OPEN</stp>
        <stp>11/10/2016 4:15:00 PM</stp>
        <stp>11/10/2016 5:15:00 PM</stp>
        <stp>[Andrea New RollM.xlsm]DB!R193C14</stp>
        <stp>BarSz=60</stp>
        <stp>BarTp=T</stp>
        <stp>RecurDaily=True</stp>
        <stp>TZ=London</stp>
        <stp>DTS=H</stp>
        <tr r="N193" s="23"/>
      </tp>
      <tp>
        <v>112.295</v>
        <stp/>
        <stp>##V3_BDHV12</stp>
        <stp>FR0012993103@CBBT Corp</stp>
        <stp>OPEN</stp>
        <stp>09/09/2016 4:15:00 PM</stp>
        <stp>09/09/2016 5:15:00 PM</stp>
        <stp>[Andrea New RollM.xlsm]DB!R101C16</stp>
        <stp>BarSz=60</stp>
        <stp>BarTp=T</stp>
        <stp>RecurDaily=True</stp>
        <stp>TZ=London</stp>
        <stp>DTS=H</stp>
        <tr r="P101" s="23"/>
      </tp>
      <tp>
        <v>111.81100000000001</v>
        <stp/>
        <stp>##V3_BDHV12</stp>
        <stp>DE0001135499@CBBT Corp</stp>
        <stp>OPEN</stp>
        <stp>09/09/2016 4:15:00 PM</stp>
        <stp>09/09/2016 5:15:00 PM</stp>
        <stp>[Andrea New RollM.xlsm]DB!R158C16</stp>
        <stp>BarSz=60</stp>
        <stp>BarTp=T</stp>
        <stp>RecurDaily=True</stp>
        <stp>TZ=London</stp>
        <stp>DTS=H</stp>
        <tr r="P158" s="23"/>
      </tp>
      <tp t="b">
        <v>0</v>
        <stp/>
        <stp>##V3_BCURVEINTV12</stp>
        <stp>[Andrea New RollM.xlsm]SPF!R26C9</stp>
        <stp>EUR.OIS:BLOOMBERG DC 272086</stp>
        <stp>Par.Mid</stp>
        <stp>20271014</stp>
        <stp>Frequency=Annual</stp>
        <stp>DayCount=D30_360_EOMC</stp>
        <tr r="I26" s="4"/>
      </tp>
      <tp t="b">
        <v>0</v>
        <stp/>
        <stp>##V3_BCURVEINTV12</stp>
        <stp>[Andrea New RollM.xlsm]SPF!R16C9</stp>
        <stp>EUR.OIS:BLOOMBERG DC 272086</stp>
        <stp>Par.Mid</stp>
        <stp>20221014</stp>
        <stp>Frequency=Annual</stp>
        <stp>DayCount=D30_360_EOMC</stp>
        <tr r="I16" s="4"/>
      </tp>
      <tp t="b">
        <v>0</v>
        <stp/>
        <stp>##V3_BCURVEINTV12</stp>
        <stp>[Andrea New RollM.xlsm]SPF!R46C9</stp>
        <stp>EUR.OIS:BLOOMBERG DC 272086</stp>
        <stp>Par.Mid</stp>
        <stp>20371014</stp>
        <stp>Frequency=Annual</stp>
        <stp>DayCount=D30_360_EOMC</stp>
        <tr r="I46" s="4"/>
      </tp>
      <tp t="b">
        <v>0</v>
        <stp/>
        <stp>##V3_BCURVEINTV12</stp>
        <stp>[Andrea New RollM.xlsm]SPF!R36C9</stp>
        <stp>EUR.OIS:BLOOMBERG DC 272086</stp>
        <stp>Par.Mid</stp>
        <stp>20321014</stp>
        <stp>Frequency=Annual</stp>
        <stp>DayCount=D30_360_EOMC</stp>
        <tr r="I36" s="4"/>
      </tp>
      <tp t="b">
        <v>0</v>
        <stp/>
        <stp>##V3_BCURVEINTV12</stp>
        <stp>[Andrea New RollM.xlsm]SPF!R56C9</stp>
        <stp>EUR.OIS:BLOOMBERG DC 272086</stp>
        <stp>Par.Mid</stp>
        <stp>20421014</stp>
        <stp>Frequency=Annual</stp>
        <stp>DayCount=D30_360_EOMC</stp>
        <tr r="I56" s="4"/>
      </tp>
      <tp t="b">
        <v>0</v>
        <stp/>
        <stp>##V3_BCURVEINTV12</stp>
        <stp>[Andrea New RollM.xlsm]SPF!R66C9</stp>
        <stp>EUR.OIS:BLOOMBERG DC 272086</stp>
        <stp>Par.Mid</stp>
        <stp>20471014</stp>
        <stp>Frequency=Annual</stp>
        <stp>DayCount=D30_360_EOMC</stp>
        <tr r="I66" s="4"/>
      </tp>
      <tp>
        <v>163.59200000000001</v>
        <stp/>
        <stp>##V3_BDHV12</stp>
        <stp>DE0001135069@CBBT Corp</stp>
        <stp>OPEN</stp>
        <stp>09/09/2016 4:15:00 PM</stp>
        <stp>09/09/2016 5:15:00 PM</stp>
        <stp>[Andrea New RollM.xlsm]DB!R171C16</stp>
        <stp>BarSz=60</stp>
        <stp>BarTp=T</stp>
        <stp>RecurDaily=True</stp>
        <stp>TZ=London</stp>
        <stp>DTS=H</stp>
        <tr r="P171" s="23"/>
      </tp>
    </main>
    <main first="marketviewexcelplugin.mkvxp">
      <tp t="s">
        <v>BTPS</v>
        <stp/>
        <stp>0</stp>
        <stp>EUR.CM_INSTRUMENT.PXE.IT0005217929</stp>
        <stp>Ticker</stp>
        <tr r="A24" s="7"/>
        <tr r="B38" s="23"/>
      </tp>
      <tp t="s">
        <v>BTPS</v>
        <stp/>
        <stp>0</stp>
        <stp>EUR.CM_INSTRUMENT.PXE.IT0005177909</stp>
        <stp>Ticker</stp>
        <tr r="A66" s="7"/>
        <tr r="B108" s="23"/>
      </tp>
      <tp t="s">
        <v>BTPS</v>
        <stp/>
        <stp>0</stp>
        <stp>EUR.CM_INSTRUMENT.PXE.IT0004907843</stp>
        <stp>Ticker</stp>
        <tr r="A14" s="7"/>
        <tr r="B23" s="23"/>
      </tp>
    </main>
    <main first="bloomberg.rtd">
      <tp>
        <v>0.86399999999999999</v>
        <stp/>
        <stp>##V3_BDPV12</stp>
        <stp>ES00000126B2@CBBT Corp</stp>
        <stp>YAS_BOND_YLD</stp>
        <stp>[Andrea New RollM.xlsm]DB!R205C19</stp>
        <stp>SETTLE_DT=20160909</stp>
        <stp>YAS_BOND_PX=114.768</stp>
        <tr r="S205" s="23"/>
      </tp>
      <tp>
        <v>0.27800000000000002</v>
        <stp/>
        <stp>##V3_BDPV12</stp>
        <stp>ES00000123K0@CBBT Corp</stp>
        <stp>YAS_BOND_YLD</stp>
        <stp>[Andrea New RollM.xlsm]DB!R200C19</stp>
        <stp>SETTLE_DT=20160909</stp>
        <stp>YAS_BOND_PX=129.788</stp>
        <tr r="S200" s="23"/>
      </tp>
      <tp>
        <v>-0.35899999999999999</v>
        <stp/>
        <stp>##V3_BDPV12</stp>
        <stp>EUSWEJ CMPN Curncy</stp>
        <stp>ask</stp>
        <stp>[Andrea New RollM.xlsm]Crv!R20C5</stp>
        <tr r="E20" s="1"/>
      </tp>
      <tp>
        <v>-0.20100000000000001</v>
        <stp/>
        <stp>##V3_BDPV12</stp>
        <stp>ES00000124I2@CBBT Corp</stp>
        <stp>YAS_BOND_YLD</stp>
        <stp>[Andrea New RollM.xlsm]DB!R184C19</stp>
        <stp>SETTLE_DT=20160909</stp>
        <stp>YAS_BOND_PX=101.473</stp>
        <tr r="S184" s="23"/>
      </tp>
      <tp>
        <v>0.97</v>
        <stp/>
        <stp>##V3_BDPV12</stp>
        <stp>ES00000122E5@CBBT Corp</stp>
        <stp>YAS_BOND_YLD</stp>
        <stp>[Andrea New RollM.xlsm]DB!R207C19</stp>
        <stp>SETTLE_DT=20160909</stp>
        <stp>YAS_BOND_PX=131.185</stp>
        <tr r="S207" s="23"/>
      </tp>
      <tp>
        <v>-1.4999999999999999E-2</v>
        <stp/>
        <stp>##V3_BDPV12</stp>
        <stp>ES00000124V5@CBBT Corp</stp>
        <stp>YAS_BOND_YLD</stp>
        <stp>[Andrea New RollM.xlsm]DB!R192C19</stp>
        <stp>SETTLE_DT=20160909</stp>
        <stp>YAS_BOND_PX=107.298</stp>
        <tr r="S192" s="23"/>
      </tp>
      <tp>
        <v>-2.3E-2</v>
        <stp/>
        <stp>##V3_BDPV12</stp>
        <stp>IT0004423957@CBBT Corp</stp>
        <stp>YAS_BOND_YLD</stp>
        <stp>[Andrea New RollM.xlsm]DB!R31C18</stp>
        <stp>SETTLE_DT=20161004</stp>
        <stp>YAS_BOND_PX=110.9</stp>
        <tr r="R31" s="23"/>
      </tp>
    </main>
    <main first="marketviewexcelplugin.mkvxp">
      <tp>
        <v>-0.45697700000000002</v>
        <stp/>
        <stp>0</stp>
        <stp>EUR.PRICING_MAIN.PXE.IE00B6089D15</stp>
        <stp>CurrentClosingYieldMid</stp>
        <tr r="J240" s="23"/>
      </tp>
    </main>
    <main first="bloomberg.rtd">
      <tp>
        <v>0.90800000000000003</v>
        <stp/>
        <stp>##V3_BDPV12</stp>
        <stp>FR0013154044@CBBT Corp</stp>
        <stp>YAS_BOND_YLD</stp>
        <stp>[Andrea New RollM.xlsm]DB!R107C19</stp>
        <stp>SETTLE_DT=20160909</stp>
        <stp>YAS_BOND_PX=106.137</stp>
        <tr r="S107" s="23"/>
      </tp>
    </main>
    <main first="marketviewexcelplugin.mkvxp">
      <tp>
        <v>1.340746</v>
        <stp/>
        <stp>0</stp>
        <stp>EUR.PRICING_MAIN.PXE.IE00BV8C9186</stp>
        <stp>CurrentClosingYieldMid</stp>
        <tr r="J249" s="23"/>
      </tp>
    </main>
    <main first="bloomberg.rtd">
      <tp>
        <v>1.621</v>
        <stp/>
        <stp>##V3_BDPV12</stp>
        <stp>IT0005094088@CBBT Corp</stp>
        <stp>YAS_BOND_YLD</stp>
        <stp>[Andrea New RollM.xlsm]DB!R102C19</stp>
        <stp>SETTLE_DT=20160909</stp>
        <stp>YAS_BOND_PX=100.485</stp>
        <tr r="S102" s="23"/>
      </tp>
    </main>
    <main first="marketviewexcelplugin.mkvxp">
      <tp>
        <v>0.489894</v>
        <stp/>
        <stp>0</stp>
        <stp>EUR.PRICING_MAIN.PXE.IE00BV8C9418</stp>
        <stp>CurrentClosingYieldMid</stp>
        <tr r="J247" s="23"/>
      </tp>
    </main>
    <main first="bloomberg.rtd">
      <tp>
        <v>-0.13550000000000001</v>
        <stp/>
        <stp>##V3_BDPV12</stp>
        <stp>EUSWE7 CMPN Curncy</stp>
        <stp>ask</stp>
        <stp>[Andrea New RollM.xlsm]Crv!R30C5</stp>
        <tr r="E30" s="1"/>
      </tp>
      <tp>
        <v>2.3460000000000001</v>
        <stp/>
        <stp>##V3_BDPV12</stp>
        <stp>IT0005162828@CBBT Corp</stp>
        <stp>YAS_BOND_YLD</stp>
        <stp>[Andrea New RollM.xlsm]DB!R117C19</stp>
        <stp>SETTLE_DT=20160909</stp>
        <stp>YAS_BOND_PX=107.995</stp>
        <tr r="S117" s="23"/>
      </tp>
      <tp>
        <v>3.5000000000000003E-2</v>
        <stp/>
        <stp>##V3_BDPV12</stp>
        <stp>DE0001102408@CBBT Corp</stp>
        <stp>YAS_BOND_YLD</stp>
        <stp>[Andrea New RollM.xlsm]DB!R169C17</stp>
        <stp>SETTLE_DT=20161011</stp>
        <stp>YAS_BOND_PX=99.653</stp>
        <tr r="Q169" s="23"/>
      </tp>
      <tp>
        <v>123.738</v>
        <stp/>
        <stp>##V3_BDHV12</stp>
        <stp>IE00B6X95T99@CBBT Corp</stp>
        <stp>OPEN</stp>
        <stp>11/10/2016 4:15:00 PM</stp>
        <stp>11/10/2016 5:15:00 PM</stp>
        <stp>[Andrea New RollM.xlsm]DB!R245C14</stp>
        <stp>BarSz=60</stp>
        <stp>BarTp=T</stp>
        <stp>RecurDaily=True</stp>
        <stp>TZ=London</stp>
        <stp>DTS=H</stp>
        <tr r="N245" s="23"/>
      </tp>
    </main>
    <main first="bloomberg.rtd">
      <tp>
        <v>108.15600000000001</v>
        <stp/>
        <stp>##V3_BDHV12</stp>
        <stp>FR0013154044@CBBT Corp</stp>
        <stp>OPEN</stp>
        <stp>04/10/2016 4:15:00 PM</stp>
        <stp>04/10/2016 5:15:00 PM</stp>
        <stp>[Andrea New RollM.xlsm]DB!R107C15</stp>
        <stp>BarSz=60</stp>
        <stp>BarTp=T</stp>
        <stp>RecurDaily=True</stp>
        <stp>TZ=London</stp>
        <stp>DTS=H</stp>
        <tr r="O107" s="23"/>
      </tp>
      <tp>
        <v>101.131</v>
        <stp/>
        <stp>##V3_BDHV12</stp>
        <stp>DE0001104644@CBBT Corp</stp>
        <stp>OPEN</stp>
        <stp>11/10/2016 4:15:00 PM</stp>
        <stp>11/10/2016 5:15:00 PM</stp>
        <stp>[Andrea New RollM.xlsm]DB!R137C14</stp>
        <stp>BarSz=60</stp>
        <stp>BarTp=T</stp>
        <stp>RecurDaily=True</stp>
        <stp>TZ=London</stp>
        <stp>DTS=H</stp>
        <tr r="N137" s="23"/>
      </tp>
      <tp>
        <v>101.363</v>
        <stp/>
        <stp>##V3_BDHV12</stp>
        <stp>DE0001104651@CBBT Corp</stp>
        <stp>OPEN</stp>
        <stp>04/10/2016 4:15:00 PM</stp>
        <stp>04/10/2016 5:15:00 PM</stp>
        <stp>[Andrea New RollM.xlsm]DB!R139C15</stp>
        <stp>BarSz=60</stp>
        <stp>BarTp=T</stp>
        <stp>RecurDaily=True</stp>
        <stp>TZ=London</stp>
        <stp>DTS=H</stp>
        <tr r="O139" s="23"/>
      </tp>
    </main>
    <main first="marketviewexcelplugin.mkvxp">
      <tp t="s">
        <v>BTPS</v>
        <stp/>
        <stp>0</stp>
        <stp>EUR.CM_INSTRUMENT.PXE.IT0005210650</stp>
        <stp>Ticker</stp>
        <tr r="A57" s="7"/>
        <tr r="B93" s="23"/>
      </tp>
    </main>
    <main first="bloomberg.rtd">
      <tp>
        <v>100.126</v>
        <stp/>
        <stp>##V3_BDHV12</stp>
        <stp>DE0001137487@CBBT Corp</stp>
        <stp>OPEN</stp>
        <stp>11/10/2016 4:15:00 PM</stp>
        <stp>11/10/2016 5:15:00 PM</stp>
        <stp>[Andrea New RollM.xlsm]DB!R124C14</stp>
        <stp>BarSz=60</stp>
        <stp>BarTp=T</stp>
        <stp>RecurDaily=True</stp>
        <stp>TZ=London</stp>
        <stp>DTS=H</stp>
        <tr r="N124" s="23"/>
      </tp>
      <tp>
        <v>103.069</v>
        <stp/>
        <stp>##V3_BDHV12</stp>
        <stp>DE0001141695@CBBT Corp</stp>
        <stp>OPEN</stp>
        <stp>04/10/2016 4:15:00 PM</stp>
        <stp>04/10/2016 5:15:00 PM</stp>
        <stp>[Andrea New RollM.xlsm]DB!R143C15</stp>
        <stp>BarSz=60</stp>
        <stp>BarTp=T</stp>
        <stp>RecurDaily=True</stp>
        <stp>TZ=London</stp>
        <stp>DTS=H</stp>
        <tr r="O143" s="23"/>
      </tp>
      <tp>
        <v>102.89700000000001</v>
        <stp/>
        <stp>##V3_BDHV12</stp>
        <stp>DE0001141745@CBBT Corp</stp>
        <stp>OPEN</stp>
        <stp>04/10/2016 4:15:00 PM</stp>
        <stp>04/10/2016 5:15:00 PM</stp>
        <stp>[Andrea New RollM.xlsm]DB!R155C15</stp>
        <stp>BarSz=60</stp>
        <stp>BarTp=T</stp>
        <stp>RecurDaily=True</stp>
        <stp>TZ=London</stp>
        <stp>DTS=H</stp>
        <tr r="O155" s="23"/>
      </tp>
      <tp>
        <v>105.84699999999999</v>
        <stp/>
        <stp>##V3_BDHV12</stp>
        <stp>DE0001102374@CBBT Corp</stp>
        <stp>OPEN</stp>
        <stp>11/10/2016 4:15:00 PM</stp>
        <stp>11/10/2016 5:15:00 PM</stp>
        <stp>[Andrea New RollM.xlsm]DB!R166C14</stp>
        <stp>BarSz=60</stp>
        <stp>BarTp=T</stp>
        <stp>RecurDaily=True</stp>
        <stp>TZ=London</stp>
        <stp>DTS=H</stp>
        <tr r="N166" s="23"/>
      </tp>
    </main>
    <main first="marketviewexcelplugin.mkvxp">
      <tp t="s">
        <v>BTPS</v>
        <stp/>
        <stp>0</stp>
        <stp>EUR.CM_INSTRUMENT.PXE.IT0005030504</stp>
        <stp>Ticker</stp>
        <tr r="A22" s="7"/>
        <tr r="B36" s="23"/>
      </tp>
      <tp t="s">
        <v>BTPS</v>
        <stp/>
        <stp>0</stp>
        <stp>EUR.CM_INSTRUMENT.PXE.IT0004820426</stp>
        <stp>Ticker</stp>
        <tr r="A8" s="7"/>
        <tr r="B13" s="23"/>
      </tp>
    </main>
    <main first="bloomberg.rtd">
      <tp>
        <v>123.575</v>
        <stp/>
        <stp>##V3_BDHV12</stp>
        <stp>ES00000124W3@CBBT Corp</stp>
        <stp>OPEN</stp>
        <stp>04/10/2016 4:15:00 PM</stp>
        <stp>04/10/2016 5:15:00 PM</stp>
        <stp>[Andrea New RollM.xlsm]DB!R204C15</stp>
        <stp>BarSz=60</stp>
        <stp>BarTp=T</stp>
        <stp>RecurDaily=True</stp>
        <stp>TZ=London</stp>
        <stp>DTS=H</stp>
        <tr r="O204" s="23"/>
      </tp>
      <tp>
        <v>127.402</v>
        <stp/>
        <stp>##V3_BDHV12</stp>
        <stp>ES00000123X3@CBBT Corp</stp>
        <stp>OPEN</stp>
        <stp>04/10/2016 4:15:00 PM</stp>
        <stp>04/10/2016 5:15:00 PM</stp>
        <stp>[Andrea New RollM.xlsm]DB!R202C15</stp>
        <stp>BarSz=60</stp>
        <stp>BarTp=T</stp>
        <stp>RecurDaily=True</stp>
        <stp>TZ=London</stp>
        <stp>DTS=H</stp>
        <tr r="O202" s="23"/>
      </tp>
      <tp>
        <v>155.249</v>
        <stp/>
        <stp>##V3_BDHV12</stp>
        <stp>FR0011461037@CBBT Corp</stp>
        <stp>OPEN</stp>
        <stp>04/10/2016 4:15:00 PM</stp>
        <stp>04/10/2016 5:15:00 PM</stp>
        <stp>[Andrea New RollM.xlsm]DB!R115C15</stp>
        <stp>BarSz=60</stp>
        <stp>BarTp=T</stp>
        <stp>RecurDaily=True</stp>
        <stp>TZ=London</stp>
        <stp>DTS=H</stp>
        <tr r="O115" s="23"/>
      </tp>
      <tp>
        <v>100.547</v>
        <stp/>
        <stp>##V3_BDHV12</stp>
        <stp>DE0001141620@CBBT Corp</stp>
        <stp>OPEN</stp>
        <stp>11/10/2016 4:15:00 PM</stp>
        <stp>11/10/2016 5:15:00 PM</stp>
        <stp>[Andrea New RollM.xlsm]DB!R125C14</stp>
        <stp>BarSz=60</stp>
        <stp>BarTp=T</stp>
        <stp>RecurDaily=True</stp>
        <stp>TZ=London</stp>
        <stp>DTS=H</stp>
        <tr r="N125" s="23"/>
      </tp>
      <tp>
        <v>105.247</v>
        <stp/>
        <stp>##V3_BDHV12</stp>
        <stp>IE00BJ38CQ36@CBBT Corp</stp>
        <stp>OPEN</stp>
        <stp>09/09/2016 4:15:00 PM</stp>
        <stp>09/09/2016 5:15:00 PM</stp>
        <stp>[Andrea New RollM.xlsm]DB!R243C16</stp>
        <stp>BarSz=60</stp>
        <stp>BarTp=T</stp>
        <stp>RecurDaily=True</stp>
        <stp>TZ=London</stp>
        <stp>DTS=H</stp>
        <tr r="P243" s="23"/>
      </tp>
      <tp>
        <v>168.649</v>
        <stp/>
        <stp>##V3_BDHV12</stp>
        <stp>DE0001135432@CBBT Corp</stp>
        <stp>OPEN</stp>
        <stp>04/10/2016 4:15:00 PM</stp>
        <stp>04/10/2016 5:15:00 PM</stp>
        <stp>[Andrea New RollM.xlsm]DB!R179C15</stp>
        <stp>BarSz=60</stp>
        <stp>BarTp=T</stp>
        <stp>RecurDaily=True</stp>
        <stp>TZ=London</stp>
        <stp>DTS=H</stp>
        <tr r="O179" s="23"/>
      </tp>
      <tp>
        <v>149.46199999999999</v>
        <stp/>
        <stp>##V3_BDHV12</stp>
        <stp>DE0001134922@CBBT Corp</stp>
        <stp>OPEN</stp>
        <stp>04/10/2016 4:15:00 PM</stp>
        <stp>04/10/2016 5:15:00 PM</stp>
        <stp>[Andrea New RollM.xlsm]DB!R162C15</stp>
        <stp>BarSz=60</stp>
        <stp>BarTp=T</stp>
        <stp>RecurDaily=True</stp>
        <stp>TZ=London</stp>
        <stp>DTS=H</stp>
        <tr r="O162" s="23"/>
      </tp>
    </main>
    <main first="marketviewexcelplugin.mkvxp">
      <tp t="s">
        <v>BTPS</v>
        <stp/>
        <stp>0</stp>
        <stp>EUR.CM_INSTRUMENT.PXE.IT0005090318</stp>
        <stp>Ticker</stp>
        <tr r="A52" s="7"/>
        <tr r="B84" s="23"/>
      </tp>
    </main>
    <main first="bloomberg.rtd">
      <tp>
        <v>193.23099999999999</v>
        <stp/>
        <stp>##V3_BDHV12</stp>
        <stp>FR0010870956@CBBT Corp</stp>
        <stp>OPEN</stp>
        <stp>04/10/2016 4:15:00 PM</stp>
        <stp>04/10/2016 5:15:00 PM</stp>
        <stp>[Andrea New RollM.xlsm]DB!R120C15</stp>
        <stp>BarSz=60</stp>
        <stp>BarTp=T</stp>
        <stp>RecurDaily=True</stp>
        <stp>TZ=London</stp>
        <stp>DTS=H</stp>
        <tr r="O120" s="23"/>
      </tp>
      <tp>
        <v>116.38200000000001</v>
        <stp/>
        <stp>##V3_BDHV12</stp>
        <stp>ES00000128C6@CBBT Corp</stp>
        <stp>OPEN</stp>
        <stp>11/10/2016 4:15:00 PM</stp>
        <stp>11/10/2016 5:15:00 PM</stp>
        <stp>[Andrea New RollM.xlsm]DB!R220C14</stp>
        <stp>BarSz=60</stp>
        <stp>BarTp=T</stp>
        <stp>RecurDaily=True</stp>
        <stp>TZ=London</stp>
        <stp>DTS=H</stp>
        <tr r="N220" s="23"/>
      </tp>
      <tp>
        <v>111.687</v>
        <stp/>
        <stp>##V3_BDHV12</stp>
        <stp>DE0001135382@CBBT Corp</stp>
        <stp>OPEN</stp>
        <stp>04/10/2016 4:15:00 PM</stp>
        <stp>04/10/2016 5:15:00 PM</stp>
        <stp>[Andrea New RollM.xlsm]DB!R144C15</stp>
        <stp>BarSz=60</stp>
        <stp>BarTp=T</stp>
        <stp>RecurDaily=True</stp>
        <stp>TZ=London</stp>
        <stp>DTS=H</stp>
        <tr r="O144" s="23"/>
      </tp>
      <tp>
        <v>113.76300000000001</v>
        <stp/>
        <stp>##V3_BDHV12</stp>
        <stp>DE0001135457@CBBT Corp</stp>
        <stp>OPEN</stp>
        <stp>11/10/2016 4:15:00 PM</stp>
        <stp>11/10/2016 5:15:00 PM</stp>
        <stp>[Andrea New RollM.xlsm]DB!R154C14</stp>
        <stp>BarSz=60</stp>
        <stp>BarTp=T</stp>
        <stp>RecurDaily=True</stp>
        <stp>TZ=London</stp>
        <stp>DTS=H</stp>
        <tr r="N154" s="23"/>
      </tp>
      <tp>
        <v>178.249</v>
        <stp/>
        <stp>##V3_BDHV12</stp>
        <stp>FR0000187635@CBBT Corp</stp>
        <stp>OPEN</stp>
        <stp>09/09/2016 4:15:00 PM</stp>
        <stp>09/09/2016 5:15:00 PM</stp>
        <stp>[Andrea New RollM.xlsm]DB!R103C16</stp>
        <stp>BarSz=60</stp>
        <stp>BarTp=T</stp>
        <stp>RecurDaily=True</stp>
        <stp>TZ=London</stp>
        <stp>DTS=H</stp>
        <tr r="P103" s="23"/>
      </tp>
      <tp>
        <v>111.31699999999999</v>
        <stp/>
        <stp>##V3_BDHV12</stp>
        <stp>FR0013154028@CBBT Corp</stp>
        <stp>OPEN</stp>
        <stp>09/09/2016 4:15:00 PM</stp>
        <stp>09/09/2016 5:15:00 PM</stp>
        <stp>[Andrea New RollM.xlsm]DB!R121C16</stp>
        <stp>BarSz=60</stp>
        <stp>BarTp=T</stp>
        <stp>RecurDaily=True</stp>
        <stp>TZ=London</stp>
        <stp>DTS=H</stp>
        <tr r="P121" s="23"/>
      </tp>
      <tp>
        <v>103.46</v>
        <stp/>
        <stp>##V3_BDHV12</stp>
        <stp>DE0001141679@CBBT Corp</stp>
        <stp>OPEN</stp>
        <stp>09/09/2016 4:15:00 PM</stp>
        <stp>09/09/2016 5:15:00 PM</stp>
        <stp>[Andrea New RollM.xlsm]DB!R140C16</stp>
        <stp>BarSz=60</stp>
        <stp>BarTp=T</stp>
        <stp>RecurDaily=True</stp>
        <stp>TZ=London</stp>
        <stp>DTS=H</stp>
        <tr r="P140" s="23"/>
      </tp>
      <tp>
        <v>103.47</v>
        <stp/>
        <stp>##V3_BDHV12</stp>
        <stp>DE0001141729@CBBT Corp</stp>
        <stp>OPEN</stp>
        <stp>09/09/2016 4:15:00 PM</stp>
        <stp>09/09/2016 5:15:00 PM</stp>
        <stp>[Andrea New RollM.xlsm]DB!R150C16</stp>
        <stp>BarSz=60</stp>
        <stp>BarTp=T</stp>
        <stp>RecurDaily=True</stp>
        <stp>TZ=London</stp>
        <stp>DTS=H</stp>
        <tr r="P150" s="23"/>
      </tp>
    </main>
    <main first="bloomberg.rtd">
      <tp>
        <v>100.83499999999999</v>
        <stp/>
        <stp>##V3_BDHV12</stp>
        <stp>ES00000126V0@CBBT Corp</stp>
        <stp>OPEN</stp>
        <stp>04/10/2016 4:15:00 PM</stp>
        <stp>04/10/2016 5:15:00 PM</stp>
        <stp>[Andrea New RollM.xlsm]DB!R186C15</stp>
        <stp>BarSz=60</stp>
        <stp>BarTp=T</stp>
        <stp>RecurDaily=True</stp>
        <stp>TZ=London</stp>
        <stp>DTS=H</stp>
        <tr r="O186" s="23"/>
      </tp>
      <tp t="s">
        <v>#N/A N/A</v>
        <stp/>
        <stp>##V3_BDHV12</stp>
        <stp>IT0005217390@CBBT Corp</stp>
        <stp>OPEN</stp>
        <stp>04/10/2016 4:15:00 PM</stp>
        <stp>04/10/2016 5:15:00 PM</stp>
        <stp>[Andrea New RollM.xlsm]DB!R118C15</stp>
        <stp>BarSz=60</stp>
        <stp>BarTp=T</stp>
        <stp>RecurDaily=True</stp>
        <stp>TZ=London</stp>
        <stp>DTS=H</stp>
        <tr r="O118" s="23"/>
      </tp>
      <tp>
        <v>107.777</v>
        <stp/>
        <stp>##V3_BDHV12</stp>
        <stp>ES00000121A5@CBBT Corp</stp>
        <stp>OPEN</stp>
        <stp>11/10/2016 4:15:00 PM</stp>
        <stp>11/10/2016 5:15:00 PM</stp>
        <stp>[Andrea New RollM.xlsm]DB!R189C14</stp>
        <stp>BarSz=60</stp>
        <stp>BarTp=T</stp>
        <stp>RecurDaily=True</stp>
        <stp>TZ=London</stp>
        <stp>DTS=H</stp>
        <tr r="N189" s="23"/>
      </tp>
      <tp>
        <v>104.923</v>
        <stp/>
        <stp>##V3_BDHV12</stp>
        <stp>ES00000126C0@CBBT Corp</stp>
        <stp>OPEN</stp>
        <stp>04/10/2016 4:15:00 PM</stp>
        <stp>04/10/2016 5:15:00 PM</stp>
        <stp>[Andrea New RollM.xlsm]DB!R195C15</stp>
        <stp>BarSz=60</stp>
        <stp>BarTp=T</stp>
        <stp>RecurDaily=True</stp>
        <stp>TZ=London</stp>
        <stp>DTS=H</stp>
        <tr r="O195" s="23"/>
      </tp>
      <tp>
        <v>107.327</v>
        <stp/>
        <stp>##V3_BDHV12</stp>
        <stp>ES00000124V5@CBBT Corp</stp>
        <stp>OPEN</stp>
        <stp>11/10/2016 4:15:00 PM</stp>
        <stp>11/10/2016 5:15:00 PM</stp>
        <stp>[Andrea New RollM.xlsm]DB!R192C14</stp>
        <stp>BarSz=60</stp>
        <stp>BarTp=T</stp>
        <stp>RecurDaily=True</stp>
        <stp>TZ=London</stp>
        <stp>DTS=H</stp>
        <tr r="N192" s="23"/>
      </tp>
      <tp>
        <v>100.947</v>
        <stp/>
        <stp>##V3_BDHV12</stp>
        <stp>ES00000128A0@CBBT Corp</stp>
        <stp>OPEN</stp>
        <stp>04/10/2016 4:15:00 PM</stp>
        <stp>04/10/2016 5:15:00 PM</stp>
        <stp>[Andrea New RollM.xlsm]DB!R191C15</stp>
        <stp>BarSz=60</stp>
        <stp>BarTp=T</stp>
        <stp>RecurDaily=True</stp>
        <stp>TZ=London</stp>
        <stp>DTS=H</stp>
        <tr r="O191" s="23"/>
      </tp>
      <tp>
        <v>155.488</v>
        <stp/>
        <stp>##V3_BDHV12</stp>
        <stp>DE0001102341@CBBT Corp</stp>
        <stp>OPEN</stp>
        <stp>04/10/2016 4:15:00 PM</stp>
        <stp>04/10/2016 5:15:00 PM</stp>
        <stp>[Andrea New RollM.xlsm]DB!R181C15</stp>
        <stp>BarSz=60</stp>
        <stp>BarTp=T</stp>
        <stp>RecurDaily=True</stp>
        <stp>TZ=London</stp>
        <stp>DTS=H</stp>
        <tr r="O181" s="23"/>
      </tp>
      <tp>
        <v>100.56699999999999</v>
        <stp/>
        <stp>##V3_BDHV12</stp>
        <stp>IT0005094088@CBBT Corp</stp>
        <stp>OPEN</stp>
        <stp>04/10/2016 4:15:00 PM</stp>
        <stp>04/10/2016 5:15:00 PM</stp>
        <stp>[Andrea New RollM.xlsm]DB!R102C15</stp>
        <stp>BarSz=60</stp>
        <stp>BarTp=T</stp>
        <stp>RecurDaily=True</stp>
        <stp>TZ=London</stp>
        <stp>DTS=H</stp>
        <tr r="O102" s="23"/>
      </tp>
      <tp>
        <v>130.773</v>
        <stp/>
        <stp>##V3_BDHV12</stp>
        <stp>IT0003934657@CBBT Corp</stp>
        <stp>OPEN</stp>
        <stp>11/10/2016 4:15:00 PM</stp>
        <stp>11/10/2016 5:15:00 PM</stp>
        <stp>[Andrea New RollM.xlsm]DB!R109C14</stp>
        <stp>BarSz=60</stp>
        <stp>BarTp=T</stp>
        <stp>RecurDaily=True</stp>
        <stp>TZ=London</stp>
        <stp>DTS=H</stp>
        <tr r="N109" s="23"/>
      </tp>
    </main>
    <main first="marketviewexcelplugin.mkvxp">
      <tp t="s">
        <v>BTPS</v>
        <stp/>
        <stp>0</stp>
        <stp>EUR.CM_INSTRUMENT.PXE.IT0005170839</stp>
        <stp>Ticker</stp>
        <tr r="A55" s="7"/>
        <tr r="B90" s="23"/>
      </tp>
    </main>
    <main first="bloomberg.rtd">
      <tp>
        <v>144.803</v>
        <stp/>
        <stp>##V3_BDHV12</stp>
        <stp>IT0003535157@CBBT Corp</stp>
        <stp>OPEN</stp>
        <stp>11/10/2016 4:15:00 PM</stp>
        <stp>11/10/2016 5:15:00 PM</stp>
        <stp>[Andrea New RollM.xlsm]DB!R105C14</stp>
        <stp>BarSz=60</stp>
        <stp>BarTp=T</stp>
        <stp>RecurDaily=True</stp>
        <stp>TZ=London</stp>
        <stp>DTS=H</stp>
        <tr r="N105" s="23"/>
      </tp>
    </main>
    <main first="marketviewexcelplugin.mkvxp">
      <tp t="s">
        <v>BTPS</v>
        <stp/>
        <stp>0</stp>
        <stp>EUR.CM_INSTRUMENT.PXE.IT0004960826</stp>
        <stp>Ticker</stp>
        <tr r="A3" s="7"/>
        <tr r="B7" s="23"/>
      </tp>
    </main>
    <main first="bloomberg.rtd">
      <tp>
        <v>2.081</v>
        <stp/>
        <stp>##V3_BDPV12</stp>
        <stp>ES00000124H4@CBBT Corp</stp>
        <stp>YAS_BOND_YLD</stp>
        <stp>[Andrea New RollM.xlsm]DB!R219C17</stp>
        <stp>SETTLE_DT=20161011</stp>
        <stp>YAS_BOND_PX=164.733</stp>
        <tr r="Q219" s="23"/>
      </tp>
      <tp>
        <v>-0.35</v>
        <stp/>
        <stp>##V3_BDPV12</stp>
        <stp>EUSWEG CMPN Curncy</stp>
        <stp>ask</stp>
        <stp>[Andrea New RollM.xlsm]Crv!R17C5</stp>
        <tr r="E17" s="1"/>
      </tp>
      <tp>
        <v>0.53400000000000003</v>
        <stp/>
        <stp>##V3_BDPV12</stp>
        <stp>IT0004759673@CBBT Corp</stp>
        <stp>YAS_BOND_YLD</stp>
        <stp>[Andrea New RollM.xlsm]DB!R63C17</stp>
        <stp>SETTLE_DT=20161011</stp>
        <stp>YAS_BOND_PX=123.7</stp>
        <tr r="Q63" s="23"/>
      </tp>
      <tp>
        <v>-0.35949999999999999</v>
        <stp/>
        <stp>##V3_BDPV12</stp>
        <stp>EUSWE4 CMPN Curncy</stp>
        <stp>ask</stp>
        <stp>[Andrea New RollM.xlsm]Crv!R27C5</stp>
        <tr r="E27" s="1"/>
      </tp>
      <tp>
        <v>100.663</v>
        <stp/>
        <stp>##V3_BDHV12</stp>
        <stp>DE0001104610@CBBT Corp</stp>
        <stp>OPEN</stp>
        <stp>04/10/2016 4:15:00 PM</stp>
        <stp>04/10/2016 5:15:00 PM</stp>
        <stp>[Andrea New RollM.xlsm]DB!R130C15</stp>
        <stp>BarSz=60</stp>
        <stp>BarTp=T</stp>
        <stp>RecurDaily=True</stp>
        <stp>TZ=London</stp>
        <stp>DTS=H</stp>
        <tr r="O130" s="23"/>
      </tp>
      <tp>
        <v>103.693</v>
        <stp/>
        <stp>##V3_BDHV12</stp>
        <stp>DE0001135333@CBBT Corp</stp>
        <stp>OPEN</stp>
        <stp>04/10/2016 4:15:00 PM</stp>
        <stp>04/10/2016 5:15:00 PM</stp>
        <stp>[Andrea New RollM.xlsm]DB!R129C15</stp>
        <stp>BarSz=60</stp>
        <stp>BarTp=T</stp>
        <stp>RecurDaily=True</stp>
        <stp>TZ=London</stp>
        <stp>DTS=H</stp>
        <tr r="O129" s="23"/>
      </tp>
      <tp>
        <v>102.25</v>
        <stp/>
        <stp>##V3_BDHV12</stp>
        <stp>DE0001141711@CBBT Corp</stp>
        <stp>OPEN</stp>
        <stp>11/10/2016 4:15:00 PM</stp>
        <stp>11/10/2016 5:15:00 PM</stp>
        <stp>[Andrea New RollM.xlsm]DB!R147C14</stp>
        <stp>BarSz=60</stp>
        <stp>BarTp=T</stp>
        <stp>RecurDaily=True</stp>
        <stp>TZ=London</stp>
        <stp>DTS=H</stp>
        <tr r="N147" s="23"/>
      </tp>
    </main>
    <main first="marketviewexcelplugin.mkvxp">
      <tp t="s">
        <v>BTPS</v>
        <stp/>
        <stp>0</stp>
        <stp>EUR.CM_INSTRUMENT.PXE.IT0004801541</stp>
        <stp>Ticker</stp>
        <tr r="A40" s="7"/>
        <tr r="B66" s="23"/>
      </tp>
    </main>
    <main first="bloomberg.rtd">
      <tp>
        <v>116.43899999999999</v>
        <stp/>
        <stp>##V3_BDHV12</stp>
        <stp>DE0001102325@CBBT Corp</stp>
        <stp>OPEN</stp>
        <stp>11/10/2016 4:15:00 PM</stp>
        <stp>11/10/2016 5:15:00 PM</stp>
        <stp>[Andrea New RollM.xlsm]DB!R161C14</stp>
        <stp>BarSz=60</stp>
        <stp>BarTp=T</stp>
        <stp>RecurDaily=True</stp>
        <stp>TZ=London</stp>
        <stp>DTS=H</stp>
        <tr r="N161" s="23"/>
      </tp>
      <tp>
        <v>117.557</v>
        <stp/>
        <stp>##V3_BDHV12</stp>
        <stp>IE0034074488@CBBT Corp</stp>
        <stp>OPEN</stp>
        <stp>09/09/2016 4:15:00 PM</stp>
        <stp>09/09/2016 5:15:00 PM</stp>
        <stp>[Andrea New RollM.xlsm]DB!R241C16</stp>
        <stp>BarSz=60</stp>
        <stp>BarTp=T</stp>
        <stp>RecurDaily=True</stp>
        <stp>TZ=London</stp>
        <stp>DTS=H</stp>
        <tr r="P241" s="23"/>
      </tp>
      <tp>
        <v>106.223</v>
        <stp/>
        <stp>##V3_BDHV12</stp>
        <stp>DE0001102390@CBBT Corp</stp>
        <stp>OPEN</stp>
        <stp>04/10/2016 4:15:00 PM</stp>
        <stp>04/10/2016 5:15:00 PM</stp>
        <stp>[Andrea New RollM.xlsm]DB!R168C15</stp>
        <stp>BarSz=60</stp>
        <stp>BarTp=T</stp>
        <stp>RecurDaily=True</stp>
        <stp>TZ=London</stp>
        <stp>DTS=H</stp>
        <tr r="O168" s="23"/>
      </tp>
    </main>
    <main first="marketviewexcelplugin.mkvxp">
      <tp t="s">
        <v>BTPS</v>
        <stp/>
        <stp>0</stp>
        <stp>EUR.CM_INSTRUMENT.PXE.IT0005001547</stp>
        <stp>Ticker</stp>
        <tr r="A49" s="7"/>
        <tr r="B79" s="23"/>
      </tp>
    </main>
    <main first="bloomberg.rtd">
      <tp>
        <v>130.69999999999999</v>
        <stp/>
        <stp>##V3_BDHV12</stp>
        <stp>ES00000121G2@CBBT Corp</stp>
        <stp>OPEN</stp>
        <stp>04/10/2016 4:15:00 PM</stp>
        <stp>04/10/2016 5:15:00 PM</stp>
        <stp>[Andrea New RollM.xlsm]DB!R203C15</stp>
        <stp>BarSz=60</stp>
        <stp>BarTp=T</stp>
        <stp>RecurDaily=True</stp>
        <stp>TZ=London</stp>
        <stp>DTS=H</stp>
        <tr r="O203" s="23"/>
      </tp>
      <tp>
        <v>116.125</v>
        <stp/>
        <stp>##V3_BDHV12</stp>
        <stp>ES00000126B2@CBBT Corp</stp>
        <stp>OPEN</stp>
        <stp>04/10/2016 4:15:00 PM</stp>
        <stp>04/10/2016 5:15:00 PM</stp>
        <stp>[Andrea New RollM.xlsm]DB!R205C15</stp>
        <stp>BarSz=60</stp>
        <stp>BarTp=T</stp>
        <stp>RecurDaily=True</stp>
        <stp>TZ=London</stp>
        <stp>DTS=H</stp>
        <tr r="O205" s="23"/>
      </tp>
      <tp>
        <v>157</v>
        <stp/>
        <stp>##V3_BDHV12</stp>
        <stp>IT0001444378@CBBT Corp</stp>
        <stp>OPEN</stp>
        <stp>09/09/2016 4:15:00 PM</stp>
        <stp>09/09/2016 5:15:00 PM</stp>
        <stp>[Andrea New RollM.xlsm]DB!R100C16</stp>
        <stp>BarSz=60</stp>
        <stp>BarTp=T</stp>
        <stp>RecurDaily=True</stp>
        <stp>TZ=London</stp>
        <stp>DTS=H</stp>
        <tr r="P100" s="23"/>
      </tp>
      <tp>
        <v>108.325</v>
        <stp/>
        <stp>##V3_BDHV12</stp>
        <stp>ES00000127A2@CBBT Corp</stp>
        <stp>OPEN</stp>
        <stp>04/10/2016 4:15:00 PM</stp>
        <stp>04/10/2016 5:15:00 PM</stp>
        <stp>[Andrea New RollM.xlsm]DB!R214C15</stp>
        <stp>BarSz=60</stp>
        <stp>BarTp=T</stp>
        <stp>RecurDaily=True</stp>
        <stp>TZ=London</stp>
        <stp>DTS=H</stp>
        <tr r="O214" s="23"/>
      </tp>
      <tp>
        <v>145.05699999999999</v>
        <stp/>
        <stp>##V3_BDHV12</stp>
        <stp>ES00000123C7@CBBT Corp</stp>
        <stp>OPEN</stp>
        <stp>11/10/2016 4:15:00 PM</stp>
        <stp>11/10/2016 5:15:00 PM</stp>
        <stp>[Andrea New RollM.xlsm]DB!R210C14</stp>
        <stp>BarSz=60</stp>
        <stp>BarTp=T</stp>
        <stp>RecurDaily=True</stp>
        <stp>TZ=London</stp>
        <stp>DTS=H</stp>
        <tr r="N210" s="23"/>
      </tp>
      <tp>
        <v>153.41</v>
        <stp/>
        <stp>##V3_BDHV12</stp>
        <stp>ES00000121S7@CBBT Corp</stp>
        <stp>OPEN</stp>
        <stp>11/10/2016 4:15:00 PM</stp>
        <stp>11/10/2016 5:15:00 PM</stp>
        <stp>[Andrea New RollM.xlsm]DB!R218C14</stp>
        <stp>BarSz=60</stp>
        <stp>BarTp=T</stp>
        <stp>RecurDaily=True</stp>
        <stp>TZ=London</stp>
        <stp>DTS=H</stp>
        <tr r="N218" s="23"/>
      </tp>
      <tp>
        <v>143.22999999999999</v>
        <stp/>
        <stp>##V3_BDHV12</stp>
        <stp>ES0000012932@CBBT Corp</stp>
        <stp>OPEN</stp>
        <stp>04/10/2016 4:15:00 PM</stp>
        <stp>04/10/2016 5:15:00 PM</stp>
        <stp>[Andrea New RollM.xlsm]DB!R216C15</stp>
        <stp>BarSz=60</stp>
        <stp>BarTp=T</stp>
        <stp>RecurDaily=True</stp>
        <stp>TZ=London</stp>
        <stp>DTS=H</stp>
        <tr r="O216" s="23"/>
      </tp>
      <tp>
        <v>101.39</v>
        <stp/>
        <stp>##V3_BDHV12</stp>
        <stp>DE0001141661@CBBT Corp</stp>
        <stp>OPEN</stp>
        <stp>11/10/2016 4:15:00 PM</stp>
        <stp>11/10/2016 5:15:00 PM</stp>
        <stp>[Andrea New RollM.xlsm]DB!R136C14</stp>
        <stp>BarSz=60</stp>
        <stp>BarTp=T</stp>
        <stp>RecurDaily=True</stp>
        <stp>TZ=London</stp>
        <stp>DTS=H</stp>
        <tr r="N136" s="23"/>
      </tp>
      <tp>
        <v>183.82400000000001</v>
        <stp/>
        <stp>##V3_BDHV12</stp>
        <stp>DE0001135143@CBBT Corp</stp>
        <stp>OPEN</stp>
        <stp>04/10/2016 4:15:00 PM</stp>
        <stp>04/10/2016 5:15:00 PM</stp>
        <stp>[Andrea New RollM.xlsm]DB!R173C15</stp>
        <stp>BarSz=60</stp>
        <stp>BarTp=T</stp>
        <stp>RecurDaily=True</stp>
        <stp>TZ=London</stp>
        <stp>DTS=H</stp>
        <tr r="O173" s="23"/>
      </tp>
      <tp>
        <v>176.434</v>
        <stp/>
        <stp>##V3_BDHV12</stp>
        <stp>DE0001135226@CBBT Corp</stp>
        <stp>OPEN</stp>
        <stp>11/10/2016 4:15:00 PM</stp>
        <stp>11/10/2016 5:15:00 PM</stp>
        <stp>[Andrea New RollM.xlsm]DB!R175C14</stp>
        <stp>BarSz=60</stp>
        <stp>BarTp=T</stp>
        <stp>RecurDaily=True</stp>
        <stp>TZ=London</stp>
        <stp>DTS=H</stp>
        <tr r="N175" s="23"/>
      </tp>
      <tp>
        <v>174.71899999999999</v>
        <stp/>
        <stp>##V3_BDHV12</stp>
        <stp>DE0001135176@CBBT Corp</stp>
        <stp>OPEN</stp>
        <stp>11/10/2016 4:15:00 PM</stp>
        <stp>11/10/2016 5:15:00 PM</stp>
        <stp>[Andrea New RollM.xlsm]DB!R174C14</stp>
        <stp>BarSz=60</stp>
        <stp>BarTp=T</stp>
        <stp>RecurDaily=True</stp>
        <stp>TZ=London</stp>
        <stp>DTS=H</stp>
        <tr r="N174" s="23"/>
      </tp>
      <tp>
        <v>193.80199999999999</v>
        <stp/>
        <stp>##V3_BDHV12</stp>
        <stp>DE0001135366@CBBT Corp</stp>
        <stp>OPEN</stp>
        <stp>11/10/2016 4:15:00 PM</stp>
        <stp>11/10/2016 5:15:00 PM</stp>
        <stp>[Andrea New RollM.xlsm]DB!R178C14</stp>
        <stp>BarSz=60</stp>
        <stp>BarTp=T</stp>
        <stp>RecurDaily=True</stp>
        <stp>TZ=London</stp>
        <stp>DTS=H</stp>
        <tr r="N178" s="23"/>
      </tp>
      <tp>
        <v>175.87299999999999</v>
        <stp/>
        <stp>##V3_BDHV12</stp>
        <stp>FR0010773192@CBBT Corp</stp>
        <stp>OPEN</stp>
        <stp>11/10/2016 4:15:00 PM</stp>
        <stp>11/10/2016 5:15:00 PM</stp>
        <stp>[Andrea New RollM.xlsm]DB!R113C14</stp>
        <stp>BarSz=60</stp>
        <stp>BarTp=T</stp>
        <stp>RecurDaily=True</stp>
        <stp>TZ=London</stp>
        <stp>DTS=H</stp>
        <tr r="N113" s="23"/>
      </tp>
      <tp>
        <v>125.077</v>
        <stp/>
        <stp>##V3_BDHV12</stp>
        <stp>ES00000128E2@CBBT Corp</stp>
        <stp>OPEN</stp>
        <stp>04/10/2016 4:15:00 PM</stp>
        <stp>04/10/2016 5:15:00 PM</stp>
        <stp>[Andrea New RollM.xlsm]DB!R221C15</stp>
        <stp>BarSz=60</stp>
        <stp>BarTp=T</stp>
        <stp>RecurDaily=True</stp>
        <stp>TZ=London</stp>
        <stp>DTS=H</stp>
        <tr r="O221" s="23"/>
      </tp>
      <tp>
        <v>111.39</v>
        <stp/>
        <stp>##V3_BDHV12</stp>
        <stp>DE0001135416@CBBT Corp</stp>
        <stp>OPEN</stp>
        <stp>11/10/2016 4:15:00 PM</stp>
        <stp>11/10/2016 5:15:00 PM</stp>
        <stp>[Andrea New RollM.xlsm]DB!R149C14</stp>
        <stp>BarSz=60</stp>
        <stp>BarTp=T</stp>
        <stp>RecurDaily=True</stp>
        <stp>TZ=London</stp>
        <stp>DTS=H</stp>
        <tr r="N149" s="23"/>
      </tp>
      <tp>
        <v>113.441</v>
        <stp/>
        <stp>##V3_BDHV12</stp>
        <stp>DE0001135473@CBBT Corp</stp>
        <stp>OPEN</stp>
        <stp>04/10/2016 4:15:00 PM</stp>
        <stp>04/10/2016 5:15:00 PM</stp>
        <stp>[Andrea New RollM.xlsm]DB!R157C15</stp>
        <stp>BarSz=60</stp>
        <stp>BarTp=T</stp>
        <stp>RecurDaily=True</stp>
        <stp>TZ=London</stp>
        <stp>DTS=H</stp>
        <tr r="O157" s="23"/>
      </tp>
    </main>
    <main first="marketviewexcelplugin.mkvxp">
      <tp t="s">
        <v>BTPS</v>
        <stp/>
        <stp>0</stp>
        <stp>EUR.CM_INSTRUMENT.PXE.IT0004361041</stp>
        <stp>Ticker</stp>
        <tr r="A15" s="7"/>
        <tr r="B24" s="23"/>
      </tp>
    </main>
    <main first="marketviewexcelplugin.mkvxp">
      <tp t="s">
        <v>IRISH</v>
        <stp/>
        <stp>0</stp>
        <stp>EUR.CM_INSTRUMENT.PXE.IE00BJ38CQ36</stp>
        <stp>Ticker</stp>
        <tr r="B243" s="23"/>
      </tp>
      <tp t="s">
        <v>IRISH</v>
        <stp/>
        <stp>0</stp>
        <stp>EUR.CM_INSTRUMENT.PXE.IE00BJ38CR43</stp>
        <stp>Ticker</stp>
        <tr r="B248" s="23"/>
      </tp>
    </main>
    <main first="bloomberg.rtd">
      <tp t="b">
        <v>0</v>
        <stp/>
        <stp>##V3_BCURVEINTV12</stp>
        <stp>[Andrea New RollM.xlsm]SPF!R21C9</stp>
        <stp>EUR.OIS:BLOOMBERG DC 272086</stp>
        <stp>Par.Mid</stp>
        <stp>20250414</stp>
        <stp>Frequency=Annual</stp>
        <stp>DayCount=D30_360_EOMC</stp>
        <tr r="I21" s="4"/>
      </tp>
      <tp t="b">
        <v>0</v>
        <stp/>
        <stp>##V3_BCURVEINTV12</stp>
        <stp>[Andrea New RollM.xlsm]SPF!R11C9</stp>
        <stp>EUR.OIS:BLOOMBERG DC 272086</stp>
        <stp>Par.Mid</stp>
        <stp>20200414</stp>
        <stp>Frequency=Annual</stp>
        <stp>DayCount=D30_360_EOMC</stp>
        <tr r="I11" s="4"/>
      </tp>
      <tp t="b">
        <v>0</v>
        <stp/>
        <stp>##V3_BCURVEINTV12</stp>
        <stp>[Andrea New RollM.xlsm]SPF!R31C9</stp>
        <stp>EUR.OIS:BLOOMBERG DC 272086</stp>
        <stp>Par.Mid</stp>
        <stp>20300415</stp>
        <stp>Frequency=Annual</stp>
        <stp>DayCount=D30_360_EOMC</stp>
        <tr r="I31" s="4"/>
      </tp>
      <tp t="b">
        <v>0</v>
        <stp/>
        <stp>##V3_BCURVEINTV12</stp>
        <stp>[Andrea New RollM.xlsm]SPF!R41C9</stp>
        <stp>EUR.OIS:BLOOMBERG DC 272086</stp>
        <stp>Par.Mid</stp>
        <stp>20350416</stp>
        <stp>Frequency=Annual</stp>
        <stp>DayCount=D30_360_EOMC</stp>
        <tr r="I41" s="4"/>
      </tp>
      <tp t="b">
        <v>0</v>
        <stp/>
        <stp>##V3_BCURVEINTV12</stp>
        <stp>[Andrea New RollM.xlsm]SPF!R51C9</stp>
        <stp>EUR.OIS:BLOOMBERG DC 272086</stp>
        <stp>Par.Mid</stp>
        <stp>20400416</stp>
        <stp>Frequency=Annual</stp>
        <stp>DayCount=D30_360_EOMC</stp>
        <tr r="I51" s="4"/>
      </tp>
      <tp t="b">
        <v>0</v>
        <stp/>
        <stp>##V3_BCURVEINTV12</stp>
        <stp>[Andrea New RollM.xlsm]SPF!R61C9</stp>
        <stp>EUR.OIS:BLOOMBERG DC 272086</stp>
        <stp>Par.Mid</stp>
        <stp>20450414</stp>
        <stp>Frequency=Annual</stp>
        <stp>DayCount=D30_360_EOMC</stp>
        <tr r="I61" s="4"/>
      </tp>
      <tp>
        <v>154.155</v>
        <stp/>
        <stp>##V3_BDHV12</stp>
        <stp>IT0003256820@CBBT Corp</stp>
        <stp>OPEN</stp>
        <stp>11/10/2016 4:15:00 PM</stp>
        <stp>11/10/2016 5:15:00 PM</stp>
        <stp>[Andrea New RollM.xlsm]DB!R104C14</stp>
        <stp>BarSz=60</stp>
        <stp>BarTp=T</stp>
        <stp>RecurDaily=True</stp>
        <stp>TZ=London</stp>
        <stp>DTS=H</stp>
        <tr r="N104" s="23"/>
      </tp>
      <tp>
        <v>100.654</v>
        <stp/>
        <stp>##V3_BDHV12</stp>
        <stp>DE0001141638@CBBT Corp</stp>
        <stp>OPEN</stp>
        <stp>09/09/2016 4:15:00 PM</stp>
        <stp>09/09/2016 5:15:00 PM</stp>
        <stp>[Andrea New RollM.xlsm]DB!R127C16</stp>
        <stp>BarSz=60</stp>
        <stp>BarTp=T</stp>
        <stp>RecurDaily=True</stp>
        <stp>TZ=London</stp>
        <stp>DTS=H</stp>
        <tr r="P127" s="23"/>
      </tp>
    </main>
    <main first="marketviewexcelplugin.mkvxp">
      <tp t="e">
        <v>#REF!</v>
        <stp/>
        <stp>0</stp>
        <stp>EUR.CM_INSTRUMENT.PXE.IT0004761950</stp>
        <stp>Ticker</stp>
        <tr r="B6" s="23"/>
      </tp>
    </main>
    <main first="bloomberg.rtd">
      <tp t="b">
        <v>0</v>
        <stp/>
        <stp>##V3_BCURVEINTV12</stp>
        <stp>[Andrea New RollM.xlsm]SPF!R10C9</stp>
        <stp>EUR.OIS:BLOOMBERG DC 272086</stp>
        <stp>Par.Mid</stp>
        <stp>20191014</stp>
        <stp>Frequency=Annual</stp>
        <stp>DayCount=D30_360_EOMC</stp>
        <tr r="I10" s="4"/>
      </tp>
      <tp t="b">
        <v>0</v>
        <stp/>
        <stp>##V3_BCURVEINTV12</stp>
        <stp>[Andrea New RollM.xlsm]SPF!R20C9</stp>
        <stp>EUR.OIS:BLOOMBERG DC 272086</stp>
        <stp>Par.Mid</stp>
        <stp>20241014</stp>
        <stp>Frequency=Annual</stp>
        <stp>DayCount=D30_360_EOMC</stp>
        <tr r="I20" s="4"/>
      </tp>
      <tp t="b">
        <v>0</v>
        <stp/>
        <stp>##V3_BCURVEINTV12</stp>
        <stp>[Andrea New RollM.xlsm]SPF!R30C9</stp>
        <stp>EUR.OIS:BLOOMBERG DC 272086</stp>
        <stp>Par.Mid</stp>
        <stp>20291015</stp>
        <stp>Frequency=Annual</stp>
        <stp>DayCount=D30_360_EOMC</stp>
        <tr r="I30" s="4"/>
      </tp>
      <tp t="b">
        <v>0</v>
        <stp/>
        <stp>##V3_BCURVEINTV12</stp>
        <stp>[Andrea New RollM.xlsm]SPF!R40C9</stp>
        <stp>EUR.OIS:BLOOMBERG DC 272086</stp>
        <stp>Par.Mid</stp>
        <stp>20341016</stp>
        <stp>Frequency=Annual</stp>
        <stp>DayCount=D30_360_EOMC</stp>
        <tr r="I40" s="4"/>
      </tp>
      <tp t="b">
        <v>0</v>
        <stp/>
        <stp>##V3_BCURVEINTV12</stp>
        <stp>[Andrea New RollM.xlsm]SPF!R50C9</stp>
        <stp>EUR.OIS:BLOOMBERG DC 272086</stp>
        <stp>Par.Mid</stp>
        <stp>20391014</stp>
        <stp>Frequency=Annual</stp>
        <stp>DayCount=D30_360_EOMC</stp>
        <tr r="I50" s="4"/>
      </tp>
      <tp t="b">
        <v>0</v>
        <stp/>
        <stp>##V3_BCURVEINTV12</stp>
        <stp>[Andrea New RollM.xlsm]SPF!R60C9</stp>
        <stp>EUR.OIS:BLOOMBERG DC 272086</stp>
        <stp>Par.Mid</stp>
        <stp>20441014</stp>
        <stp>Frequency=Annual</stp>
        <stp>DayCount=D30_360_EOMC</stp>
        <tr r="I60" s="4"/>
      </tp>
      <tp>
        <v>1.4590000000000001</v>
        <stp/>
        <stp>##V3_BDPV12</stp>
        <stp>ES00000127A2@CBBT Corp</stp>
        <stp>YAS_BOND_YLD</stp>
        <stp>[Andrea New RollM.xlsm]DB!R214C19</stp>
        <stp>SETTLE_DT=20160909</stp>
        <stp>YAS_BOND_PX=106.128</stp>
        <tr r="S214" s="23"/>
      </tp>
      <tp>
        <v>0.191</v>
        <stp/>
        <stp>##V3_BDPV12</stp>
        <stp>ES00000123K0@CBBT Corp</stp>
        <stp>YAS_BOND_YLD</stp>
        <stp>[Andrea New RollM.xlsm]DB!R200C17</stp>
        <stp>SETTLE_DT=20161011</stp>
        <stp>YAS_BOND_PX=129.845</stp>
        <tr r="Q200" s="23"/>
      </tp>
      <tp>
        <v>-0.34699999999999998</v>
        <stp/>
        <stp>##V3_BDPV12</stp>
        <stp>EUSWEF CMPN Curncy</stp>
        <stp>ask</stp>
        <stp>[Andrea New RollM.xlsm]Crv!R16C5</stp>
        <tr r="E16" s="1"/>
      </tp>
      <tp>
        <v>2.1539999999999999</v>
        <stp/>
        <stp>##V3_BDPV12</stp>
        <stp>ES00000128C6@CBBT Corp</stp>
        <stp>YAS_BOND_YLD</stp>
        <stp>[Andrea New RollM.xlsm]DB!R220C17</stp>
        <stp>SETTLE_DT=20161011</stp>
        <stp>YAS_BOND_PX=116.382</stp>
        <tr r="Q220" s="23"/>
      </tp>
      <tp>
        <v>6.7000000000000004E-2</v>
        <stp/>
        <stp>##V3_BDPV12</stp>
        <stp>ES00000127H7@CBBT Corp</stp>
        <stp>YAS_BOND_YLD</stp>
        <stp>[Andrea New RollM.xlsm]DB!R197C19</stp>
        <stp>SETTLE_DT=20160909</stp>
        <stp>YAS_BOND_PX=104.202</stp>
        <tr r="S197" s="23"/>
      </tp>
      <tp>
        <v>0.78100000000000003</v>
        <stp/>
        <stp>##V3_BDPV12</stp>
        <stp>ES00000124W3@CBBT Corp</stp>
        <stp>YAS_BOND_YLD</stp>
        <stp>[Andrea New RollM.xlsm]DB!R204C19</stp>
        <stp>SETTLE_DT=20160909</stp>
        <stp>YAS_BOND_PX=122.298</stp>
        <tr r="S204" s="23"/>
      </tp>
      <tp>
        <v>1.335</v>
        <stp/>
        <stp>##V3_BDPV12</stp>
        <stp>ES0000011868@CBBT Corp</stp>
        <stp>YAS_BOND_YLD</stp>
        <stp>[Andrea New RollM.xlsm]DB!R213C19</stp>
        <stp>SETTLE_DT=20160909</stp>
        <stp>YAS_BOND_PX=152.945</stp>
        <tr r="S213" s="23"/>
      </tp>
      <tp>
        <v>0.998</v>
        <stp/>
        <stp>##V3_BDPV12</stp>
        <stp>FR0010773192@CBBT Corp</stp>
        <stp>YAS_BOND_YLD</stp>
        <stp>[Andrea New RollM.xlsm]DB!R113C17</stp>
        <stp>SETTLE_DT=20161011</stp>
        <stp>YAS_BOND_PX=175.873</stp>
        <tr r="Q113" s="23"/>
      </tp>
      <tp>
        <v>1.833</v>
        <stp/>
        <stp>##V3_BDPV12</stp>
        <stp>IT0003535157@CBBT Corp</stp>
        <stp>YAS_BOND_YLD</stp>
        <stp>[Andrea New RollM.xlsm]DB!R105C19</stp>
        <stp>SETTLE_DT=20160909</stp>
        <stp>YAS_BOND_PX=148.292</stp>
        <tr r="S105" s="23"/>
      </tp>
      <tp>
        <v>-0.14899999999999999</v>
        <stp/>
        <stp>##V3_BDPV12</stp>
        <stp>ES0000012783@CBBT Corp</stp>
        <stp>YAS_BOND_YLD</stp>
        <stp>[Andrea New RollM.xlsm]DB!R185C19</stp>
        <stp>SETTLE_DT=20160909</stp>
        <stp>YAS_BOND_PX=105.022</stp>
        <tr r="S185" s="23"/>
      </tp>
      <tp>
        <v>-0.39350000000000002</v>
        <stp/>
        <stp>##V3_BDPV12</stp>
        <stp>EUSWE3 CMPN Curncy</stp>
        <stp>ask</stp>
        <stp>[Andrea New RollM.xlsm]Crv!R26C5</stp>
        <tr r="E26" s="1"/>
      </tp>
    </main>
    <main first="bloomberg.rtd">
      <tp>
        <v>100.958</v>
        <stp/>
        <stp>##V3_BDHV12</stp>
        <stp>DE0001104636@CBBT Corp</stp>
        <stp>OPEN</stp>
        <stp>11/10/2016 4:15:00 PM</stp>
        <stp>11/10/2016 5:15:00 PM</stp>
        <stp>[Andrea New RollM.xlsm]DB!R135C14</stp>
        <stp>BarSz=60</stp>
        <stp>BarTp=T</stp>
        <stp>RecurDaily=True</stp>
        <stp>TZ=London</stp>
        <stp>DTS=H</stp>
        <tr r="N135" s="23"/>
      </tp>
      <tp>
        <v>120.47</v>
        <stp/>
        <stp>##V3_BDHV12</stp>
        <stp>IT0005083057@CBBT Corp</stp>
        <stp>OPEN</stp>
        <stp>09/09/2016 4:15:00 PM</stp>
        <stp>09/09/2016 5:15:00 PM</stp>
        <stp>[Andrea New RollM.xlsm]DB!R116C16</stp>
        <stp>BarSz=60</stp>
        <stp>BarTp=T</stp>
        <stp>RecurDaily=True</stp>
        <stp>TZ=London</stp>
        <stp>DTS=H</stp>
        <tr r="P116" s="23"/>
      </tp>
      <tp>
        <v>100.29900000000001</v>
        <stp/>
        <stp>##V3_BDHV12</stp>
        <stp>DE0001137495@CBBT Corp</stp>
        <stp>OPEN</stp>
        <stp>11/10/2016 4:15:00 PM</stp>
        <stp>11/10/2016 5:15:00 PM</stp>
        <stp>[Andrea New RollM.xlsm]DB!R126C14</stp>
        <stp>BarSz=60</stp>
        <stp>BarTp=T</stp>
        <stp>RecurDaily=True</stp>
        <stp>TZ=London</stp>
        <stp>DTS=H</stp>
        <tr r="N126" s="23"/>
      </tp>
      <tp>
        <v>104.11799999999999</v>
        <stp/>
        <stp>##V3_BDHV12</stp>
        <stp>DE0001141687@CBBT Corp</stp>
        <stp>OPEN</stp>
        <stp>04/10/2016 4:15:00 PM</stp>
        <stp>04/10/2016 5:15:00 PM</stp>
        <stp>[Andrea New RollM.xlsm]DB!R142C15</stp>
        <stp>BarSz=60</stp>
        <stp>BarTp=T</stp>
        <stp>RecurDaily=True</stp>
        <stp>TZ=London</stp>
        <stp>DTS=H</stp>
        <tr r="O142" s="23"/>
      </tp>
    </main>
    <main first="marketviewexcelplugin.mkvxp">
      <tp t="s">
        <v>BTPS</v>
        <stp/>
        <stp>0</stp>
        <stp>EUR.CM_INSTRUMENT.PXE.IT0004532559</stp>
        <stp>Ticker</stp>
        <tr r="A69" s="7"/>
        <tr r="B112" s="23"/>
      </tp>
    </main>
    <main first="bloomberg.rtd">
      <tp>
        <v>102.831</v>
        <stp/>
        <stp>##V3_BDHV12</stp>
        <stp>DE0001141737@CBBT Corp</stp>
        <stp>OPEN</stp>
        <stp>04/10/2016 4:15:00 PM</stp>
        <stp>04/10/2016 5:15:00 PM</stp>
        <stp>[Andrea New RollM.xlsm]DB!R152C15</stp>
        <stp>BarSz=60</stp>
        <stp>BarTp=T</stp>
        <stp>RecurDaily=True</stp>
        <stp>TZ=London</stp>
        <stp>DTS=H</stp>
        <tr r="O152" s="23"/>
      </tp>
      <tp>
        <v>109.931</v>
        <stp/>
        <stp>##V3_BDHV12</stp>
        <stp>DE0001102366@CBBT Corp</stp>
        <stp>OPEN</stp>
        <stp>11/10/2016 4:15:00 PM</stp>
        <stp>11/10/2016 5:15:00 PM</stp>
        <stp>[Andrea New RollM.xlsm]DB!R165C14</stp>
        <stp>BarSz=60</stp>
        <stp>BarTp=T</stp>
        <stp>RecurDaily=True</stp>
        <stp>TZ=London</stp>
        <stp>DTS=H</stp>
        <tr r="N165" s="23"/>
      </tp>
      <tp>
        <v>116.224</v>
        <stp/>
        <stp>##V3_BDHV12</stp>
        <stp>DE0001102333@CBBT Corp</stp>
        <stp>OPEN</stp>
        <stp>04/10/2016 4:15:00 PM</stp>
        <stp>04/10/2016 5:15:00 PM</stp>
        <stp>[Andrea New RollM.xlsm]DB!R163C15</stp>
        <stp>BarSz=60</stp>
        <stp>BarTp=T</stp>
        <stp>RecurDaily=True</stp>
        <stp>TZ=London</stp>
        <stp>DTS=H</stp>
        <tr r="O163" s="23"/>
      </tp>
      <tp>
        <v>106.935</v>
        <stp/>
        <stp>##V3_BDHV12</stp>
        <stp>ES00000126Z1@CBBT Corp</stp>
        <stp>OPEN</stp>
        <stp>04/10/2016 4:15:00 PM</stp>
        <stp>04/10/2016 5:15:00 PM</stp>
        <stp>[Andrea New RollM.xlsm]DB!R206C15</stp>
        <stp>BarSz=60</stp>
        <stp>BarTp=T</stp>
        <stp>RecurDaily=True</stp>
        <stp>TZ=London</stp>
        <stp>DTS=H</stp>
        <tr r="O206" s="23"/>
      </tp>
      <tp>
        <v>160.941</v>
        <stp/>
        <stp>##V3_BDHV12</stp>
        <stp>FR0010371401@CBBT Corp</stp>
        <stp>OPEN</stp>
        <stp>11/10/2016 4:15:00 PM</stp>
        <stp>11/10/2016 5:15:00 PM</stp>
        <stp>[Andrea New RollM.xlsm]DB!R110C14</stp>
        <stp>BarSz=60</stp>
        <stp>BarTp=T</stp>
        <stp>RecurDaily=True</stp>
        <stp>TZ=London</stp>
        <stp>DTS=H</stp>
        <tr r="N110" s="23"/>
      </tp>
      <tp>
        <v>100.01</v>
        <stp/>
        <stp>##V3_BDHV12</stp>
        <stp>DE0001141612@CBBT Corp</stp>
        <stp>OPEN</stp>
        <stp>11/10/2016 4:15:00 PM</stp>
        <stp>11/10/2016 5:15:00 PM</stp>
        <stp>[Andrea New RollM.xlsm]DB!R123C14</stp>
        <stp>BarSz=60</stp>
        <stp>BarTp=T</stp>
        <stp>RecurDaily=True</stp>
        <stp>TZ=London</stp>
        <stp>DTS=H</stp>
        <tr r="N123" s="23"/>
      </tp>
    </main>
    <main first="marketviewexcelplugin.mkvxp">
      <tp t="s">
        <v>BTPS</v>
        <stp/>
        <stp>0</stp>
        <stp>EUR.CM_INSTRUMENT.PXE.IT0004992308</stp>
        <stp>Ticker</stp>
        <tr r="A21" s="7"/>
        <tr r="B34" s="23"/>
      </tp>
    </main>
    <main first="bloomberg.rtd">
      <tp>
        <v>162.09</v>
        <stp/>
        <stp>##V3_BDHV12</stp>
        <stp>ES0000012411@CBBT Corp</stp>
        <stp>OPEN</stp>
        <stp>04/10/2016 4:15:00 PM</stp>
        <stp>04/10/2016 5:15:00 PM</stp>
        <stp>[Andrea New RollM.xlsm]DB!R215C15</stp>
        <stp>BarSz=60</stp>
        <stp>BarTp=T</stp>
        <stp>RecurDaily=True</stp>
        <stp>TZ=London</stp>
        <stp>DTS=H</stp>
        <tr r="O215" s="23"/>
      </tp>
      <tp>
        <v>164.733</v>
        <stp/>
        <stp>##V3_BDHV12</stp>
        <stp>ES00000124H4@CBBT Corp</stp>
        <stp>OPEN</stp>
        <stp>11/10/2016 4:15:00 PM</stp>
        <stp>11/10/2016 5:15:00 PM</stp>
        <stp>[Andrea New RollM.xlsm]DB!R219C14</stp>
        <stp>BarSz=60</stp>
        <stp>BarTp=T</stp>
        <stp>RecurDaily=True</stp>
        <stp>TZ=London</stp>
        <stp>DTS=H</stp>
        <tr r="N219" s="23"/>
      </tp>
      <tp>
        <v>155.08600000000001</v>
        <stp/>
        <stp>##V3_BDHV12</stp>
        <stp>DE0001135085@CBBT Corp</stp>
        <stp>OPEN</stp>
        <stp>11/10/2016 4:15:00 PM</stp>
        <stp>11/10/2016 5:15:00 PM</stp>
        <stp>[Andrea New RollM.xlsm]DB!R172C14</stp>
        <stp>BarSz=60</stp>
        <stp>BarTp=T</stp>
        <stp>RecurDaily=True</stp>
        <stp>TZ=London</stp>
        <stp>DTS=H</stp>
        <tr r="N172" s="23"/>
      </tp>
      <tp>
        <v>169.072</v>
        <stp/>
        <stp>##V3_BDHV12</stp>
        <stp>DE0001135275@CBBT Corp</stp>
        <stp>OPEN</stp>
        <stp>11/10/2016 4:15:00 PM</stp>
        <stp>11/10/2016 5:15:00 PM</stp>
        <stp>[Andrea New RollM.xlsm]DB!R176C14</stp>
        <stp>BarSz=60</stp>
        <stp>BarTp=T</stp>
        <stp>RecurDaily=True</stp>
        <stp>TZ=London</stp>
        <stp>DTS=H</stp>
        <tr r="N176" s="23"/>
      </tp>
      <tp>
        <v>180.14400000000001</v>
        <stp/>
        <stp>##V3_BDHV12</stp>
        <stp>DE0001135325@CBBT Corp</stp>
        <stp>OPEN</stp>
        <stp>11/10/2016 4:15:00 PM</stp>
        <stp>11/10/2016 5:15:00 PM</stp>
        <stp>[Andrea New RollM.xlsm]DB!R177C14</stp>
        <stp>BarSz=60</stp>
        <stp>BarTp=T</stp>
        <stp>RecurDaily=True</stp>
        <stp>TZ=London</stp>
        <stp>DTS=H</stp>
        <tr r="N177" s="23"/>
      </tp>
    </main>
    <main first="marketviewexcelplugin.mkvxp">
      <tp t="s">
        <v>BTPS</v>
        <stp/>
        <stp>0</stp>
        <stp>EUR.CM_INSTRUMENT.PXE.IT0005172322</stp>
        <stp>Ticker</stp>
        <tr r="A43" s="7"/>
        <tr r="B70" s="23"/>
      </tp>
    </main>
    <main first="bloomberg.rtd">
      <tp>
        <v>113.057</v>
        <stp/>
        <stp>##V3_BDHV12</stp>
        <stp>DE0001135390@CBBT Corp</stp>
        <stp>OPEN</stp>
        <stp>04/10/2016 4:15:00 PM</stp>
        <stp>04/10/2016 5:15:00 PM</stp>
        <stp>[Andrea New RollM.xlsm]DB!R146C15</stp>
        <stp>BarSz=60</stp>
        <stp>BarTp=T</stp>
        <stp>RecurDaily=True</stp>
        <stp>TZ=London</stp>
        <stp>DTS=H</stp>
        <tr r="O146" s="23"/>
      </tp>
      <tp>
        <v>113.126</v>
        <stp/>
        <stp>##V3_BDHV12</stp>
        <stp>DE0001135465@CBBT Corp</stp>
        <stp>OPEN</stp>
        <stp>11/10/2016 4:15:00 PM</stp>
        <stp>11/10/2016 5:15:00 PM</stp>
        <stp>[Andrea New RollM.xlsm]DB!R156C14</stp>
        <stp>BarSz=60</stp>
        <stp>BarTp=T</stp>
        <stp>RecurDaily=True</stp>
        <stp>TZ=London</stp>
        <stp>DTS=H</stp>
        <tr r="N156" s="23"/>
      </tp>
      <tp>
        <v>118.753</v>
        <stp/>
        <stp>##V3_BDHV12</stp>
        <stp>DE0001135440@CBBT Corp</stp>
        <stp>OPEN</stp>
        <stp>04/10/2016 4:15:00 PM</stp>
        <stp>04/10/2016 5:15:00 PM</stp>
        <stp>[Andrea New RollM.xlsm]DB!R153C15</stp>
        <stp>BarSz=60</stp>
        <stp>BarTp=T</stp>
        <stp>RecurDaily=True</stp>
        <stp>TZ=London</stp>
        <stp>DTS=H</stp>
        <tr r="O153" s="23"/>
      </tp>
    </main>
    <main first="marketviewexcelplugin.mkvxp">
      <tp t="s">
        <v>BTPS</v>
        <stp/>
        <stp>0</stp>
        <stp>EUR.CM_INSTRUMENT.PXE.IT0005142143</stp>
        <stp>Ticker</stp>
        <tr r="A30" s="7"/>
        <tr r="B49" s="23"/>
        <tr r="B50" s="23"/>
      </tp>
      <tp t="s">
        <v>BTPS</v>
        <stp/>
        <stp>0</stp>
        <stp>EUR.CM_INSTRUMENT.PXE.IT0003242747</stp>
        <stp>Ticker</stp>
        <tr r="A9" s="7"/>
        <tr r="B14" s="23"/>
      </tp>
    </main>
    <main first="bloomberg.rtd">
      <tp>
        <v>101.36499999999999</v>
        <stp/>
        <stp>##V3_BDHV12</stp>
        <stp>ES00000124I2@CBBT Corp</stp>
        <stp>OPEN</stp>
        <stp>04/10/2016 4:15:00 PM</stp>
        <stp>04/10/2016 5:15:00 PM</stp>
        <stp>[Andrea New RollM.xlsm]DB!R184C15</stp>
        <stp>BarSz=60</stp>
        <stp>BarTp=T</stp>
        <stp>RecurDaily=True</stp>
        <stp>TZ=London</stp>
        <stp>DTS=H</stp>
        <tr r="O184" s="23"/>
      </tp>
      <tp>
        <v>100.325</v>
        <stp/>
        <stp>##V3_BDHV12</stp>
        <stp>ES00000123J2@CBBT Corp</stp>
        <stp>OPEN</stp>
        <stp>04/10/2016 4:15:00 PM</stp>
        <stp>04/10/2016 5:15:00 PM</stp>
        <stp>[Andrea New RollM.xlsm]DB!R182C15</stp>
        <stp>BarSz=60</stp>
        <stp>BarTp=T</stp>
        <stp>RecurDaily=True</stp>
        <stp>TZ=London</stp>
        <stp>DTS=H</stp>
        <tr r="O182" s="23"/>
      </tp>
      <tp>
        <v>106.18</v>
        <stp/>
        <stp>##V3_BDHV12</stp>
        <stp>ES00000123Q7@CBBT Corp</stp>
        <stp>OPEN</stp>
        <stp>11/10/2016 4:15:00 PM</stp>
        <stp>11/10/2016 5:15:00 PM</stp>
        <stp>[Andrea New RollM.xlsm]DB!R187C14</stp>
        <stp>BarSz=60</stp>
        <stp>BarTp=T</stp>
        <stp>RecurDaily=True</stp>
        <stp>TZ=London</stp>
        <stp>DTS=H</stp>
        <tr r="N187" s="23"/>
      </tp>
      <tp>
        <v>114.273</v>
        <stp/>
        <stp>##V3_BDHV12</stp>
        <stp>ES00000122D7@CBBT Corp</stp>
        <stp>OPEN</stp>
        <stp>11/10/2016 4:15:00 PM</stp>
        <stp>11/10/2016 5:15:00 PM</stp>
        <stp>[Andrea New RollM.xlsm]DB!R196C14</stp>
        <stp>BarSz=60</stp>
        <stp>BarTp=T</stp>
        <stp>RecurDaily=True</stp>
        <stp>TZ=London</stp>
        <stp>DTS=H</stp>
        <tr r="N196" s="23"/>
      </tp>
      <tp>
        <v>108.19499999999999</v>
        <stp/>
        <stp>##V3_BDHV12</stp>
        <stp>ES00000124B7@CBBT Corp</stp>
        <stp>OPEN</stp>
        <stp>11/10/2016 4:15:00 PM</stp>
        <stp>11/10/2016 5:15:00 PM</stp>
        <stp>[Andrea New RollM.xlsm]DB!R190C14</stp>
        <stp>BarSz=60</stp>
        <stp>BarTp=T</stp>
        <stp>RecurDaily=True</stp>
        <stp>TZ=London</stp>
        <stp>DTS=H</stp>
        <tr r="N190" s="23"/>
      </tp>
      <tp>
        <v>113.295</v>
        <stp/>
        <stp>##V3_BDHV12</stp>
        <stp>ES00000121L2@CBBT Corp</stp>
        <stp>OPEN</stp>
        <stp>04/10/2016 4:15:00 PM</stp>
        <stp>04/10/2016 5:15:00 PM</stp>
        <stp>[Andrea New RollM.xlsm]DB!R193C15</stp>
        <stp>BarSz=60</stp>
        <stp>BarTp=T</stp>
        <stp>RecurDaily=True</stp>
        <stp>TZ=London</stp>
        <stp>DTS=H</stp>
        <tr r="O193" s="23"/>
      </tp>
      <tp>
        <v>104.38</v>
        <stp/>
        <stp>##V3_BDHV12</stp>
        <stp>ES00000127H7@CBBT Corp</stp>
        <stp>OPEN</stp>
        <stp>11/10/2016 4:15:00 PM</stp>
        <stp>11/10/2016 5:15:00 PM</stp>
        <stp>[Andrea New RollM.xlsm]DB!R197C14</stp>
        <stp>BarSz=60</stp>
        <stp>BarTp=T</stp>
        <stp>RecurDaily=True</stp>
        <stp>TZ=London</stp>
        <stp>DTS=H</stp>
        <tr r="N197" s="23"/>
      </tp>
    </main>
    <main first="marketviewexcelplugin.mkvxp">
      <tp t="s">
        <v>BTPS</v>
        <stp/>
        <stp>0</stp>
        <stp>EUR.CM_INSTRUMENT.PXE.IT0005162828</stp>
        <stp>Ticker</stp>
        <tr r="A72" s="7"/>
        <tr r="B117" s="23"/>
      </tp>
    </main>
    <main first="bloomberg.rtd">
      <tp>
        <v>-0.113</v>
        <stp/>
        <stp>##V3_BDPV12</stp>
        <stp>ES00000121A5@CBBT Corp</stp>
        <stp>YAS_BOND_YLD</stp>
        <stp>[Andrea New RollM.xlsm]DB!R189C19</stp>
        <stp>SETTLE_DT=20160909</stp>
        <stp>YAS_BOND_PX=107.965</stp>
        <tr r="S189" s="23"/>
      </tp>
      <tp>
        <v>-0.34200000000000003</v>
        <stp/>
        <stp>##V3_BDPV12</stp>
        <stp>EUSWEE CMPN Curncy</stp>
        <stp>ask</stp>
        <stp>[Andrea New RollM.xlsm]Crv!R15C5</stp>
        <tr r="E15" s="1"/>
      </tp>
      <tp>
        <v>3.2000000000000001E-2</v>
        <stp/>
        <stp>##V3_BDPV12</stp>
        <stp>ES00000121O6@CBBT Corp</stp>
        <stp>YAS_BOND_YLD</stp>
        <stp>[Andrea New RollM.xlsm]DB!R194C19</stp>
        <stp>SETTLE_DT=20160909</stp>
        <stp>YAS_BOND_PX=113.402</stp>
        <tr r="S194" s="23"/>
      </tp>
      <tp>
        <v>0.79600000000000004</v>
        <stp/>
        <stp>##V3_BDPV12</stp>
        <stp>IE00BJ38CR43@CBBT Corp</stp>
        <stp>YAS_BOND_YLD</stp>
        <stp>[Andrea New RollM.xlsm]DB!R248C19</stp>
        <stp>SETTLE_DT=20160909</stp>
        <stp>YAS_BOND_PX=120.712</stp>
        <tr r="S248" s="23"/>
      </tp>
      <tp>
        <v>2.0070000000000001</v>
        <stp/>
        <stp>##V3_BDPV12</stp>
        <stp>IT0003535157@CBBT Corp</stp>
        <stp>YAS_BOND_YLD</stp>
        <stp>[Andrea New RollM.xlsm]DB!R105C17</stp>
        <stp>SETTLE_DT=20161011</stp>
        <stp>YAS_BOND_PX=144.803</stp>
        <tr r="Q105" s="23"/>
      </tp>
      <tp>
        <v>0.622</v>
        <stp/>
        <stp>##V3_BDPV12</stp>
        <stp>FR0012993103@CBBT Corp</stp>
        <stp>YAS_BOND_YLD</stp>
        <stp>[Andrea New RollM.xlsm]DB!R101C19</stp>
        <stp>SETTLE_DT=20160909</stp>
        <stp>YAS_BOND_PX=112.295</stp>
        <tr r="S101" s="23"/>
      </tp>
      <tp>
        <v>3.8369999999999997</v>
        <stp/>
        <stp>##V3_BDPV12</stp>
        <stp>PTOTE5OE0007@CBBT Corp</stp>
        <stp>YAS_BOND_YLD</stp>
        <stp>[Andrea New RollM.xlsm]DB!R235C19</stp>
        <stp>SETTLE_DT=20160909</stp>
        <stp>YAS_BOND_PX=103.682</stp>
        <tr r="S235" s="23"/>
      </tp>
      <tp>
        <v>124.452</v>
        <stp/>
        <stp>##V3_BDHV12</stp>
        <stp>IE00B6X95T99@CBBT Corp</stp>
        <stp>OPEN</stp>
        <stp>04/10/2016 4:15:00 PM</stp>
        <stp>04/10/2016 5:15:00 PM</stp>
        <stp>[Andrea New RollM.xlsm]DB!R245C15</stp>
        <stp>BarSz=60</stp>
        <stp>BarTp=T</stp>
        <stp>RecurDaily=True</stp>
        <stp>TZ=London</stp>
        <stp>DTS=H</stp>
        <tr r="O245" s="23"/>
      </tp>
    </main>
    <main first="bloomberg.rtd">
      <tp>
        <v>105.932</v>
        <stp/>
        <stp>##V3_BDHV12</stp>
        <stp>DE0001135341@CBBT Corp</stp>
        <stp>OPEN</stp>
        <stp>04/10/2016 4:15:00 PM</stp>
        <stp>04/10/2016 5:15:00 PM</stp>
        <stp>[Andrea New RollM.xlsm]DB!R133C15</stp>
        <stp>BarSz=60</stp>
        <stp>BarTp=T</stp>
        <stp>RecurDaily=True</stp>
        <stp>TZ=London</stp>
        <stp>DTS=H</stp>
        <tr r="O133" s="23"/>
      </tp>
      <tp>
        <v>100.494</v>
        <stp/>
        <stp>##V3_BDHV12</stp>
        <stp>DE0001104602@CBBT Corp</stp>
        <stp>OPEN</stp>
        <stp>04/10/2016 4:15:00 PM</stp>
        <stp>04/10/2016 5:15:00 PM</stp>
        <stp>[Andrea New RollM.xlsm]DB!R128C15</stp>
        <stp>BarSz=60</stp>
        <stp>BarTp=T</stp>
        <stp>RecurDaily=True</stp>
        <stp>TZ=London</stp>
        <stp>DTS=H</stp>
        <tr r="O128" s="23"/>
      </tp>
    </main>
    <main first="marketviewexcelplugin.mkvxp">
      <tp t="s">
        <v>BTPS</v>
        <stp/>
        <stp>0</stp>
        <stp>EUR.CM_INSTRUMENT.PXE.IT0004513641</stp>
        <stp>Ticker</stp>
        <tr r="A51" s="7"/>
        <tr r="B82" s="23"/>
      </tp>
    </main>
    <main first="bloomberg.rtd">
      <tp>
        <v>102.776</v>
        <stp/>
        <stp>##V3_BDHV12</stp>
        <stp>DE0001141703@CBBT Corp</stp>
        <stp>OPEN</stp>
        <stp>11/10/2016 4:15:00 PM</stp>
        <stp>11/10/2016 5:15:00 PM</stp>
        <stp>[Andrea New RollM.xlsm]DB!R145C14</stp>
        <stp>BarSz=60</stp>
        <stp>BarTp=T</stp>
        <stp>RecurDaily=True</stp>
        <stp>TZ=London</stp>
        <stp>DTS=H</stp>
        <tr r="N145" s="23"/>
      </tp>
    </main>
    <main first="marketviewexcelplugin.mkvxp">
      <tp t="s">
        <v>BTPS</v>
        <stp/>
        <stp>0</stp>
        <stp>EUR.CM_INSTRUMENT.PXE.IT0005023459</stp>
        <stp>Ticker</stp>
        <tr r="A7" s="7"/>
        <tr r="B12" s="23"/>
      </tp>
      <tp t="s">
        <v>BTPS</v>
        <stp/>
        <stp>0</stp>
        <stp>EUR.CM_INSTRUMENT.PXE.IT0003493258</stp>
        <stp>Ticker</stp>
        <tr r="A18" s="7"/>
        <tr r="B29" s="23"/>
      </tp>
    </main>
    <main first="bloomberg.rtd">
      <tp>
        <v>107.995</v>
        <stp/>
        <stp>##V3_BDHV12</stp>
        <stp>IT0005162828@CBBT Corp</stp>
        <stp>OPEN</stp>
        <stp>09/09/2016 4:15:00 PM</stp>
        <stp>09/09/2016 5:15:00 PM</stp>
        <stp>[Andrea New RollM.xlsm]DB!R117C16</stp>
        <stp>BarSz=60</stp>
        <stp>BarTp=T</stp>
        <stp>RecurDaily=True</stp>
        <stp>TZ=London</stp>
        <stp>DTS=H</stp>
        <tr r="P117" s="23"/>
      </tp>
      <tp>
        <v>112.613</v>
        <stp/>
        <stp>##V3_BDHV12</stp>
        <stp>DE0001102317@CBBT Corp</stp>
        <stp>OPEN</stp>
        <stp>11/10/2016 4:15:00 PM</stp>
        <stp>11/10/2016 5:15:00 PM</stp>
        <stp>[Andrea New RollM.xlsm]DB!R160C14</stp>
        <stp>BarSz=60</stp>
        <stp>BarTp=T</stp>
        <stp>RecurDaily=True</stp>
        <stp>TZ=London</stp>
        <stp>DTS=H</stp>
        <tr r="N160" s="23"/>
      </tp>
      <tp>
        <v>111.11499999999999</v>
        <stp/>
        <stp>##V3_BDHV12</stp>
        <stp>DE0001102382@CBBT Corp</stp>
        <stp>OPEN</stp>
        <stp>04/10/2016 4:15:00 PM</stp>
        <stp>04/10/2016 5:15:00 PM</stp>
        <stp>[Andrea New RollM.xlsm]DB!R167C15</stp>
        <stp>BarSz=60</stp>
        <stp>BarTp=T</stp>
        <stp>RecurDaily=True</stp>
        <stp>TZ=London</stp>
        <stp>DTS=H</stp>
        <tr r="O167" s="23"/>
      </tp>
    </main>
    <main first="marketviewexcelplugin.mkvxp">
      <tp t="s">
        <v>BTPS</v>
        <stp/>
        <stp>0</stp>
        <stp>EUR.CM_INSTRUMENT.PXE.IT0004793474</stp>
        <stp>Ticker</stp>
        <tr r="A6" s="7"/>
        <tr r="B11" s="23"/>
      </tp>
      <tp t="s">
        <v>BTPS</v>
        <stp/>
        <stp>0</stp>
        <stp>EUR.CM_INSTRUMENT.PXE.IT0004953417</stp>
        <stp>Ticker</stp>
        <tr r="A48" s="7"/>
        <tr r="B77" s="23"/>
      </tp>
      <tp t="s">
        <v>BTPS</v>
        <stp/>
        <stp>0</stp>
        <stp>EUR.CM_INSTRUMENT.PXE.IT0004273493</stp>
        <stp>Ticker</stp>
        <tr r="A12" s="7"/>
        <tr r="B18" s="23"/>
      </tp>
    </main>
    <main first="bloomberg.rtd">
      <tp>
        <v>131.58000000000001</v>
        <stp/>
        <stp>##V3_BDHV12</stp>
        <stp>ES00000122E5@CBBT Corp</stp>
        <stp>OPEN</stp>
        <stp>11/10/2016 4:15:00 PM</stp>
        <stp>11/10/2016 5:15:00 PM</stp>
        <stp>[Andrea New RollM.xlsm]DB!R207C14</stp>
        <stp>BarSz=60</stp>
        <stp>BarTp=T</stp>
        <stp>RecurDaily=True</stp>
        <stp>TZ=London</stp>
        <stp>DTS=H</stp>
        <tr r="N207" s="23"/>
      </tp>
      <tp>
        <v>187.22900000000001</v>
        <stp/>
        <stp>##V3_BDHV12</stp>
        <stp>FR0010171975@CBBT Corp</stp>
        <stp>OPEN</stp>
        <stp>04/10/2016 4:15:00 PM</stp>
        <stp>04/10/2016 5:15:00 PM</stp>
        <stp>[Andrea New RollM.xlsm]DB!R119C15</stp>
        <stp>BarSz=60</stp>
        <stp>BarTp=T</stp>
        <stp>RecurDaily=True</stp>
        <stp>TZ=London</stp>
        <stp>DTS=H</stp>
        <tr r="O119" s="23"/>
      </tp>
      <tp>
        <v>168.42500000000001</v>
        <stp/>
        <stp>##V3_BDHV12</stp>
        <stp>FR0010070060@CBBT Corp</stp>
        <stp>OPEN</stp>
        <stp>11/10/2016 4:15:00 PM</stp>
        <stp>11/10/2016 5:15:00 PM</stp>
        <stp>[Andrea New RollM.xlsm]DB!R106C14</stp>
        <stp>BarSz=60</stp>
        <stp>BarTp=T</stp>
        <stp>RecurDaily=True</stp>
        <stp>TZ=London</stp>
        <stp>DTS=H</stp>
        <tr r="N106" s="23"/>
      </tp>
      <tp>
        <v>130.262</v>
        <stp/>
        <stp>##V3_BDHV12</stp>
        <stp>ES00000123K0@CBBT Corp</stp>
        <stp>OPEN</stp>
        <stp>04/10/2016 4:15:00 PM</stp>
        <stp>04/10/2016 5:15:00 PM</stp>
        <stp>[Andrea New RollM.xlsm]DB!R200C15</stp>
        <stp>BarSz=60</stp>
        <stp>BarTp=T</stp>
        <stp>RecurDaily=True</stp>
        <stp>TZ=London</stp>
        <stp>DTS=H</stp>
        <tr r="O200" s="23"/>
      </tp>
      <tp>
        <v>143.36500000000001</v>
        <stp/>
        <stp>##V3_BDHV12</stp>
        <stp>ES00000124C5@CBBT Corp</stp>
        <stp>OPEN</stp>
        <stp>11/10/2016 4:15:00 PM</stp>
        <stp>11/10/2016 5:15:00 PM</stp>
        <stp>[Andrea New RollM.xlsm]DB!R212C14</stp>
        <stp>BarSz=60</stp>
        <stp>BarTp=T</stp>
        <stp>RecurDaily=True</stp>
        <stp>TZ=London</stp>
        <stp>DTS=H</stp>
        <tr r="N212" s="23"/>
      </tp>
      <tp>
        <v>158.52199999999999</v>
        <stp/>
        <stp>##V3_BDHV12</stp>
        <stp>ES00000120N0@CBBT Corp</stp>
        <stp>OPEN</stp>
        <stp>04/10/2016 4:15:00 PM</stp>
        <stp>04/10/2016 5:15:00 PM</stp>
        <stp>[Andrea New RollM.xlsm]DB!R217C15</stp>
        <stp>BarSz=60</stp>
        <stp>BarTp=T</stp>
        <stp>RecurDaily=True</stp>
        <stp>TZ=London</stp>
        <stp>DTS=H</stp>
        <tr r="O217" s="23"/>
      </tp>
      <tp>
        <v>102.003</v>
        <stp/>
        <stp>##V3_BDHV12</stp>
        <stp>ES00000128H5@CBBT Corp</stp>
        <stp>OPEN</stp>
        <stp>11/10/2016 4:15:00 PM</stp>
        <stp>11/10/2016 5:15:00 PM</stp>
        <stp>[Andrea New RollM.xlsm]DB!R211C14</stp>
        <stp>BarSz=60</stp>
        <stp>BarTp=T</stp>
        <stp>RecurDaily=True</stp>
        <stp>TZ=London</stp>
        <stp>DTS=H</stp>
        <tr r="N211" s="23"/>
      </tp>
      <tp>
        <v>101.23099999999999</v>
        <stp/>
        <stp>##V3_BDHV12</stp>
        <stp>DE0001141646@CBBT Corp</stp>
        <stp>OPEN</stp>
        <stp>04/10/2016 4:15:00 PM</stp>
        <stp>04/10/2016 5:15:00 PM</stp>
        <stp>[Andrea New RollM.xlsm]DB!R131C15</stp>
        <stp>BarSz=60</stp>
        <stp>BarTp=T</stp>
        <stp>RecurDaily=True</stp>
        <stp>TZ=London</stp>
        <stp>DTS=H</stp>
        <tr r="O131" s="23"/>
      </tp>
      <tp>
        <v>101.62</v>
        <stp/>
        <stp>##V3_BDHV12</stp>
        <stp>DE0001141653@CBBT Corp</stp>
        <stp>OPEN</stp>
        <stp>11/10/2016 4:15:00 PM</stp>
        <stp>11/10/2016 5:15:00 PM</stp>
        <stp>[Andrea New RollM.xlsm]DB!R134C14</stp>
        <stp>BarSz=60</stp>
        <stp>BarTp=T</stp>
        <stp>RecurDaily=True</stp>
        <stp>TZ=London</stp>
        <stp>DTS=H</stp>
        <tr r="N134" s="23"/>
      </tp>
      <tp>
        <v>170.02600000000001</v>
        <stp/>
        <stp>##V3_BDHV12</stp>
        <stp>DE0001135044@CBBT Corp</stp>
        <stp>OPEN</stp>
        <stp>11/10/2016 4:15:00 PM</stp>
        <stp>11/10/2016 5:15:00 PM</stp>
        <stp>[Andrea New RollM.xlsm]DB!R170C14</stp>
        <stp>BarSz=60</stp>
        <stp>BarTp=T</stp>
        <stp>RecurDaily=True</stp>
        <stp>TZ=London</stp>
        <stp>DTS=H</stp>
        <tr r="N170" s="23"/>
      </tp>
      <tp>
        <v>109.974</v>
        <stp/>
        <stp>##V3_BDHV12</stp>
        <stp>DE0001135374@CBBT Corp</stp>
        <stp>OPEN</stp>
        <stp>11/10/2016 4:15:00 PM</stp>
        <stp>11/10/2016 5:15:00 PM</stp>
        <stp>[Andrea New RollM.xlsm]DB!R141C14</stp>
        <stp>BarSz=60</stp>
        <stp>BarTp=T</stp>
        <stp>RecurDaily=True</stp>
        <stp>TZ=London</stp>
        <stp>DTS=H</stp>
        <tr r="N141" s="23"/>
      </tp>
    </main>
    <main first="marketviewexcelplugin.mkvxp">
      <tp t="s">
        <v>BTPS</v>
        <stp/>
        <stp>0</stp>
        <stp>EUR.CM_INSTRUMENT.PXE.IT0005083057</stp>
        <stp>Ticker</stp>
        <tr r="A71" s="7"/>
        <tr r="B116" s="23"/>
      </tp>
    </main>
    <main first="bloomberg.rtd">
      <tp>
        <v>125.363</v>
        <stp/>
        <stp>##V3_BDHV12</stp>
        <stp>IE00B4S3JD47@CBBT Corp</stp>
        <stp>OPEN</stp>
        <stp>11/10/2016 4:15:00 PM</stp>
        <stp>11/10/2016 5:15:00 PM</stp>
        <stp>[Andrea New RollM.xlsm]DB!R244C14</stp>
        <stp>BarSz=60</stp>
        <stp>BarTp=T</stp>
        <stp>RecurDaily=True</stp>
        <stp>TZ=London</stp>
        <stp>DTS=H</stp>
        <tr r="N244" s="23"/>
      </tp>
      <tp>
        <v>152.66800000000001</v>
        <stp/>
        <stp>##V3_BDHV12</stp>
        <stp>IT0004286966@CBBT Corp</stp>
        <stp>OPEN</stp>
        <stp>09/09/2016 4:15:00 PM</stp>
        <stp>09/09/2016 5:15:00 PM</stp>
        <stp>[Andrea New RollM.xlsm]DB!R111C16</stp>
        <stp>BarSz=60</stp>
        <stp>BarTp=T</stp>
        <stp>RecurDaily=True</stp>
        <stp>TZ=London</stp>
        <stp>DTS=H</stp>
        <tr r="P111" s="23"/>
      </tp>
      <tp>
        <v>105.375</v>
        <stp/>
        <stp>##V3_BDHV12</stp>
        <stp>IT0005177909@CBBT Corp</stp>
        <stp>OPEN</stp>
        <stp>09/09/2016 4:15:00 PM</stp>
        <stp>09/09/2016 5:15:00 PM</stp>
        <stp>[Andrea New RollM.xlsm]DB!R108C16</stp>
        <stp>BarSz=60</stp>
        <stp>BarTp=T</stp>
        <stp>RecurDaily=True</stp>
        <stp>TZ=London</stp>
        <stp>DTS=H</stp>
        <tr r="P108" s="23"/>
      </tp>
      <tp>
        <v>113.239</v>
        <stp/>
        <stp>##V3_BDHV12</stp>
        <stp>DE0001135424@CBBT Corp</stp>
        <stp>OPEN</stp>
        <stp>11/10/2016 4:15:00 PM</stp>
        <stp>11/10/2016 5:15:00 PM</stp>
        <stp>[Andrea New RollM.xlsm]DB!R151C14</stp>
        <stp>BarSz=60</stp>
        <stp>BarTp=T</stp>
        <stp>RecurDaily=True</stp>
        <stp>TZ=London</stp>
        <stp>DTS=H</stp>
        <tr r="N151" s="23"/>
      </tp>
      <tp>
        <v>153.02500000000001</v>
        <stp/>
        <stp>##V3_BDHV12</stp>
        <stp>DE0001135481@CBBT Corp</stp>
        <stp>OPEN</stp>
        <stp>04/10/2016 4:15:00 PM</stp>
        <stp>04/10/2016 5:15:00 PM</stp>
        <stp>[Andrea New RollM.xlsm]DB!R180C15</stp>
        <stp>BarSz=60</stp>
        <stp>BarTp=T</stp>
        <stp>RecurDaily=True</stp>
        <stp>TZ=London</stp>
        <stp>DTS=H</stp>
        <tr r="O180" s="23"/>
      </tp>
      <tp t="b">
        <v>0</v>
        <stp/>
        <stp>##V3_BCURVEINTV12</stp>
        <stp>[Andrea New RollM.xlsm]SPF!R23C9</stp>
        <stp>EUR.OIS:BLOOMBERG DC 272086</stp>
        <stp>Par.Mid</stp>
        <stp>20260414</stp>
        <stp>Frequency=Annual</stp>
        <stp>DayCount=D30_360_EOMC</stp>
        <tr r="I23" s="4"/>
      </tp>
      <tp t="b">
        <v>0</v>
        <stp/>
        <stp>##V3_BCURVEINTV12</stp>
        <stp>[Andrea New RollM.xlsm]SPF!R13C9</stp>
        <stp>EUR.OIS:BLOOMBERG DC 272086</stp>
        <stp>Par.Mid</stp>
        <stp>20210414</stp>
        <stp>Frequency=Annual</stp>
        <stp>DayCount=D30_360_EOMC</stp>
        <tr r="I13" s="4"/>
      </tp>
      <tp t="b">
        <v>0</v>
        <stp/>
        <stp>##V3_BCURVEINTV12</stp>
        <stp>[Andrea New RollM.xlsm]SPF!R33C9</stp>
        <stp>EUR.OIS:BLOOMBERG DC 272086</stp>
        <stp>Par.Mid</stp>
        <stp>20310415</stp>
        <stp>Frequency=Annual</stp>
        <stp>DayCount=D30_360_EOMC</stp>
        <tr r="I33" s="4"/>
      </tp>
      <tp t="b">
        <v>0</v>
        <stp/>
        <stp>##V3_BCURVEINTV12</stp>
        <stp>[Andrea New RollM.xlsm]SPF!R43C9</stp>
        <stp>EUR.OIS:BLOOMBERG DC 272086</stp>
        <stp>Par.Mid</stp>
        <stp>20360415</stp>
        <stp>Frequency=Annual</stp>
        <stp>DayCount=D30_360_EOMC</stp>
        <tr r="I43" s="4"/>
      </tp>
      <tp t="b">
        <v>0</v>
        <stp/>
        <stp>##V3_BCURVEINTV12</stp>
        <stp>[Andrea New RollM.xlsm]SPF!R53C9</stp>
        <stp>EUR.OIS:BLOOMBERG DC 272086</stp>
        <stp>Par.Mid</stp>
        <stp>20410415</stp>
        <stp>Frequency=Annual</stp>
        <stp>DayCount=D30_360_EOMC</stp>
        <tr r="I53" s="4"/>
      </tp>
      <tp t="b">
        <v>0</v>
        <stp/>
        <stp>##V3_BCURVEINTV12</stp>
        <stp>[Andrea New RollM.xlsm]SPF!R63C9</stp>
        <stp>EUR.OIS:BLOOMBERG DC 272086</stp>
        <stp>Par.Mid</stp>
        <stp>20460416</stp>
        <stp>Frequency=Annual</stp>
        <stp>DayCount=D30_360_EOMC</stp>
        <tr r="I63" s="4"/>
      </tp>
      <tp>
        <v>104.738</v>
        <stp/>
        <stp>##V3_BDHV12</stp>
        <stp>ES0000012783@CBBT Corp</stp>
        <stp>OPEN</stp>
        <stp>04/10/2016 4:15:00 PM</stp>
        <stp>04/10/2016 5:15:00 PM</stp>
        <stp>[Andrea New RollM.xlsm]DB!R185C15</stp>
        <stp>BarSz=60</stp>
        <stp>BarTp=T</stp>
        <stp>RecurDaily=True</stp>
        <stp>TZ=London</stp>
        <stp>DTS=H</stp>
        <tr r="O185" s="23"/>
      </tp>
      <tp>
        <v>100.75</v>
        <stp/>
        <stp>##V3_BDHV12</stp>
        <stp>ES00000127D6@CBBT Corp</stp>
        <stp>OPEN</stp>
        <stp>11/10/2016 4:15:00 PM</stp>
        <stp>11/10/2016 5:15:00 PM</stp>
        <stp>[Andrea New RollM.xlsm]DB!R188C14</stp>
        <stp>BarSz=60</stp>
        <stp>BarTp=T</stp>
        <stp>RecurDaily=True</stp>
        <stp>TZ=London</stp>
        <stp>DTS=H</stp>
        <tr r="N188" s="23"/>
      </tp>
      <tp>
        <v>113.33</v>
        <stp/>
        <stp>##V3_BDHV12</stp>
        <stp>ES00000121O6@CBBT Corp</stp>
        <stp>OPEN</stp>
        <stp>11/10/2016 4:15:00 PM</stp>
        <stp>11/10/2016 5:15:00 PM</stp>
        <stp>[Andrea New RollM.xlsm]DB!R194C14</stp>
        <stp>BarSz=60</stp>
        <stp>BarTp=T</stp>
        <stp>RecurDaily=True</stp>
        <stp>TZ=London</stp>
        <stp>DTS=H</stp>
        <tr r="N194" s="23"/>
      </tp>
      <tp>
        <v>119.82</v>
        <stp/>
        <stp>##V3_BDHV12</stp>
        <stp>ES00000122T3@CBBT Corp</stp>
        <stp>OPEN</stp>
        <stp>04/10/2016 4:15:00 PM</stp>
        <stp>04/10/2016 5:15:00 PM</stp>
        <stp>[Andrea New RollM.xlsm]DB!R198C15</stp>
        <stp>BarSz=60</stp>
        <stp>BarTp=T</stp>
        <stp>RecurDaily=True</stp>
        <stp>TZ=London</stp>
        <stp>DTS=H</stp>
        <tr r="O198" s="23"/>
      </tp>
    </main>
    <main first="marketviewexcelplugin.mkvxp">
      <tp t="s">
        <v>BTPS</v>
        <stp/>
        <stp>0</stp>
        <stp>EUR.CM_INSTRUMENT.PXE.IT0004923998</stp>
        <stp>Ticker</stp>
        <tr r="A70" s="7"/>
        <tr r="B114" s="23"/>
      </tp>
      <tp t="s">
        <v>BTPS</v>
        <stp/>
        <stp>0</stp>
        <stp>EUR.CM_INSTRUMENT.PXE.IT0004423957</stp>
        <stp>Ticker</stp>
        <tr r="A19" s="7"/>
        <tr r="B31" s="23"/>
      </tp>
    </main>
    <main first="bloomberg.rtd">
      <tp t="b">
        <v>0</v>
        <stp/>
        <stp>##V3_BCURVEINTV12</stp>
        <stp>[Andrea New RollM.xlsm]SPF!R22C9</stp>
        <stp>EUR.OIS:BLOOMBERG DC 272086</stp>
        <stp>Par.Mid</stp>
        <stp>20251014</stp>
        <stp>Frequency=Annual</stp>
        <stp>DayCount=D30_360_EOMC</stp>
        <tr r="I22" s="4"/>
      </tp>
      <tp t="b">
        <v>0</v>
        <stp/>
        <stp>##V3_BCURVEINTV12</stp>
        <stp>[Andrea New RollM.xlsm]SPF!R12C9</stp>
        <stp>EUR.OIS:BLOOMBERG DC 272086</stp>
        <stp>Par.Mid</stp>
        <stp>20201014</stp>
        <stp>Frequency=Annual</stp>
        <stp>DayCount=D30_360_EOMC</stp>
        <tr r="I12" s="4"/>
      </tp>
      <tp t="b">
        <v>0</v>
        <stp/>
        <stp>##V3_BCURVEINTV12</stp>
        <stp>[Andrea New RollM.xlsm]SPF!R32C9</stp>
        <stp>EUR.OIS:BLOOMBERG DC 272086</stp>
        <stp>Par.Mid</stp>
        <stp>20301014</stp>
        <stp>Frequency=Annual</stp>
        <stp>DayCount=D30_360_EOMC</stp>
        <tr r="I32" s="4"/>
      </tp>
      <tp t="b">
        <v>0</v>
        <stp/>
        <stp>##V3_BCURVEINTV12</stp>
        <stp>[Andrea New RollM.xlsm]SPF!R42C9</stp>
        <stp>EUR.OIS:BLOOMBERG DC 272086</stp>
        <stp>Par.Mid</stp>
        <stp>20351015</stp>
        <stp>Frequency=Annual</stp>
        <stp>DayCount=D30_360_EOMC</stp>
        <tr r="I42" s="4"/>
      </tp>
      <tp t="b">
        <v>0</v>
        <stp/>
        <stp>##V3_BCURVEINTV12</stp>
        <stp>[Andrea New RollM.xlsm]SPF!R52C9</stp>
        <stp>EUR.OIS:BLOOMBERG DC 272086</stp>
        <stp>Par.Mid</stp>
        <stp>20401015</stp>
        <stp>Frequency=Annual</stp>
        <stp>DayCount=D30_360_EOMC</stp>
        <tr r="I52" s="4"/>
      </tp>
      <tp t="b">
        <v>0</v>
        <stp/>
        <stp>##V3_BCURVEINTV12</stp>
        <stp>[Andrea New RollM.xlsm]SPF!R62C9</stp>
        <stp>EUR.OIS:BLOOMBERG DC 272086</stp>
        <stp>Par.Mid</stp>
        <stp>20451016</stp>
        <stp>Frequency=Annual</stp>
        <stp>DayCount=D30_360_EOMC</stp>
        <tr r="I62" s="4"/>
      </tp>
      <tp>
        <v>-0.33700000000000002</v>
        <stp/>
        <stp>##V3_BDPV12</stp>
        <stp>EUSWED CMPN Curncy</stp>
        <stp>ask</stp>
        <stp>[Andrea New RollM.xlsm]Crv!R14C5</stp>
        <tr r="E14" s="1"/>
      </tp>
      <tp>
        <v>1.0880000000000001</v>
        <stp/>
        <stp>##V3_BDPV12</stp>
        <stp>ES00000128H5@CBBT Corp</stp>
        <stp>YAS_BOND_YLD</stp>
        <stp>[Andrea New RollM.xlsm]DB!R211C17</stp>
        <stp>SETTLE_DT=20161011</stp>
        <stp>YAS_BOND_PX=102.003</stp>
        <tr r="Q211" s="23"/>
      </tp>
      <tp>
        <v>1.2E-2</v>
        <stp/>
        <stp>##V3_BDPV12</stp>
        <stp>ES00000121L2@CBBT Corp</stp>
        <stp>YAS_BOND_YLD</stp>
        <stp>[Andrea New RollM.xlsm]DB!R193C19</stp>
        <stp>SETTLE_DT=20160909</stp>
        <stp>YAS_BOND_PX=113.247</stp>
        <tr r="S193" s="23"/>
      </tp>
      <tp>
        <v>-0.1</v>
        <stp/>
        <stp>##V3_BDPV12</stp>
        <stp>ES00000123Q7@CBBT Corp</stp>
        <stp>YAS_BOND_YLD</stp>
        <stp>[Andrea New RollM.xlsm]DB!R187C19</stp>
        <stp>SETTLE_DT=20160909</stp>
        <stp>YAS_BOND_PX=106.418</stp>
        <tr r="S187" s="23"/>
      </tp>
      <tp>
        <v>0.67300000000000004</v>
        <stp/>
        <stp>##V3_BDPV12</stp>
        <stp>ES00000124W3@CBBT Corp</stp>
        <stp>YAS_BOND_YLD</stp>
        <stp>[Andrea New RollM.xlsm]DB!R204C17</stp>
        <stp>SETTLE_DT=20161011</stp>
        <stp>YAS_BOND_PX=122.945</stp>
        <tr r="Q204" s="23"/>
      </tp>
      <tp>
        <v>2.0209999999999999</v>
        <stp/>
        <stp>##V3_BDPV12</stp>
        <stp>ES00000121S7@CBBT Corp</stp>
        <stp>YAS_BOND_YLD</stp>
        <stp>[Andrea New RollM.xlsm]DB!R218C19</stp>
        <stp>SETTLE_DT=20160909</stp>
        <stp>YAS_BOND_PX=151.997</stp>
        <tr r="S218" s="23"/>
      </tp>
      <tp>
        <v>0.39</v>
        <stp/>
        <stp>##V3_BDPV12</stp>
        <stp>IT0004695075@CBBT Corp</stp>
        <stp>YAS_BOND_YLD</stp>
        <stp>[Andrea New RollM.xlsm]DB!R59C17</stp>
        <stp>SETTLE_DT=20161011</stp>
        <stp>YAS_BOND_PX=121.1</stp>
        <tr r="Q59" s="23"/>
      </tp>
      <tp>
        <v>0.26500000000000001</v>
        <stp/>
        <stp>##V3_BDPV12</stp>
        <stp>IT0004634132@CBBT Corp</stp>
        <stp>YAS_BOND_YLD</stp>
        <stp>[Andrea New RollM.xlsm]DB!R52C17</stp>
        <stp>SETTLE_DT=20161011</stp>
        <stp>YAS_BOND_PX=115.2</stp>
        <tr r="Q52" s="23"/>
      </tp>
      <tp>
        <v>1.9340000000000002</v>
        <stp/>
        <stp>##V3_BDPV12</stp>
        <stp>IT0005177909@CBBT Corp</stp>
        <stp>YAS_BOND_YLD</stp>
        <stp>[Andrea New RollM.xlsm]DB!R108C19</stp>
        <stp>SETTLE_DT=20160909</stp>
        <stp>YAS_BOND_PX=105.375</stp>
        <tr r="S108" s="23"/>
      </tp>
      <tp>
        <v>1.43</v>
        <stp/>
        <stp>##V3_BDPV12</stp>
        <stp>FR0013154028@CBBT Corp</stp>
        <stp>YAS_BOND_YLD</stp>
        <stp>[Andrea New RollM.xlsm]DB!R121C19</stp>
        <stp>SETTLE_DT=20160909</stp>
        <stp>YAS_BOND_PX=111.317</stp>
        <tr r="S121" s="23"/>
      </tp>
      <tp>
        <v>0.77400000000000002</v>
        <stp/>
        <stp>##V3_BDPV12</stp>
        <stp>FR0010070060@CBBT Corp</stp>
        <stp>YAS_BOND_YLD</stp>
        <stp>[Andrea New RollM.xlsm]DB!R106C19</stp>
        <stp>SETTLE_DT=20160909</stp>
        <stp>YAS_BOND_PX=168.702</stp>
        <tr r="S106" s="23"/>
      </tp>
      <tp>
        <v>1.887</v>
        <stp/>
        <stp>##V3_BDPV12</stp>
        <stp>IT0003256820@CBBT Corp</stp>
        <stp>YAS_BOND_YLD</stp>
        <stp>[Andrea New RollM.xlsm]DB!R104C17</stp>
        <stp>SETTLE_DT=20161011</stp>
        <stp>YAS_BOND_PX=154.155</stp>
        <tr r="Q104" s="23"/>
      </tp>
      <tp>
        <v>0.255</v>
        <stp/>
        <stp>##V3_BDPV12</stp>
        <stp>PTOTE6OE0006@CBBT Corp</stp>
        <stp>YAS_BOND_YLD</stp>
        <stp>[Andrea New RollM.xlsm]DB!R222C19</stp>
        <stp>SETTLE_DT=20160909</stp>
        <stp>YAS_BOND_PX=100.387</stp>
        <tr r="S222" s="23"/>
      </tp>
      <tp>
        <v>-0.39900000000000002</v>
        <stp/>
        <stp>##V3_BDPV12</stp>
        <stp>EUSWE2 CMPN Curncy</stp>
        <stp>ask</stp>
        <stp>[Andrea New RollM.xlsm]Crv!R24C5</stp>
        <tr r="E24" s="1"/>
      </tp>
      <tp>
        <v>119.56</v>
        <stp/>
        <stp>##V3_BDHV12</stp>
        <stp>IE00B6089D15@CBBT Corp</stp>
        <stp>OPEN</stp>
        <stp>09/09/2016 4:15:00 PM</stp>
        <stp>09/09/2016 5:15:00 PM</stp>
        <stp>[Andrea New RollM.xlsm]DB!R240C16</stp>
        <stp>BarSz=60</stp>
        <stp>BarTp=T</stp>
        <stp>RecurDaily=True</stp>
        <stp>TZ=London</stp>
        <stp>DTS=H</stp>
        <tr r="P240" s="2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volatileDependencies" Target="volatileDependenci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4581577131011257E-2"/>
          <c:y val="0.17639443483703027"/>
          <c:w val="0.72391536020874203"/>
          <c:h val="0.68192589575337625"/>
        </c:manualLayout>
      </c:layout>
      <c:lineChart>
        <c:grouping val="standard"/>
        <c:varyColors val="0"/>
        <c:ser>
          <c:idx val="0"/>
          <c:order val="0"/>
          <c:tx>
            <c:strRef>
              <c:f>Crv!$C$2</c:f>
              <c:strCache>
                <c:ptCount val="1"/>
                <c:pt idx="0">
                  <c:v>EUR.OIS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strRef>
              <c:f>Crv!$A$8:$A$42</c:f>
              <c:strCache>
                <c:ptCount val="35"/>
                <c:pt idx="0">
                  <c:v>1 D</c:v>
                </c:pt>
                <c:pt idx="1">
                  <c:v>1 W</c:v>
                </c:pt>
                <c:pt idx="2">
                  <c:v>2 W</c:v>
                </c:pt>
                <c:pt idx="3">
                  <c:v>1 M</c:v>
                </c:pt>
                <c:pt idx="4">
                  <c:v>2 M</c:v>
                </c:pt>
                <c:pt idx="5">
                  <c:v>3 M</c:v>
                </c:pt>
                <c:pt idx="6">
                  <c:v>4 M</c:v>
                </c:pt>
                <c:pt idx="7">
                  <c:v>5 M</c:v>
                </c:pt>
                <c:pt idx="8">
                  <c:v>6 M</c:v>
                </c:pt>
                <c:pt idx="9">
                  <c:v>7 M</c:v>
                </c:pt>
                <c:pt idx="10">
                  <c:v>8 M</c:v>
                </c:pt>
                <c:pt idx="11">
                  <c:v>9 M</c:v>
                </c:pt>
                <c:pt idx="12">
                  <c:v>10 M</c:v>
                </c:pt>
                <c:pt idx="13">
                  <c:v>11 M</c:v>
                </c:pt>
                <c:pt idx="14">
                  <c:v>12 M</c:v>
                </c:pt>
                <c:pt idx="15">
                  <c:v>18 M</c:v>
                </c:pt>
                <c:pt idx="16">
                  <c:v>2 Y</c:v>
                </c:pt>
                <c:pt idx="17">
                  <c:v>30 M</c:v>
                </c:pt>
                <c:pt idx="18">
                  <c:v>3 Y</c:v>
                </c:pt>
                <c:pt idx="19">
                  <c:v>4 Y</c:v>
                </c:pt>
                <c:pt idx="20">
                  <c:v>5 Y</c:v>
                </c:pt>
                <c:pt idx="21">
                  <c:v>6 Y</c:v>
                </c:pt>
                <c:pt idx="22">
                  <c:v>7 Y</c:v>
                </c:pt>
                <c:pt idx="23">
                  <c:v>8 Y</c:v>
                </c:pt>
                <c:pt idx="24">
                  <c:v>9 Y</c:v>
                </c:pt>
                <c:pt idx="25">
                  <c:v>10 Y</c:v>
                </c:pt>
                <c:pt idx="26">
                  <c:v>11 Y</c:v>
                </c:pt>
                <c:pt idx="27">
                  <c:v>12 Y</c:v>
                </c:pt>
                <c:pt idx="28">
                  <c:v>15 Y</c:v>
                </c:pt>
                <c:pt idx="29">
                  <c:v>20 Y</c:v>
                </c:pt>
                <c:pt idx="30">
                  <c:v>25 Y</c:v>
                </c:pt>
                <c:pt idx="31">
                  <c:v>30 Y</c:v>
                </c:pt>
                <c:pt idx="32">
                  <c:v>35 Y</c:v>
                </c:pt>
                <c:pt idx="33">
                  <c:v>40 Y</c:v>
                </c:pt>
                <c:pt idx="34">
                  <c:v>50 Y</c:v>
                </c:pt>
              </c:strCache>
            </c:strRef>
          </c:cat>
          <c:val>
            <c:numRef>
              <c:f>Crv!$F$8:$F$42</c:f>
              <c:numCache>
                <c:formatCode>0.000</c:formatCode>
                <c:ptCount val="35"/>
                <c:pt idx="0">
                  <c:v>-0.34799999999999998</c:v>
                </c:pt>
                <c:pt idx="1">
                  <c:v>-0.34499999999999997</c:v>
                </c:pt>
                <c:pt idx="2">
                  <c:v>-0.34799999999999998</c:v>
                </c:pt>
                <c:pt idx="3">
                  <c:v>-0.34449999999999997</c:v>
                </c:pt>
                <c:pt idx="4">
                  <c:v>-0.34075</c:v>
                </c:pt>
                <c:pt idx="5">
                  <c:v>-0.35</c:v>
                </c:pt>
                <c:pt idx="6">
                  <c:v>-0.35</c:v>
                </c:pt>
                <c:pt idx="7">
                  <c:v>-0.36149999999999999</c:v>
                </c:pt>
                <c:pt idx="8">
                  <c:v>-0.35599999999999998</c:v>
                </c:pt>
                <c:pt idx="9">
                  <c:v>-0.36525000000000002</c:v>
                </c:pt>
                <c:pt idx="10">
                  <c:v>-0.36799999999999999</c:v>
                </c:pt>
                <c:pt idx="11">
                  <c:v>-0.371</c:v>
                </c:pt>
                <c:pt idx="12">
                  <c:v>-0.374</c:v>
                </c:pt>
                <c:pt idx="13">
                  <c:v>-0.377</c:v>
                </c:pt>
                <c:pt idx="14">
                  <c:v>-0.38</c:v>
                </c:pt>
                <c:pt idx="15">
                  <c:v>-0.39350000000000002</c:v>
                </c:pt>
                <c:pt idx="16">
                  <c:v>-0.38974999999999999</c:v>
                </c:pt>
                <c:pt idx="17">
                  <c:v>-0.40500000000000003</c:v>
                </c:pt>
                <c:pt idx="18">
                  <c:v>-0.39750000000000002</c:v>
                </c:pt>
                <c:pt idx="19">
                  <c:v>-0.36099999999999999</c:v>
                </c:pt>
                <c:pt idx="20">
                  <c:v>-0.308</c:v>
                </c:pt>
                <c:pt idx="21">
                  <c:v>-0.23</c:v>
                </c:pt>
                <c:pt idx="22">
                  <c:v>-0.13325000000000001</c:v>
                </c:pt>
                <c:pt idx="23">
                  <c:v>-2.725E-2</c:v>
                </c:pt>
                <c:pt idx="24">
                  <c:v>8.1000000000000003E-2</c:v>
                </c:pt>
                <c:pt idx="25">
                  <c:v>0.1845</c:v>
                </c:pt>
                <c:pt idx="26">
                  <c:v>0.27939999999999998</c:v>
                </c:pt>
                <c:pt idx="27">
                  <c:v>0.36749999999999999</c:v>
                </c:pt>
                <c:pt idx="28">
                  <c:v>0.5645</c:v>
                </c:pt>
                <c:pt idx="29">
                  <c:v>0.73050000000000004</c:v>
                </c:pt>
                <c:pt idx="30">
                  <c:v>0.79049999999999998</c:v>
                </c:pt>
                <c:pt idx="31">
                  <c:v>0.81399999999999995</c:v>
                </c:pt>
                <c:pt idx="32">
                  <c:v>0.8135</c:v>
                </c:pt>
                <c:pt idx="33">
                  <c:v>0.80400000000000005</c:v>
                </c:pt>
                <c:pt idx="34">
                  <c:v>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556800"/>
        <c:axId val="124740352"/>
      </c:lineChart>
      <c:catAx>
        <c:axId val="124556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/>
            </a:pPr>
            <a:endParaRPr lang="it-IT"/>
          </a:p>
        </c:txPr>
        <c:crossAx val="124740352"/>
        <c:crosses val="autoZero"/>
        <c:auto val="1"/>
        <c:lblAlgn val="ctr"/>
        <c:lblOffset val="100"/>
        <c:noMultiLvlLbl val="0"/>
      </c:catAx>
      <c:valAx>
        <c:axId val="12474035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245568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557160142518106"/>
          <c:y val="0.52984288422280545"/>
          <c:w val="0.14099792638444461"/>
          <c:h val="8.3717191601049873E-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8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'Fwd '!$H$2:$H$3</c:f>
              <c:strCache>
                <c:ptCount val="1"/>
                <c:pt idx="0">
                  <c:v>3m Forward Par.Mid</c:v>
                </c:pt>
              </c:strCache>
            </c:strRef>
          </c:tx>
          <c:marker>
            <c:symbol val="none"/>
          </c:marker>
          <c:cat>
            <c:strRef>
              <c:f>'Fwd '!$G$4:$G$36</c:f>
              <c:strCache>
                <c:ptCount val="33"/>
                <c:pt idx="0">
                  <c:v>1 DY</c:v>
                </c:pt>
                <c:pt idx="1">
                  <c:v>1 WK</c:v>
                </c:pt>
                <c:pt idx="2">
                  <c:v>2 WK</c:v>
                </c:pt>
                <c:pt idx="3">
                  <c:v>1 MO</c:v>
                </c:pt>
                <c:pt idx="4">
                  <c:v>2 MO</c:v>
                </c:pt>
                <c:pt idx="5">
                  <c:v>3 MO</c:v>
                </c:pt>
                <c:pt idx="6">
                  <c:v>4 MO</c:v>
                </c:pt>
                <c:pt idx="7">
                  <c:v>5 MO</c:v>
                </c:pt>
                <c:pt idx="8">
                  <c:v>6 MO</c:v>
                </c:pt>
                <c:pt idx="9">
                  <c:v>7 MO</c:v>
                </c:pt>
                <c:pt idx="10">
                  <c:v>8 MO</c:v>
                </c:pt>
                <c:pt idx="11">
                  <c:v>9 MO</c:v>
                </c:pt>
                <c:pt idx="12">
                  <c:v>10 MO</c:v>
                </c:pt>
                <c:pt idx="13">
                  <c:v>11 MO</c:v>
                </c:pt>
                <c:pt idx="14">
                  <c:v>12 MO</c:v>
                </c:pt>
                <c:pt idx="15">
                  <c:v>18 MO</c:v>
                </c:pt>
                <c:pt idx="16">
                  <c:v>2 YR</c:v>
                </c:pt>
                <c:pt idx="17">
                  <c:v>30 MO</c:v>
                </c:pt>
                <c:pt idx="18">
                  <c:v>3 YR</c:v>
                </c:pt>
                <c:pt idx="19">
                  <c:v>4 YR</c:v>
                </c:pt>
                <c:pt idx="20">
                  <c:v>5 YR</c:v>
                </c:pt>
                <c:pt idx="21">
                  <c:v>6 YR</c:v>
                </c:pt>
                <c:pt idx="22">
                  <c:v>7 YR</c:v>
                </c:pt>
                <c:pt idx="23">
                  <c:v>8 YR</c:v>
                </c:pt>
                <c:pt idx="24">
                  <c:v>9 YR</c:v>
                </c:pt>
                <c:pt idx="25">
                  <c:v>10 YR</c:v>
                </c:pt>
                <c:pt idx="26">
                  <c:v>11 YR</c:v>
                </c:pt>
                <c:pt idx="27">
                  <c:v>12 YR</c:v>
                </c:pt>
                <c:pt idx="28">
                  <c:v>15 YR</c:v>
                </c:pt>
                <c:pt idx="29">
                  <c:v>20 YR</c:v>
                </c:pt>
                <c:pt idx="30">
                  <c:v>25 YR</c:v>
                </c:pt>
                <c:pt idx="31">
                  <c:v>30 YR</c:v>
                </c:pt>
                <c:pt idx="32">
                  <c:v>35 YR</c:v>
                </c:pt>
              </c:strCache>
            </c:strRef>
          </c:cat>
          <c:val>
            <c:numRef>
              <c:f>'Fwd '!$H$4:$H$36</c:f>
              <c:numCache>
                <c:formatCode>0.000</c:formatCode>
                <c:ptCount val="33"/>
                <c:pt idx="0">
                  <c:v>-0.28786856262730254</c:v>
                </c:pt>
                <c:pt idx="1">
                  <c:v>-0.28786165702570021</c:v>
                </c:pt>
                <c:pt idx="2">
                  <c:v>-0.28785360077106653</c:v>
                </c:pt>
                <c:pt idx="3">
                  <c:v>-0.28727709573994048</c:v>
                </c:pt>
                <c:pt idx="4">
                  <c:v>-0.28456365475986445</c:v>
                </c:pt>
                <c:pt idx="5">
                  <c:v>-0.29476158261048901</c:v>
                </c:pt>
                <c:pt idx="6">
                  <c:v>-0.28423226520367739</c:v>
                </c:pt>
                <c:pt idx="7">
                  <c:v>-0.28647671555212439</c:v>
                </c:pt>
                <c:pt idx="8">
                  <c:v>-0.28716072959314576</c:v>
                </c:pt>
                <c:pt idx="9">
                  <c:v>-0.28901817138298269</c:v>
                </c:pt>
                <c:pt idx="10">
                  <c:v>-0.29036093049057421</c:v>
                </c:pt>
                <c:pt idx="11">
                  <c:v>-0.29361334748024936</c:v>
                </c:pt>
                <c:pt idx="12">
                  <c:v>-0.29678285137787441</c:v>
                </c:pt>
                <c:pt idx="13">
                  <c:v>-0.29943233982396283</c:v>
                </c:pt>
                <c:pt idx="14">
                  <c:v>-0.30142504869012382</c:v>
                </c:pt>
                <c:pt idx="15">
                  <c:v>-0.30920764954465568</c:v>
                </c:pt>
                <c:pt idx="16">
                  <c:v>-0.31186557510119345</c:v>
                </c:pt>
                <c:pt idx="17">
                  <c:v>-0.31040804650279585</c:v>
                </c:pt>
                <c:pt idx="18">
                  <c:v>-0.29599349401265745</c:v>
                </c:pt>
                <c:pt idx="19">
                  <c:v>-0.25153884095806972</c:v>
                </c:pt>
                <c:pt idx="20">
                  <c:v>-0.1904078042528059</c:v>
                </c:pt>
                <c:pt idx="21">
                  <c:v>-0.10772234144723017</c:v>
                </c:pt>
                <c:pt idx="22">
                  <c:v>-5.7648122831684516E-3</c:v>
                </c:pt>
                <c:pt idx="23">
                  <c:v>0.10436042667986088</c:v>
                </c:pt>
                <c:pt idx="24">
                  <c:v>0.2124463024220388</c:v>
                </c:pt>
                <c:pt idx="25">
                  <c:v>0.31496233358703057</c:v>
                </c:pt>
                <c:pt idx="26">
                  <c:v>0.40886781973872688</c:v>
                </c:pt>
                <c:pt idx="27">
                  <c:v>0.49255317418456451</c:v>
                </c:pt>
                <c:pt idx="28">
                  <c:v>0.68073763342232962</c:v>
                </c:pt>
                <c:pt idx="29">
                  <c:v>0.83701202755268689</c:v>
                </c:pt>
                <c:pt idx="30">
                  <c:v>0.89148855870566313</c:v>
                </c:pt>
                <c:pt idx="31">
                  <c:v>0.9117263156190849</c:v>
                </c:pt>
                <c:pt idx="32">
                  <c:v>0.91779830363803072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'Fwd '!$I$2:$I$3</c:f>
              <c:strCache>
                <c:ptCount val="1"/>
                <c:pt idx="0">
                  <c:v>3m Forward Zc.Mid</c:v>
                </c:pt>
              </c:strCache>
            </c:strRef>
          </c:tx>
          <c:marker>
            <c:symbol val="none"/>
          </c:marker>
          <c:cat>
            <c:strRef>
              <c:f>'Fwd '!$G$4:$G$36</c:f>
              <c:strCache>
                <c:ptCount val="33"/>
                <c:pt idx="0">
                  <c:v>1 DY</c:v>
                </c:pt>
                <c:pt idx="1">
                  <c:v>1 WK</c:v>
                </c:pt>
                <c:pt idx="2">
                  <c:v>2 WK</c:v>
                </c:pt>
                <c:pt idx="3">
                  <c:v>1 MO</c:v>
                </c:pt>
                <c:pt idx="4">
                  <c:v>2 MO</c:v>
                </c:pt>
                <c:pt idx="5">
                  <c:v>3 MO</c:v>
                </c:pt>
                <c:pt idx="6">
                  <c:v>4 MO</c:v>
                </c:pt>
                <c:pt idx="7">
                  <c:v>5 MO</c:v>
                </c:pt>
                <c:pt idx="8">
                  <c:v>6 MO</c:v>
                </c:pt>
                <c:pt idx="9">
                  <c:v>7 MO</c:v>
                </c:pt>
                <c:pt idx="10">
                  <c:v>8 MO</c:v>
                </c:pt>
                <c:pt idx="11">
                  <c:v>9 MO</c:v>
                </c:pt>
                <c:pt idx="12">
                  <c:v>10 MO</c:v>
                </c:pt>
                <c:pt idx="13">
                  <c:v>11 MO</c:v>
                </c:pt>
                <c:pt idx="14">
                  <c:v>12 MO</c:v>
                </c:pt>
                <c:pt idx="15">
                  <c:v>18 MO</c:v>
                </c:pt>
                <c:pt idx="16">
                  <c:v>2 YR</c:v>
                </c:pt>
                <c:pt idx="17">
                  <c:v>30 MO</c:v>
                </c:pt>
                <c:pt idx="18">
                  <c:v>3 YR</c:v>
                </c:pt>
                <c:pt idx="19">
                  <c:v>4 YR</c:v>
                </c:pt>
                <c:pt idx="20">
                  <c:v>5 YR</c:v>
                </c:pt>
                <c:pt idx="21">
                  <c:v>6 YR</c:v>
                </c:pt>
                <c:pt idx="22">
                  <c:v>7 YR</c:v>
                </c:pt>
                <c:pt idx="23">
                  <c:v>8 YR</c:v>
                </c:pt>
                <c:pt idx="24">
                  <c:v>9 YR</c:v>
                </c:pt>
                <c:pt idx="25">
                  <c:v>10 YR</c:v>
                </c:pt>
                <c:pt idx="26">
                  <c:v>11 YR</c:v>
                </c:pt>
                <c:pt idx="27">
                  <c:v>12 YR</c:v>
                </c:pt>
                <c:pt idx="28">
                  <c:v>15 YR</c:v>
                </c:pt>
                <c:pt idx="29">
                  <c:v>20 YR</c:v>
                </c:pt>
                <c:pt idx="30">
                  <c:v>25 YR</c:v>
                </c:pt>
                <c:pt idx="31">
                  <c:v>30 YR</c:v>
                </c:pt>
                <c:pt idx="32">
                  <c:v>35 YR</c:v>
                </c:pt>
              </c:strCache>
            </c:strRef>
          </c:cat>
          <c:val>
            <c:numRef>
              <c:f>'Fwd '!$I$4:$I$36</c:f>
              <c:numCache>
                <c:formatCode>0.000</c:formatCode>
                <c:ptCount val="33"/>
                <c:pt idx="0">
                  <c:v>-0.24297352920843451</c:v>
                </c:pt>
                <c:pt idx="1">
                  <c:v>-0.28106037378109461</c:v>
                </c:pt>
                <c:pt idx="2">
                  <c:v>-0.28425812117544025</c:v>
                </c:pt>
                <c:pt idx="3">
                  <c:v>-0.28573393780083611</c:v>
                </c:pt>
                <c:pt idx="4">
                  <c:v>-0.28303870419970067</c:v>
                </c:pt>
                <c:pt idx="5">
                  <c:v>-0.29367741729464658</c:v>
                </c:pt>
                <c:pt idx="6">
                  <c:v>-0.28352346667178674</c:v>
                </c:pt>
                <c:pt idx="7">
                  <c:v>-0.28580980048623639</c:v>
                </c:pt>
                <c:pt idx="8">
                  <c:v>-0.28333942624839681</c:v>
                </c:pt>
                <c:pt idx="9">
                  <c:v>-0.28859545763546546</c:v>
                </c:pt>
                <c:pt idx="10">
                  <c:v>-0.28990155121272343</c:v>
                </c:pt>
                <c:pt idx="11">
                  <c:v>-0.29321776382800202</c:v>
                </c:pt>
                <c:pt idx="12">
                  <c:v>-0.2964437515196261</c:v>
                </c:pt>
                <c:pt idx="13">
                  <c:v>-0.29915765391279603</c:v>
                </c:pt>
                <c:pt idx="14">
                  <c:v>-0.30120604364642922</c:v>
                </c:pt>
                <c:pt idx="15">
                  <c:v>-0.30896754499029067</c:v>
                </c:pt>
                <c:pt idx="16">
                  <c:v>-0.31175574987254429</c:v>
                </c:pt>
                <c:pt idx="17">
                  <c:v>-0.31030268229702562</c:v>
                </c:pt>
                <c:pt idx="18">
                  <c:v>-0.29611234005795239</c:v>
                </c:pt>
                <c:pt idx="19">
                  <c:v>-0.25189844912552051</c:v>
                </c:pt>
                <c:pt idx="20">
                  <c:v>-0.19108525721397429</c:v>
                </c:pt>
                <c:pt idx="21">
                  <c:v>-0.10883994317982815</c:v>
                </c:pt>
                <c:pt idx="22">
                  <c:v>-6.218003625524382E-3</c:v>
                </c:pt>
                <c:pt idx="23">
                  <c:v>0.10490464419594669</c:v>
                </c:pt>
                <c:pt idx="24">
                  <c:v>0.21474272252015592</c:v>
                </c:pt>
                <c:pt idx="25">
                  <c:v>0.31970543143291508</c:v>
                </c:pt>
                <c:pt idx="26">
                  <c:v>0.41661161138695224</c:v>
                </c:pt>
                <c:pt idx="27">
                  <c:v>0.50361039548183495</c:v>
                </c:pt>
                <c:pt idx="28">
                  <c:v>0.70153395818519648</c:v>
                </c:pt>
                <c:pt idx="29">
                  <c:v>0.86732691751481017</c:v>
                </c:pt>
                <c:pt idx="30">
                  <c:v>0.92295561966646567</c:v>
                </c:pt>
                <c:pt idx="31">
                  <c:v>0.94125382999779017</c:v>
                </c:pt>
                <c:pt idx="32">
                  <c:v>0.9442601769660719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'Fwd '!$J$2:$J$3</c:f>
              <c:strCache>
                <c:ptCount val="1"/>
                <c:pt idx="0">
                  <c:v>3m Forward Df.Mid</c:v>
                </c:pt>
              </c:strCache>
            </c:strRef>
          </c:tx>
          <c:marker>
            <c:symbol val="none"/>
          </c:marker>
          <c:cat>
            <c:strRef>
              <c:f>'Fwd '!$G$4:$G$36</c:f>
              <c:strCache>
                <c:ptCount val="33"/>
                <c:pt idx="0">
                  <c:v>1 DY</c:v>
                </c:pt>
                <c:pt idx="1">
                  <c:v>1 WK</c:v>
                </c:pt>
                <c:pt idx="2">
                  <c:v>2 WK</c:v>
                </c:pt>
                <c:pt idx="3">
                  <c:v>1 MO</c:v>
                </c:pt>
                <c:pt idx="4">
                  <c:v>2 MO</c:v>
                </c:pt>
                <c:pt idx="5">
                  <c:v>3 MO</c:v>
                </c:pt>
                <c:pt idx="6">
                  <c:v>4 MO</c:v>
                </c:pt>
                <c:pt idx="7">
                  <c:v>5 MO</c:v>
                </c:pt>
                <c:pt idx="8">
                  <c:v>6 MO</c:v>
                </c:pt>
                <c:pt idx="9">
                  <c:v>7 MO</c:v>
                </c:pt>
                <c:pt idx="10">
                  <c:v>8 MO</c:v>
                </c:pt>
                <c:pt idx="11">
                  <c:v>9 MO</c:v>
                </c:pt>
                <c:pt idx="12">
                  <c:v>10 MO</c:v>
                </c:pt>
                <c:pt idx="13">
                  <c:v>11 MO</c:v>
                </c:pt>
                <c:pt idx="14">
                  <c:v>12 MO</c:v>
                </c:pt>
                <c:pt idx="15">
                  <c:v>18 MO</c:v>
                </c:pt>
                <c:pt idx="16">
                  <c:v>2 YR</c:v>
                </c:pt>
                <c:pt idx="17">
                  <c:v>30 MO</c:v>
                </c:pt>
                <c:pt idx="18">
                  <c:v>3 YR</c:v>
                </c:pt>
                <c:pt idx="19">
                  <c:v>4 YR</c:v>
                </c:pt>
                <c:pt idx="20">
                  <c:v>5 YR</c:v>
                </c:pt>
                <c:pt idx="21">
                  <c:v>6 YR</c:v>
                </c:pt>
                <c:pt idx="22">
                  <c:v>7 YR</c:v>
                </c:pt>
                <c:pt idx="23">
                  <c:v>8 YR</c:v>
                </c:pt>
                <c:pt idx="24">
                  <c:v>9 YR</c:v>
                </c:pt>
                <c:pt idx="25">
                  <c:v>10 YR</c:v>
                </c:pt>
                <c:pt idx="26">
                  <c:v>11 YR</c:v>
                </c:pt>
                <c:pt idx="27">
                  <c:v>12 YR</c:v>
                </c:pt>
                <c:pt idx="28">
                  <c:v>15 YR</c:v>
                </c:pt>
                <c:pt idx="29">
                  <c:v>20 YR</c:v>
                </c:pt>
                <c:pt idx="30">
                  <c:v>25 YR</c:v>
                </c:pt>
                <c:pt idx="31">
                  <c:v>30 YR</c:v>
                </c:pt>
                <c:pt idx="32">
                  <c:v>35 YR</c:v>
                </c:pt>
              </c:strCache>
            </c:strRef>
          </c:cat>
          <c:val>
            <c:numRef>
              <c:f>'Fwd '!$J$4:$J$36</c:f>
              <c:numCache>
                <c:formatCode>0.000000</c:formatCode>
                <c:ptCount val="33"/>
                <c:pt idx="0">
                  <c:v>1.0000067493102531</c:v>
                </c:pt>
                <c:pt idx="1">
                  <c:v>1.0000547290706543</c:v>
                </c:pt>
                <c:pt idx="2">
                  <c:v>1.000110708367322</c:v>
                </c:pt>
                <c:pt idx="3">
                  <c:v>1.0002464312211734</c:v>
                </c:pt>
                <c:pt idx="4">
                  <c:v>1.0004646346023909</c:v>
                </c:pt>
                <c:pt idx="5">
                  <c:v>1.0007518956873023</c:v>
                </c:pt>
                <c:pt idx="6">
                  <c:v>1.00094686851648</c:v>
                </c:pt>
                <c:pt idx="7">
                  <c:v>1.0012012506884074</c:v>
                </c:pt>
                <c:pt idx="8">
                  <c:v>1.0014355007292139</c:v>
                </c:pt>
                <c:pt idx="9">
                  <c:v>1.0017034128239137</c:v>
                </c:pt>
                <c:pt idx="10">
                  <c:v>1.0019777596366852</c:v>
                </c:pt>
                <c:pt idx="11">
                  <c:v>1.0022293156142508</c:v>
                </c:pt>
                <c:pt idx="12">
                  <c:v>1.0025101657861353</c:v>
                </c:pt>
                <c:pt idx="13">
                  <c:v>1.0028002362564803</c:v>
                </c:pt>
                <c:pt idx="14">
                  <c:v>1.0030631851159229</c:v>
                </c:pt>
                <c:pt idx="15">
                  <c:v>1.0047042924359921</c:v>
                </c:pt>
                <c:pt idx="16">
                  <c:v>1.0063516753766453</c:v>
                </c:pt>
                <c:pt idx="17">
                  <c:v>1.0078955972248129</c:v>
                </c:pt>
                <c:pt idx="18">
                  <c:v>1.0090609155770187</c:v>
                </c:pt>
                <c:pt idx="19">
                  <c:v>1.0103024970494083</c:v>
                </c:pt>
                <c:pt idx="20">
                  <c:v>1.00975411825566</c:v>
                </c:pt>
                <c:pt idx="21">
                  <c:v>1.0066497393249345</c:v>
                </c:pt>
                <c:pt idx="22">
                  <c:v>1.0004415894554781</c:v>
                </c:pt>
                <c:pt idx="23">
                  <c:v>0.99152581285217434</c:v>
                </c:pt>
                <c:pt idx="24">
                  <c:v>0.98060438193313615</c:v>
                </c:pt>
                <c:pt idx="25">
                  <c:v>0.96812086475386294</c:v>
                </c:pt>
                <c:pt idx="26">
                  <c:v>0.95465821368918802</c:v>
                </c:pt>
                <c:pt idx="27">
                  <c:v>0.94067207216726167</c:v>
                </c:pt>
                <c:pt idx="28">
                  <c:v>0.89908528544404065</c:v>
                </c:pt>
                <c:pt idx="29">
                  <c:v>0.83925872647339106</c:v>
                </c:pt>
                <c:pt idx="30">
                  <c:v>0.79213477464786919</c:v>
                </c:pt>
                <c:pt idx="31">
                  <c:v>0.75190807317573505</c:v>
                </c:pt>
                <c:pt idx="32">
                  <c:v>0.71625578346101393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64864"/>
        <c:axId val="124966784"/>
      </c:lineChart>
      <c:catAx>
        <c:axId val="124964864"/>
        <c:scaling>
          <c:orientation val="minMax"/>
        </c:scaling>
        <c:delete val="0"/>
        <c:axPos val="b"/>
        <c:majorTickMark val="out"/>
        <c:minorTickMark val="none"/>
        <c:tickLblPos val="nextTo"/>
        <c:crossAx val="124966784"/>
        <c:crosses val="autoZero"/>
        <c:auto val="1"/>
        <c:lblAlgn val="ctr"/>
        <c:lblOffset val="100"/>
        <c:noMultiLvlLbl val="0"/>
      </c:catAx>
      <c:valAx>
        <c:axId val="12496678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249648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>
        <a:lumMod val="85000"/>
      </a:schemeClr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'Fwd '!$K$2:$K$3</c:f>
              <c:strCache>
                <c:ptCount val="1"/>
                <c:pt idx="0">
                  <c:v>5y Forward Par.Mid</c:v>
                </c:pt>
              </c:strCache>
            </c:strRef>
          </c:tx>
          <c:marker>
            <c:symbol val="none"/>
          </c:marker>
          <c:cat>
            <c:strRef>
              <c:f>'Fwd '!$G$4:$G$36</c:f>
              <c:strCache>
                <c:ptCount val="33"/>
                <c:pt idx="0">
                  <c:v>1 DY</c:v>
                </c:pt>
                <c:pt idx="1">
                  <c:v>1 WK</c:v>
                </c:pt>
                <c:pt idx="2">
                  <c:v>2 WK</c:v>
                </c:pt>
                <c:pt idx="3">
                  <c:v>1 MO</c:v>
                </c:pt>
                <c:pt idx="4">
                  <c:v>2 MO</c:v>
                </c:pt>
                <c:pt idx="5">
                  <c:v>3 MO</c:v>
                </c:pt>
                <c:pt idx="6">
                  <c:v>4 MO</c:v>
                </c:pt>
                <c:pt idx="7">
                  <c:v>5 MO</c:v>
                </c:pt>
                <c:pt idx="8">
                  <c:v>6 MO</c:v>
                </c:pt>
                <c:pt idx="9">
                  <c:v>7 MO</c:v>
                </c:pt>
                <c:pt idx="10">
                  <c:v>8 MO</c:v>
                </c:pt>
                <c:pt idx="11">
                  <c:v>9 MO</c:v>
                </c:pt>
                <c:pt idx="12">
                  <c:v>10 MO</c:v>
                </c:pt>
                <c:pt idx="13">
                  <c:v>11 MO</c:v>
                </c:pt>
                <c:pt idx="14">
                  <c:v>12 MO</c:v>
                </c:pt>
                <c:pt idx="15">
                  <c:v>18 MO</c:v>
                </c:pt>
                <c:pt idx="16">
                  <c:v>2 YR</c:v>
                </c:pt>
                <c:pt idx="17">
                  <c:v>30 MO</c:v>
                </c:pt>
                <c:pt idx="18">
                  <c:v>3 YR</c:v>
                </c:pt>
                <c:pt idx="19">
                  <c:v>4 YR</c:v>
                </c:pt>
                <c:pt idx="20">
                  <c:v>5 YR</c:v>
                </c:pt>
                <c:pt idx="21">
                  <c:v>6 YR</c:v>
                </c:pt>
                <c:pt idx="22">
                  <c:v>7 YR</c:v>
                </c:pt>
                <c:pt idx="23">
                  <c:v>8 YR</c:v>
                </c:pt>
                <c:pt idx="24">
                  <c:v>9 YR</c:v>
                </c:pt>
                <c:pt idx="25">
                  <c:v>10 YR</c:v>
                </c:pt>
                <c:pt idx="26">
                  <c:v>11 YR</c:v>
                </c:pt>
                <c:pt idx="27">
                  <c:v>12 YR</c:v>
                </c:pt>
                <c:pt idx="28">
                  <c:v>15 YR</c:v>
                </c:pt>
                <c:pt idx="29">
                  <c:v>20 YR</c:v>
                </c:pt>
                <c:pt idx="30">
                  <c:v>25 YR</c:v>
                </c:pt>
                <c:pt idx="31">
                  <c:v>30 YR</c:v>
                </c:pt>
                <c:pt idx="32">
                  <c:v>35 YR</c:v>
                </c:pt>
              </c:strCache>
            </c:strRef>
          </c:cat>
          <c:val>
            <c:numRef>
              <c:f>'Fwd '!$K$4:$K$36</c:f>
              <c:numCache>
                <c:formatCode>0.000</c:formatCode>
                <c:ptCount val="33"/>
                <c:pt idx="0">
                  <c:v>0.22746493385650268</c:v>
                </c:pt>
                <c:pt idx="1">
                  <c:v>0.22746924559748158</c:v>
                </c:pt>
                <c:pt idx="2">
                  <c:v>0.22747427609387341</c:v>
                </c:pt>
                <c:pt idx="3">
                  <c:v>0.22748721233955163</c:v>
                </c:pt>
                <c:pt idx="4">
                  <c:v>0.2275080561317385</c:v>
                </c:pt>
                <c:pt idx="5">
                  <c:v>0.22753034024281579</c:v>
                </c:pt>
                <c:pt idx="6">
                  <c:v>0.22755262726408737</c:v>
                </c:pt>
                <c:pt idx="7">
                  <c:v>0.22757275997857948</c:v>
                </c:pt>
                <c:pt idx="8">
                  <c:v>0.22759505253977791</c:v>
                </c:pt>
                <c:pt idx="9">
                  <c:v>0.22761806726981368</c:v>
                </c:pt>
                <c:pt idx="10">
                  <c:v>0.22763892704893476</c:v>
                </c:pt>
                <c:pt idx="11">
                  <c:v>0.22766050881284386</c:v>
                </c:pt>
                <c:pt idx="12">
                  <c:v>0.22768353236762767</c:v>
                </c:pt>
                <c:pt idx="13">
                  <c:v>0.22770511976942773</c:v>
                </c:pt>
                <c:pt idx="14">
                  <c:v>0.22772670989987337</c:v>
                </c:pt>
                <c:pt idx="15">
                  <c:v>0.33051978458575565</c:v>
                </c:pt>
                <c:pt idx="16">
                  <c:v>0.38284909516709892</c:v>
                </c:pt>
                <c:pt idx="17">
                  <c:v>0.47036024424497663</c:v>
                </c:pt>
                <c:pt idx="18">
                  <c:v>0.52910132066530324</c:v>
                </c:pt>
                <c:pt idx="19">
                  <c:v>0.65865899517496507</c:v>
                </c:pt>
                <c:pt idx="20">
                  <c:v>0.76982448505447532</c:v>
                </c:pt>
                <c:pt idx="21">
                  <c:v>0.86771488571781175</c:v>
                </c:pt>
                <c:pt idx="22">
                  <c:v>0.9487031971794001</c:v>
                </c:pt>
                <c:pt idx="23">
                  <c:v>1.0153184792231418</c:v>
                </c:pt>
                <c:pt idx="24">
                  <c:v>1.0670701933064151</c:v>
                </c:pt>
                <c:pt idx="25">
                  <c:v>1.108533802372117</c:v>
                </c:pt>
                <c:pt idx="26">
                  <c:v>1.1313908290471306</c:v>
                </c:pt>
                <c:pt idx="27">
                  <c:v>1.1503751540095535</c:v>
                </c:pt>
                <c:pt idx="28">
                  <c:v>1.1921480705528664</c:v>
                </c:pt>
                <c:pt idx="29">
                  <c:v>1.18303551018757</c:v>
                </c:pt>
                <c:pt idx="30">
                  <c:v>1.1571971244980277</c:v>
                </c:pt>
                <c:pt idx="31">
                  <c:v>1.1299023358222224</c:v>
                </c:pt>
                <c:pt idx="32">
                  <c:v>1.0990790889567157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'Fwd '!$L$2:$L$3</c:f>
              <c:strCache>
                <c:ptCount val="1"/>
                <c:pt idx="0">
                  <c:v>5y Forward Zc.Mid</c:v>
                </c:pt>
              </c:strCache>
            </c:strRef>
          </c:tx>
          <c:marker>
            <c:symbol val="none"/>
          </c:marker>
          <c:cat>
            <c:strRef>
              <c:f>'Fwd '!$G$4:$G$36</c:f>
              <c:strCache>
                <c:ptCount val="33"/>
                <c:pt idx="0">
                  <c:v>1 DY</c:v>
                </c:pt>
                <c:pt idx="1">
                  <c:v>1 WK</c:v>
                </c:pt>
                <c:pt idx="2">
                  <c:v>2 WK</c:v>
                </c:pt>
                <c:pt idx="3">
                  <c:v>1 MO</c:v>
                </c:pt>
                <c:pt idx="4">
                  <c:v>2 MO</c:v>
                </c:pt>
                <c:pt idx="5">
                  <c:v>3 MO</c:v>
                </c:pt>
                <c:pt idx="6">
                  <c:v>4 MO</c:v>
                </c:pt>
                <c:pt idx="7">
                  <c:v>5 MO</c:v>
                </c:pt>
                <c:pt idx="8">
                  <c:v>6 MO</c:v>
                </c:pt>
                <c:pt idx="9">
                  <c:v>7 MO</c:v>
                </c:pt>
                <c:pt idx="10">
                  <c:v>8 MO</c:v>
                </c:pt>
                <c:pt idx="11">
                  <c:v>9 MO</c:v>
                </c:pt>
                <c:pt idx="12">
                  <c:v>10 MO</c:v>
                </c:pt>
                <c:pt idx="13">
                  <c:v>11 MO</c:v>
                </c:pt>
                <c:pt idx="14">
                  <c:v>12 MO</c:v>
                </c:pt>
                <c:pt idx="15">
                  <c:v>18 MO</c:v>
                </c:pt>
                <c:pt idx="16">
                  <c:v>2 YR</c:v>
                </c:pt>
                <c:pt idx="17">
                  <c:v>30 MO</c:v>
                </c:pt>
                <c:pt idx="18">
                  <c:v>3 YR</c:v>
                </c:pt>
                <c:pt idx="19">
                  <c:v>4 YR</c:v>
                </c:pt>
                <c:pt idx="20">
                  <c:v>5 YR</c:v>
                </c:pt>
                <c:pt idx="21">
                  <c:v>6 YR</c:v>
                </c:pt>
                <c:pt idx="22">
                  <c:v>7 YR</c:v>
                </c:pt>
                <c:pt idx="23">
                  <c:v>8 YR</c:v>
                </c:pt>
                <c:pt idx="24">
                  <c:v>9 YR</c:v>
                </c:pt>
                <c:pt idx="25">
                  <c:v>10 YR</c:v>
                </c:pt>
                <c:pt idx="26">
                  <c:v>11 YR</c:v>
                </c:pt>
                <c:pt idx="27">
                  <c:v>12 YR</c:v>
                </c:pt>
                <c:pt idx="28">
                  <c:v>15 YR</c:v>
                </c:pt>
                <c:pt idx="29">
                  <c:v>20 YR</c:v>
                </c:pt>
                <c:pt idx="30">
                  <c:v>25 YR</c:v>
                </c:pt>
                <c:pt idx="31">
                  <c:v>30 YR</c:v>
                </c:pt>
                <c:pt idx="32">
                  <c:v>35 YR</c:v>
                </c:pt>
              </c:strCache>
            </c:strRef>
          </c:cat>
          <c:val>
            <c:numRef>
              <c:f>'Fwd '!$L$4:$L$36</c:f>
              <c:numCache>
                <c:formatCode>0.000</c:formatCode>
                <c:ptCount val="33"/>
                <c:pt idx="0">
                  <c:v>-6.3684718858425526E-3</c:v>
                </c:pt>
                <c:pt idx="1">
                  <c:v>0.19318340159284464</c:v>
                </c:pt>
                <c:pt idx="2">
                  <c:v>0.20983067242326126</c:v>
                </c:pt>
                <c:pt idx="3">
                  <c:v>0.21919597775053035</c:v>
                </c:pt>
                <c:pt idx="4">
                  <c:v>0.22265914472028303</c:v>
                </c:pt>
                <c:pt idx="5">
                  <c:v>0.22394682952586731</c:v>
                </c:pt>
                <c:pt idx="6">
                  <c:v>0.22458544357462085</c:v>
                </c:pt>
                <c:pt idx="7">
                  <c:v>0.22493688085611918</c:v>
                </c:pt>
                <c:pt idx="8">
                  <c:v>0.22519983895303852</c:v>
                </c:pt>
                <c:pt idx="9">
                  <c:v>0.22539136991550635</c:v>
                </c:pt>
                <c:pt idx="10">
                  <c:v>0.22552137275007045</c:v>
                </c:pt>
                <c:pt idx="11">
                  <c:v>0.22562679389166451</c:v>
                </c:pt>
                <c:pt idx="12">
                  <c:v>0.2257163846670851</c:v>
                </c:pt>
                <c:pt idx="13">
                  <c:v>0.22578483140482941</c:v>
                </c:pt>
                <c:pt idx="14">
                  <c:v>0.22584202665989483</c:v>
                </c:pt>
                <c:pt idx="15">
                  <c:v>0.32883603235589476</c:v>
                </c:pt>
                <c:pt idx="16">
                  <c:v>0.38238909476040472</c:v>
                </c:pt>
                <c:pt idx="17">
                  <c:v>0.47034342133371876</c:v>
                </c:pt>
                <c:pt idx="18">
                  <c:v>0.52938969218376819</c:v>
                </c:pt>
                <c:pt idx="19">
                  <c:v>0.6602123936278792</c:v>
                </c:pt>
                <c:pt idx="20">
                  <c:v>0.77303438510019085</c:v>
                </c:pt>
                <c:pt idx="21">
                  <c:v>0.87292738099096212</c:v>
                </c:pt>
                <c:pt idx="22">
                  <c:v>0.95599444936600442</c:v>
                </c:pt>
                <c:pt idx="23">
                  <c:v>1.0246556746650093</c:v>
                </c:pt>
                <c:pt idx="24">
                  <c:v>1.0781594035734532</c:v>
                </c:pt>
                <c:pt idx="25">
                  <c:v>1.1211210409241223</c:v>
                </c:pt>
                <c:pt idx="26">
                  <c:v>1.1444878224666333</c:v>
                </c:pt>
                <c:pt idx="27">
                  <c:v>1.1638786046926475</c:v>
                </c:pt>
                <c:pt idx="28">
                  <c:v>1.2065910997782314</c:v>
                </c:pt>
                <c:pt idx="29">
                  <c:v>1.1928952834165285</c:v>
                </c:pt>
                <c:pt idx="30">
                  <c:v>1.1615593742875907</c:v>
                </c:pt>
                <c:pt idx="31">
                  <c:v>1.1290924507368461</c:v>
                </c:pt>
                <c:pt idx="32">
                  <c:v>1.0926262481826932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'Fwd '!$M$2:$M$3</c:f>
              <c:strCache>
                <c:ptCount val="1"/>
                <c:pt idx="0">
                  <c:v>5y Forward Df.Mid</c:v>
                </c:pt>
              </c:strCache>
            </c:strRef>
          </c:tx>
          <c:marker>
            <c:symbol val="none"/>
          </c:marker>
          <c:cat>
            <c:strRef>
              <c:f>'Fwd '!$G$4:$G$36</c:f>
              <c:strCache>
                <c:ptCount val="33"/>
                <c:pt idx="0">
                  <c:v>1 DY</c:v>
                </c:pt>
                <c:pt idx="1">
                  <c:v>1 WK</c:v>
                </c:pt>
                <c:pt idx="2">
                  <c:v>2 WK</c:v>
                </c:pt>
                <c:pt idx="3">
                  <c:v>1 MO</c:v>
                </c:pt>
                <c:pt idx="4">
                  <c:v>2 MO</c:v>
                </c:pt>
                <c:pt idx="5">
                  <c:v>3 MO</c:v>
                </c:pt>
                <c:pt idx="6">
                  <c:v>4 MO</c:v>
                </c:pt>
                <c:pt idx="7">
                  <c:v>5 MO</c:v>
                </c:pt>
                <c:pt idx="8">
                  <c:v>6 MO</c:v>
                </c:pt>
                <c:pt idx="9">
                  <c:v>7 MO</c:v>
                </c:pt>
                <c:pt idx="10">
                  <c:v>8 MO</c:v>
                </c:pt>
                <c:pt idx="11">
                  <c:v>9 MO</c:v>
                </c:pt>
                <c:pt idx="12">
                  <c:v>10 MO</c:v>
                </c:pt>
                <c:pt idx="13">
                  <c:v>11 MO</c:v>
                </c:pt>
                <c:pt idx="14">
                  <c:v>12 MO</c:v>
                </c:pt>
                <c:pt idx="15">
                  <c:v>18 MO</c:v>
                </c:pt>
                <c:pt idx="16">
                  <c:v>2 YR</c:v>
                </c:pt>
                <c:pt idx="17">
                  <c:v>30 MO</c:v>
                </c:pt>
                <c:pt idx="18">
                  <c:v>3 YR</c:v>
                </c:pt>
                <c:pt idx="19">
                  <c:v>4 YR</c:v>
                </c:pt>
                <c:pt idx="20">
                  <c:v>5 YR</c:v>
                </c:pt>
                <c:pt idx="21">
                  <c:v>6 YR</c:v>
                </c:pt>
                <c:pt idx="22">
                  <c:v>7 YR</c:v>
                </c:pt>
                <c:pt idx="23">
                  <c:v>8 YR</c:v>
                </c:pt>
                <c:pt idx="24">
                  <c:v>9 YR</c:v>
                </c:pt>
                <c:pt idx="25">
                  <c:v>10 YR</c:v>
                </c:pt>
                <c:pt idx="26">
                  <c:v>11 YR</c:v>
                </c:pt>
                <c:pt idx="27">
                  <c:v>12 YR</c:v>
                </c:pt>
                <c:pt idx="28">
                  <c:v>15 YR</c:v>
                </c:pt>
                <c:pt idx="29">
                  <c:v>20 YR</c:v>
                </c:pt>
                <c:pt idx="30">
                  <c:v>25 YR</c:v>
                </c:pt>
                <c:pt idx="31">
                  <c:v>30 YR</c:v>
                </c:pt>
                <c:pt idx="32">
                  <c:v>35 YR</c:v>
                </c:pt>
              </c:strCache>
            </c:strRef>
          </c:cat>
          <c:val>
            <c:numRef>
              <c:f>'Fwd '!$M$4:$M$36</c:f>
              <c:numCache>
                <c:formatCode>0.000000</c:formatCode>
                <c:ptCount val="33"/>
                <c:pt idx="0">
                  <c:v>1.0000001769020281</c:v>
                </c:pt>
                <c:pt idx="1">
                  <c:v>0.99996247350144174</c:v>
                </c:pt>
                <c:pt idx="2">
                  <c:v>0.99991848799743022</c:v>
                </c:pt>
                <c:pt idx="3">
                  <c:v>0.99980539129975499</c:v>
                </c:pt>
                <c:pt idx="4">
                  <c:v>0.99962320685931161</c:v>
                </c:pt>
                <c:pt idx="5">
                  <c:v>0.99942849468536232</c:v>
                </c:pt>
                <c:pt idx="6">
                  <c:v>0.99923382043853448</c:v>
                </c:pt>
                <c:pt idx="7">
                  <c:v>0.99905801822797291</c:v>
                </c:pt>
                <c:pt idx="8">
                  <c:v>0.99886341614461227</c:v>
                </c:pt>
                <c:pt idx="9">
                  <c:v>0.99866257633415334</c:v>
                </c:pt>
                <c:pt idx="10">
                  <c:v>0.99848060013734086</c:v>
                </c:pt>
                <c:pt idx="11">
                  <c:v>0.99829238379374141</c:v>
                </c:pt>
                <c:pt idx="12">
                  <c:v>0.99809165879980988</c:v>
                </c:pt>
                <c:pt idx="13">
                  <c:v>0.99790351577272396</c:v>
                </c:pt>
                <c:pt idx="14">
                  <c:v>0.99771540821111682</c:v>
                </c:pt>
                <c:pt idx="15">
                  <c:v>0.99502413715004723</c:v>
                </c:pt>
                <c:pt idx="16">
                  <c:v>0.99226961742090514</c:v>
                </c:pt>
                <c:pt idx="17">
                  <c:v>0.9881571831908188</c:v>
                </c:pt>
                <c:pt idx="18">
                  <c:v>0.98405404049389544</c:v>
                </c:pt>
                <c:pt idx="19">
                  <c:v>0.97364788057621976</c:v>
                </c:pt>
                <c:pt idx="20">
                  <c:v>0.96169373198015418</c:v>
                </c:pt>
                <c:pt idx="21">
                  <c:v>0.94847790032374935</c:v>
                </c:pt>
                <c:pt idx="22">
                  <c:v>0.93460387434601266</c:v>
                </c:pt>
                <c:pt idx="23">
                  <c:v>0.92056009096334468</c:v>
                </c:pt>
                <c:pt idx="24">
                  <c:v>0.90672592993804768</c:v>
                </c:pt>
                <c:pt idx="25">
                  <c:v>0.89306251713664941</c:v>
                </c:pt>
                <c:pt idx="26">
                  <c:v>0.88072300087428357</c:v>
                </c:pt>
                <c:pt idx="27">
                  <c:v>0.86859011245019146</c:v>
                </c:pt>
                <c:pt idx="28">
                  <c:v>0.83315346401846802</c:v>
                </c:pt>
                <c:pt idx="29">
                  <c:v>0.78613561502222618</c:v>
                </c:pt>
                <c:pt idx="30">
                  <c:v>0.74605886764239748</c:v>
                </c:pt>
                <c:pt idx="31">
                  <c:v>0.71049837668145921</c:v>
                </c:pt>
                <c:pt idx="32">
                  <c:v>0.6797979257776442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172352"/>
        <c:axId val="379173888"/>
      </c:lineChart>
      <c:catAx>
        <c:axId val="37917235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 vert="horz" anchor="ctr" anchorCtr="1"/>
          <a:lstStyle/>
          <a:p>
            <a:pPr>
              <a:defRPr/>
            </a:pPr>
            <a:endParaRPr lang="it-IT"/>
          </a:p>
        </c:txPr>
        <c:crossAx val="379173888"/>
        <c:crosses val="autoZero"/>
        <c:auto val="1"/>
        <c:lblAlgn val="ctr"/>
        <c:lblOffset val="100"/>
        <c:noMultiLvlLbl val="0"/>
      </c:catAx>
      <c:valAx>
        <c:axId val="37917388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79172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>
        <a:lumMod val="85000"/>
      </a:schemeClr>
    </a:soli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'Fwd '!$N$2:$N$3</c:f>
              <c:strCache>
                <c:ptCount val="1"/>
                <c:pt idx="0">
                  <c:v>10y Forward Par.Mid</c:v>
                </c:pt>
              </c:strCache>
            </c:strRef>
          </c:tx>
          <c:marker>
            <c:symbol val="none"/>
          </c:marker>
          <c:cat>
            <c:strRef>
              <c:f>'Fwd '!$G$4:$G$36</c:f>
              <c:strCache>
                <c:ptCount val="33"/>
                <c:pt idx="0">
                  <c:v>1 DY</c:v>
                </c:pt>
                <c:pt idx="1">
                  <c:v>1 WK</c:v>
                </c:pt>
                <c:pt idx="2">
                  <c:v>2 WK</c:v>
                </c:pt>
                <c:pt idx="3">
                  <c:v>1 MO</c:v>
                </c:pt>
                <c:pt idx="4">
                  <c:v>2 MO</c:v>
                </c:pt>
                <c:pt idx="5">
                  <c:v>3 MO</c:v>
                </c:pt>
                <c:pt idx="6">
                  <c:v>4 MO</c:v>
                </c:pt>
                <c:pt idx="7">
                  <c:v>5 MO</c:v>
                </c:pt>
                <c:pt idx="8">
                  <c:v>6 MO</c:v>
                </c:pt>
                <c:pt idx="9">
                  <c:v>7 MO</c:v>
                </c:pt>
                <c:pt idx="10">
                  <c:v>8 MO</c:v>
                </c:pt>
                <c:pt idx="11">
                  <c:v>9 MO</c:v>
                </c:pt>
                <c:pt idx="12">
                  <c:v>10 MO</c:v>
                </c:pt>
                <c:pt idx="13">
                  <c:v>11 MO</c:v>
                </c:pt>
                <c:pt idx="14">
                  <c:v>12 MO</c:v>
                </c:pt>
                <c:pt idx="15">
                  <c:v>18 MO</c:v>
                </c:pt>
                <c:pt idx="16">
                  <c:v>2 YR</c:v>
                </c:pt>
                <c:pt idx="17">
                  <c:v>30 MO</c:v>
                </c:pt>
                <c:pt idx="18">
                  <c:v>3 YR</c:v>
                </c:pt>
                <c:pt idx="19">
                  <c:v>4 YR</c:v>
                </c:pt>
                <c:pt idx="20">
                  <c:v>5 YR</c:v>
                </c:pt>
                <c:pt idx="21">
                  <c:v>6 YR</c:v>
                </c:pt>
                <c:pt idx="22">
                  <c:v>7 YR</c:v>
                </c:pt>
                <c:pt idx="23">
                  <c:v>8 YR</c:v>
                </c:pt>
                <c:pt idx="24">
                  <c:v>9 YR</c:v>
                </c:pt>
                <c:pt idx="25">
                  <c:v>10 YR</c:v>
                </c:pt>
                <c:pt idx="26">
                  <c:v>11 YR</c:v>
                </c:pt>
                <c:pt idx="27">
                  <c:v>12 YR</c:v>
                </c:pt>
                <c:pt idx="28">
                  <c:v>15 YR</c:v>
                </c:pt>
                <c:pt idx="29">
                  <c:v>20 YR</c:v>
                </c:pt>
                <c:pt idx="30">
                  <c:v>25 YR</c:v>
                </c:pt>
                <c:pt idx="31">
                  <c:v>30 YR</c:v>
                </c:pt>
                <c:pt idx="32">
                  <c:v>35 YR</c:v>
                </c:pt>
              </c:strCache>
            </c:strRef>
          </c:cat>
          <c:val>
            <c:numRef>
              <c:f>'Fwd '!$N$4:$N$36</c:f>
              <c:numCache>
                <c:formatCode>0.000</c:formatCode>
                <c:ptCount val="33"/>
                <c:pt idx="0">
                  <c:v>1.3652255926475121</c:v>
                </c:pt>
                <c:pt idx="1">
                  <c:v>1.3653809225385065</c:v>
                </c:pt>
                <c:pt idx="2">
                  <c:v>1.3655621705310352</c:v>
                </c:pt>
                <c:pt idx="3">
                  <c:v>1.3660542910941431</c:v>
                </c:pt>
                <c:pt idx="4">
                  <c:v>1.3667799524524964</c:v>
                </c:pt>
                <c:pt idx="5">
                  <c:v>1.36758396277357</c:v>
                </c:pt>
                <c:pt idx="6">
                  <c:v>1.3684145703103081</c:v>
                </c:pt>
                <c:pt idx="7">
                  <c:v>1.3691419035465631</c:v>
                </c:pt>
                <c:pt idx="8">
                  <c:v>1.3699217609876653</c:v>
                </c:pt>
                <c:pt idx="9">
                  <c:v>1.3707022104718771</c:v>
                </c:pt>
                <c:pt idx="10">
                  <c:v>1.3715092974500223</c:v>
                </c:pt>
                <c:pt idx="11">
                  <c:v>1.3722909523147282</c:v>
                </c:pt>
                <c:pt idx="12">
                  <c:v>1.3731514582680224</c:v>
                </c:pt>
                <c:pt idx="13">
                  <c:v>1.3739082539224872</c:v>
                </c:pt>
                <c:pt idx="14">
                  <c:v>1.3746917307001922</c:v>
                </c:pt>
                <c:pt idx="15">
                  <c:v>1.3991193643436988</c:v>
                </c:pt>
                <c:pt idx="16">
                  <c:v>1.413429395150124</c:v>
                </c:pt>
                <c:pt idx="17">
                  <c:v>1.4310822294122385</c:v>
                </c:pt>
                <c:pt idx="18">
                  <c:v>1.44465308562269</c:v>
                </c:pt>
                <c:pt idx="19">
                  <c:v>1.4603139554191176</c:v>
                </c:pt>
                <c:pt idx="20">
                  <c:v>1.4697519873173774</c:v>
                </c:pt>
                <c:pt idx="21">
                  <c:v>1.4549486004222572</c:v>
                </c:pt>
                <c:pt idx="22">
                  <c:v>1.4443969460307022</c:v>
                </c:pt>
                <c:pt idx="23">
                  <c:v>1.4364477290158704</c:v>
                </c:pt>
                <c:pt idx="24">
                  <c:v>1.4303069474926191</c:v>
                </c:pt>
                <c:pt idx="25">
                  <c:v>1.4253806117338579</c:v>
                </c:pt>
                <c:pt idx="26">
                  <c:v>1.4021953064663955</c:v>
                </c:pt>
                <c:pt idx="27">
                  <c:v>1.382840889519275</c:v>
                </c:pt>
                <c:pt idx="28">
                  <c:v>1.3401319604222492</c:v>
                </c:pt>
                <c:pt idx="29">
                  <c:v>1.2709062030433715</c:v>
                </c:pt>
                <c:pt idx="30">
                  <c:v>1.2167716677758167</c:v>
                </c:pt>
                <c:pt idx="31">
                  <c:v>1.1669642359535697</c:v>
                </c:pt>
                <c:pt idx="32">
                  <c:v>1.106173757944656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'Fwd '!$O$2:$O$3</c:f>
              <c:strCache>
                <c:ptCount val="1"/>
                <c:pt idx="0">
                  <c:v>10y Forward Zc.Mid</c:v>
                </c:pt>
              </c:strCache>
            </c:strRef>
          </c:tx>
          <c:marker>
            <c:symbol val="none"/>
          </c:marker>
          <c:cat>
            <c:strRef>
              <c:f>'Fwd '!$G$4:$G$36</c:f>
              <c:strCache>
                <c:ptCount val="33"/>
                <c:pt idx="0">
                  <c:v>1 DY</c:v>
                </c:pt>
                <c:pt idx="1">
                  <c:v>1 WK</c:v>
                </c:pt>
                <c:pt idx="2">
                  <c:v>2 WK</c:v>
                </c:pt>
                <c:pt idx="3">
                  <c:v>1 MO</c:v>
                </c:pt>
                <c:pt idx="4">
                  <c:v>2 MO</c:v>
                </c:pt>
                <c:pt idx="5">
                  <c:v>3 MO</c:v>
                </c:pt>
                <c:pt idx="6">
                  <c:v>4 MO</c:v>
                </c:pt>
                <c:pt idx="7">
                  <c:v>5 MO</c:v>
                </c:pt>
                <c:pt idx="8">
                  <c:v>6 MO</c:v>
                </c:pt>
                <c:pt idx="9">
                  <c:v>7 MO</c:v>
                </c:pt>
                <c:pt idx="10">
                  <c:v>8 MO</c:v>
                </c:pt>
                <c:pt idx="11">
                  <c:v>9 MO</c:v>
                </c:pt>
                <c:pt idx="12">
                  <c:v>10 MO</c:v>
                </c:pt>
                <c:pt idx="13">
                  <c:v>11 MO</c:v>
                </c:pt>
                <c:pt idx="14">
                  <c:v>12 MO</c:v>
                </c:pt>
                <c:pt idx="15">
                  <c:v>18 MO</c:v>
                </c:pt>
                <c:pt idx="16">
                  <c:v>2 YR</c:v>
                </c:pt>
                <c:pt idx="17">
                  <c:v>30 MO</c:v>
                </c:pt>
                <c:pt idx="18">
                  <c:v>3 YR</c:v>
                </c:pt>
                <c:pt idx="19">
                  <c:v>4 YR</c:v>
                </c:pt>
                <c:pt idx="20">
                  <c:v>5 YR</c:v>
                </c:pt>
                <c:pt idx="21">
                  <c:v>6 YR</c:v>
                </c:pt>
                <c:pt idx="22">
                  <c:v>7 YR</c:v>
                </c:pt>
                <c:pt idx="23">
                  <c:v>8 YR</c:v>
                </c:pt>
                <c:pt idx="24">
                  <c:v>9 YR</c:v>
                </c:pt>
                <c:pt idx="25">
                  <c:v>10 YR</c:v>
                </c:pt>
                <c:pt idx="26">
                  <c:v>11 YR</c:v>
                </c:pt>
                <c:pt idx="27">
                  <c:v>12 YR</c:v>
                </c:pt>
                <c:pt idx="28">
                  <c:v>15 YR</c:v>
                </c:pt>
                <c:pt idx="29">
                  <c:v>20 YR</c:v>
                </c:pt>
                <c:pt idx="30">
                  <c:v>25 YR</c:v>
                </c:pt>
                <c:pt idx="31">
                  <c:v>30 YR</c:v>
                </c:pt>
                <c:pt idx="32">
                  <c:v>35 YR</c:v>
                </c:pt>
              </c:strCache>
            </c:strRef>
          </c:cat>
          <c:val>
            <c:numRef>
              <c:f>'Fwd '!$O$4:$O$36</c:f>
              <c:numCache>
                <c:formatCode>0.000</c:formatCode>
                <c:ptCount val="33"/>
                <c:pt idx="0">
                  <c:v>1.2189313644759281</c:v>
                </c:pt>
                <c:pt idx="1">
                  <c:v>1.3533776364915928</c:v>
                </c:pt>
                <c:pt idx="2">
                  <c:v>1.3639688198300304</c:v>
                </c:pt>
                <c:pt idx="3">
                  <c:v>1.3700672759197507</c:v>
                </c:pt>
                <c:pt idx="4">
                  <c:v>1.3721299946621413</c:v>
                </c:pt>
                <c:pt idx="5">
                  <c:v>1.3729491682912931</c:v>
                </c:pt>
                <c:pt idx="6">
                  <c:v>1.3733651507744415</c:v>
                </c:pt>
                <c:pt idx="7">
                  <c:v>1.3735854579783879</c:v>
                </c:pt>
                <c:pt idx="8">
                  <c:v>1.3737462790810229</c:v>
                </c:pt>
                <c:pt idx="9">
                  <c:v>1.3738615849342883</c:v>
                </c:pt>
                <c:pt idx="10">
                  <c:v>1.3739508244789533</c:v>
                </c:pt>
                <c:pt idx="11">
                  <c:v>1.3740178886337162</c:v>
                </c:pt>
                <c:pt idx="12">
                  <c:v>1.37407647118164</c:v>
                </c:pt>
                <c:pt idx="13">
                  <c:v>1.3741184248914573</c:v>
                </c:pt>
                <c:pt idx="14">
                  <c:v>1.3741548098895606</c:v>
                </c:pt>
                <c:pt idx="15">
                  <c:v>1.4004427985545354</c:v>
                </c:pt>
                <c:pt idx="16">
                  <c:v>1.4132179311192816</c:v>
                </c:pt>
                <c:pt idx="17">
                  <c:v>1.4321677430348956</c:v>
                </c:pt>
                <c:pt idx="18">
                  <c:v>1.4448833340525047</c:v>
                </c:pt>
                <c:pt idx="19">
                  <c:v>1.4608127091768619</c:v>
                </c:pt>
                <c:pt idx="20">
                  <c:v>1.4704100453793556</c:v>
                </c:pt>
                <c:pt idx="21">
                  <c:v>1.4549645224904761</c:v>
                </c:pt>
                <c:pt idx="22">
                  <c:v>1.4439149740218982</c:v>
                </c:pt>
                <c:pt idx="23">
                  <c:v>1.4355869986108827</c:v>
                </c:pt>
                <c:pt idx="24">
                  <c:v>1.429163936895983</c:v>
                </c:pt>
                <c:pt idx="25">
                  <c:v>1.4240088441338727</c:v>
                </c:pt>
                <c:pt idx="26">
                  <c:v>1.3992969276098721</c:v>
                </c:pt>
                <c:pt idx="27">
                  <c:v>1.3786538483002486</c:v>
                </c:pt>
                <c:pt idx="28">
                  <c:v>1.3332116599432009</c:v>
                </c:pt>
                <c:pt idx="29">
                  <c:v>1.2588977827672432</c:v>
                </c:pt>
                <c:pt idx="30">
                  <c:v>1.2004314383089909</c:v>
                </c:pt>
                <c:pt idx="31">
                  <c:v>1.145970531067686</c:v>
                </c:pt>
                <c:pt idx="32">
                  <c:v>1.0780920314851894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'Fwd '!$P$2:$P$3</c:f>
              <c:strCache>
                <c:ptCount val="1"/>
                <c:pt idx="0">
                  <c:v>10y Forward Df.Mid</c:v>
                </c:pt>
              </c:strCache>
            </c:strRef>
          </c:tx>
          <c:marker>
            <c:symbol val="none"/>
          </c:marker>
          <c:cat>
            <c:strRef>
              <c:f>'Fwd '!$G$4:$G$36</c:f>
              <c:strCache>
                <c:ptCount val="33"/>
                <c:pt idx="0">
                  <c:v>1 DY</c:v>
                </c:pt>
                <c:pt idx="1">
                  <c:v>1 WK</c:v>
                </c:pt>
                <c:pt idx="2">
                  <c:v>2 WK</c:v>
                </c:pt>
                <c:pt idx="3">
                  <c:v>1 MO</c:v>
                </c:pt>
                <c:pt idx="4">
                  <c:v>2 MO</c:v>
                </c:pt>
                <c:pt idx="5">
                  <c:v>3 MO</c:v>
                </c:pt>
                <c:pt idx="6">
                  <c:v>4 MO</c:v>
                </c:pt>
                <c:pt idx="7">
                  <c:v>5 MO</c:v>
                </c:pt>
                <c:pt idx="8">
                  <c:v>6 MO</c:v>
                </c:pt>
                <c:pt idx="9">
                  <c:v>7 MO</c:v>
                </c:pt>
                <c:pt idx="10">
                  <c:v>8 MO</c:v>
                </c:pt>
                <c:pt idx="11">
                  <c:v>9 MO</c:v>
                </c:pt>
                <c:pt idx="12">
                  <c:v>10 MO</c:v>
                </c:pt>
                <c:pt idx="13">
                  <c:v>11 MO</c:v>
                </c:pt>
                <c:pt idx="14">
                  <c:v>12 MO</c:v>
                </c:pt>
                <c:pt idx="15">
                  <c:v>18 MO</c:v>
                </c:pt>
                <c:pt idx="16">
                  <c:v>2 YR</c:v>
                </c:pt>
                <c:pt idx="17">
                  <c:v>30 MO</c:v>
                </c:pt>
                <c:pt idx="18">
                  <c:v>3 YR</c:v>
                </c:pt>
                <c:pt idx="19">
                  <c:v>4 YR</c:v>
                </c:pt>
                <c:pt idx="20">
                  <c:v>5 YR</c:v>
                </c:pt>
                <c:pt idx="21">
                  <c:v>6 YR</c:v>
                </c:pt>
                <c:pt idx="22">
                  <c:v>7 YR</c:v>
                </c:pt>
                <c:pt idx="23">
                  <c:v>8 YR</c:v>
                </c:pt>
                <c:pt idx="24">
                  <c:v>9 YR</c:v>
                </c:pt>
                <c:pt idx="25">
                  <c:v>10 YR</c:v>
                </c:pt>
                <c:pt idx="26">
                  <c:v>11 YR</c:v>
                </c:pt>
                <c:pt idx="27">
                  <c:v>12 YR</c:v>
                </c:pt>
                <c:pt idx="28">
                  <c:v>15 YR</c:v>
                </c:pt>
                <c:pt idx="29">
                  <c:v>20 YR</c:v>
                </c:pt>
                <c:pt idx="30">
                  <c:v>25 YR</c:v>
                </c:pt>
                <c:pt idx="31">
                  <c:v>30 YR</c:v>
                </c:pt>
                <c:pt idx="32">
                  <c:v>35 YR</c:v>
                </c:pt>
              </c:strCache>
            </c:strRef>
          </c:cat>
          <c:val>
            <c:numRef>
              <c:f>'Fwd '!$P$4:$P$36</c:f>
              <c:numCache>
                <c:formatCode>0.000000</c:formatCode>
                <c:ptCount val="33"/>
                <c:pt idx="0">
                  <c:v>0.99996614194183819</c:v>
                </c:pt>
                <c:pt idx="1">
                  <c:v>0.99973864224409492</c:v>
                </c:pt>
                <c:pt idx="2">
                  <c:v>0.99947329134542462</c:v>
                </c:pt>
                <c:pt idx="3">
                  <c:v>0.99875340816025504</c:v>
                </c:pt>
                <c:pt idx="4">
                  <c:v>0.9976934726558524</c:v>
                </c:pt>
                <c:pt idx="5">
                  <c:v>0.99652128468735679</c:v>
                </c:pt>
                <c:pt idx="6">
                  <c:v>0.99531272874199239</c:v>
                </c:pt>
                <c:pt idx="7">
                  <c:v>0.99425644468773255</c:v>
                </c:pt>
                <c:pt idx="8">
                  <c:v>0.99312595569718576</c:v>
                </c:pt>
                <c:pt idx="9">
                  <c:v>0.99199675209469418</c:v>
                </c:pt>
                <c:pt idx="10">
                  <c:v>0.99083125719123766</c:v>
                </c:pt>
                <c:pt idx="11">
                  <c:v>0.98970466270575141</c:v>
                </c:pt>
                <c:pt idx="12">
                  <c:v>0.98846688822434348</c:v>
                </c:pt>
                <c:pt idx="13">
                  <c:v>0.98738042501442169</c:v>
                </c:pt>
                <c:pt idx="14">
                  <c:v>0.98625775419249839</c:v>
                </c:pt>
                <c:pt idx="15">
                  <c:v>0.97890127547567252</c:v>
                </c:pt>
                <c:pt idx="16">
                  <c:v>0.97183109681045476</c:v>
                </c:pt>
                <c:pt idx="17">
                  <c:v>0.9645026189906305</c:v>
                </c:pt>
                <c:pt idx="18">
                  <c:v>0.95722792023182457</c:v>
                </c:pt>
                <c:pt idx="19">
                  <c:v>0.94284271570645861</c:v>
                </c:pt>
                <c:pt idx="20">
                  <c:v>0.92863506066303336</c:v>
                </c:pt>
                <c:pt idx="21">
                  <c:v>0.9158040357202395</c:v>
                </c:pt>
                <c:pt idx="22">
                  <c:v>0.90318786903366854</c:v>
                </c:pt>
                <c:pt idx="23">
                  <c:v>0.89067780035791722</c:v>
                </c:pt>
                <c:pt idx="24">
                  <c:v>0.87844115859212513</c:v>
                </c:pt>
                <c:pt idx="25">
                  <c:v>0.86633970495261714</c:v>
                </c:pt>
                <c:pt idx="26">
                  <c:v>0.85633426564037129</c:v>
                </c:pt>
                <c:pt idx="27">
                  <c:v>0.84644962509366461</c:v>
                </c:pt>
                <c:pt idx="28">
                  <c:v>0.81744903692316995</c:v>
                </c:pt>
                <c:pt idx="29">
                  <c:v>0.77577594907085601</c:v>
                </c:pt>
                <c:pt idx="30">
                  <c:v>0.7387990095542406</c:v>
                </c:pt>
                <c:pt idx="31">
                  <c:v>0.70687569563120822</c:v>
                </c:pt>
                <c:pt idx="32">
                  <c:v>0.6833189970792205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362368"/>
        <c:axId val="448363904"/>
      </c:lineChart>
      <c:catAx>
        <c:axId val="448362368"/>
        <c:scaling>
          <c:orientation val="minMax"/>
        </c:scaling>
        <c:delete val="0"/>
        <c:axPos val="b"/>
        <c:majorTickMark val="out"/>
        <c:minorTickMark val="none"/>
        <c:tickLblPos val="nextTo"/>
        <c:crossAx val="448363904"/>
        <c:crosses val="autoZero"/>
        <c:auto val="1"/>
        <c:lblAlgn val="ctr"/>
        <c:lblOffset val="100"/>
        <c:noMultiLvlLbl val="0"/>
      </c:catAx>
      <c:valAx>
        <c:axId val="44836390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483623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>
        <a:lumMod val="85000"/>
      </a:schemeClr>
    </a:solid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SPF!$J$3</c:f>
              <c:strCache>
                <c:ptCount val="1"/>
                <c:pt idx="0">
                  <c:v>Forward Rate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SPF!$F$4:$F$25</c:f>
              <c:numCache>
                <c:formatCode>m/d/yyyy</c:formatCode>
                <c:ptCount val="22"/>
                <c:pt idx="0">
                  <c:v>42657</c:v>
                </c:pt>
                <c:pt idx="1">
                  <c:v>42843</c:v>
                </c:pt>
                <c:pt idx="2">
                  <c:v>43024</c:v>
                </c:pt>
                <c:pt idx="3">
                  <c:v>43206</c:v>
                </c:pt>
                <c:pt idx="4">
                  <c:v>43388</c:v>
                </c:pt>
                <c:pt idx="5">
                  <c:v>43570</c:v>
                </c:pt>
                <c:pt idx="6">
                  <c:v>43752</c:v>
                </c:pt>
                <c:pt idx="7">
                  <c:v>43935</c:v>
                </c:pt>
                <c:pt idx="8">
                  <c:v>44118</c:v>
                </c:pt>
                <c:pt idx="9">
                  <c:v>44300</c:v>
                </c:pt>
                <c:pt idx="10">
                  <c:v>44483</c:v>
                </c:pt>
                <c:pt idx="11">
                  <c:v>44665</c:v>
                </c:pt>
                <c:pt idx="12">
                  <c:v>44848</c:v>
                </c:pt>
                <c:pt idx="13">
                  <c:v>45030</c:v>
                </c:pt>
                <c:pt idx="14">
                  <c:v>45215</c:v>
                </c:pt>
                <c:pt idx="15">
                  <c:v>45397</c:v>
                </c:pt>
                <c:pt idx="16">
                  <c:v>45579</c:v>
                </c:pt>
                <c:pt idx="17">
                  <c:v>45761</c:v>
                </c:pt>
                <c:pt idx="18">
                  <c:v>45944</c:v>
                </c:pt>
                <c:pt idx="19">
                  <c:v>46126</c:v>
                </c:pt>
                <c:pt idx="20">
                  <c:v>46309</c:v>
                </c:pt>
                <c:pt idx="21">
                  <c:v>46491</c:v>
                </c:pt>
              </c:numCache>
            </c:numRef>
          </c:cat>
          <c:val>
            <c:numRef>
              <c:f>SPF!$J$4:$J$25</c:f>
              <c:numCache>
                <c:formatCode>0.000</c:formatCode>
                <c:ptCount val="22"/>
                <c:pt idx="0">
                  <c:v>-0.3649586160514473</c:v>
                </c:pt>
                <c:pt idx="1">
                  <c:v>-0.39348606654698859</c:v>
                </c:pt>
                <c:pt idx="2">
                  <c:v>-0.4247232099542253</c:v>
                </c:pt>
                <c:pt idx="3">
                  <c:v>-0.42446039272446834</c:v>
                </c:pt>
                <c:pt idx="4">
                  <c:v>-0.4156193853158241</c:v>
                </c:pt>
                <c:pt idx="5">
                  <c:v>-0.39356096599834078</c:v>
                </c:pt>
                <c:pt idx="6">
                  <c:v>-0.26076216569506094</c:v>
                </c:pt>
                <c:pt idx="7">
                  <c:v>-0.26003267851838485</c:v>
                </c:pt>
                <c:pt idx="8">
                  <c:v>-0.10774047119086472</c:v>
                </c:pt>
                <c:pt idx="9">
                  <c:v>-0.10689843219930939</c:v>
                </c:pt>
                <c:pt idx="10">
                  <c:v>0.14691221352995942</c:v>
                </c:pt>
                <c:pt idx="11">
                  <c:v>0.14831627208442555</c:v>
                </c:pt>
                <c:pt idx="12">
                  <c:v>0.42864251685192922</c:v>
                </c:pt>
                <c:pt idx="13">
                  <c:v>0.43334740154756801</c:v>
                </c:pt>
                <c:pt idx="14">
                  <c:v>0.70407745943015243</c:v>
                </c:pt>
                <c:pt idx="15">
                  <c:v>0.70556700134185579</c:v>
                </c:pt>
                <c:pt idx="16">
                  <c:v>0.94921839303123701</c:v>
                </c:pt>
                <c:pt idx="17">
                  <c:v>0.95056616945699002</c:v>
                </c:pt>
                <c:pt idx="18">
                  <c:v>1.1204745292966889</c:v>
                </c:pt>
                <c:pt idx="19">
                  <c:v>1.1214140434113951</c:v>
                </c:pt>
                <c:pt idx="20">
                  <c:v>1.256550903950937</c:v>
                </c:pt>
                <c:pt idx="21">
                  <c:v>1.2572980178541027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SPF!$H$3</c:f>
              <c:strCache>
                <c:ptCount val="1"/>
                <c:pt idx="0">
                  <c:v>Spot Rate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SPF!$F$4:$F$25</c:f>
              <c:numCache>
                <c:formatCode>m/d/yyyy</c:formatCode>
                <c:ptCount val="22"/>
                <c:pt idx="0">
                  <c:v>42657</c:v>
                </c:pt>
                <c:pt idx="1">
                  <c:v>42843</c:v>
                </c:pt>
                <c:pt idx="2">
                  <c:v>43024</c:v>
                </c:pt>
                <c:pt idx="3">
                  <c:v>43206</c:v>
                </c:pt>
                <c:pt idx="4">
                  <c:v>43388</c:v>
                </c:pt>
                <c:pt idx="5">
                  <c:v>43570</c:v>
                </c:pt>
                <c:pt idx="6">
                  <c:v>43752</c:v>
                </c:pt>
                <c:pt idx="7">
                  <c:v>43935</c:v>
                </c:pt>
                <c:pt idx="8">
                  <c:v>44118</c:v>
                </c:pt>
                <c:pt idx="9">
                  <c:v>44300</c:v>
                </c:pt>
                <c:pt idx="10">
                  <c:v>44483</c:v>
                </c:pt>
                <c:pt idx="11">
                  <c:v>44665</c:v>
                </c:pt>
                <c:pt idx="12">
                  <c:v>44848</c:v>
                </c:pt>
                <c:pt idx="13">
                  <c:v>45030</c:v>
                </c:pt>
                <c:pt idx="14">
                  <c:v>45215</c:v>
                </c:pt>
                <c:pt idx="15">
                  <c:v>45397</c:v>
                </c:pt>
                <c:pt idx="16">
                  <c:v>45579</c:v>
                </c:pt>
                <c:pt idx="17">
                  <c:v>45761</c:v>
                </c:pt>
                <c:pt idx="18">
                  <c:v>45944</c:v>
                </c:pt>
                <c:pt idx="19">
                  <c:v>46126</c:v>
                </c:pt>
                <c:pt idx="20">
                  <c:v>46309</c:v>
                </c:pt>
                <c:pt idx="21">
                  <c:v>46491</c:v>
                </c:pt>
              </c:numCache>
            </c:numRef>
          </c:cat>
          <c:val>
            <c:numRef>
              <c:f>SPF!$H$4:$H$25</c:f>
              <c:numCache>
                <c:formatCode>0.000</c:formatCode>
                <c:ptCount val="22"/>
                <c:pt idx="1">
                  <c:v>-0.36891823117853884</c:v>
                </c:pt>
                <c:pt idx="2">
                  <c:v>-0.38408754379246624</c:v>
                </c:pt>
                <c:pt idx="3">
                  <c:v>-0.39914894760734176</c:v>
                </c:pt>
                <c:pt idx="4">
                  <c:v>-0.4071962283588082</c:v>
                </c:pt>
                <c:pt idx="5">
                  <c:v>-0.40979975871382468</c:v>
                </c:pt>
                <c:pt idx="6">
                  <c:v>-0.40819954064332808</c:v>
                </c:pt>
                <c:pt idx="7">
                  <c:v>-0.38776967412887942</c:v>
                </c:pt>
                <c:pt idx="8">
                  <c:v>-0.37235192245093085</c:v>
                </c:pt>
                <c:pt idx="9">
                  <c:v>-0.3431179268676976</c:v>
                </c:pt>
                <c:pt idx="10">
                  <c:v>-0.31969882555042961</c:v>
                </c:pt>
                <c:pt idx="11">
                  <c:v>-0.27722175406144078</c:v>
                </c:pt>
                <c:pt idx="12">
                  <c:v>-0.2416240745174103</c:v>
                </c:pt>
                <c:pt idx="13">
                  <c:v>-0.18985942322373717</c:v>
                </c:pt>
                <c:pt idx="14">
                  <c:v>-0.14450186585766023</c:v>
                </c:pt>
                <c:pt idx="15">
                  <c:v>-8.7708885101267509E-2</c:v>
                </c:pt>
                <c:pt idx="16">
                  <c:v>-3.7855110223516952E-2</c:v>
                </c:pt>
                <c:pt idx="17">
                  <c:v>2.0557543265886657E-2</c:v>
                </c:pt>
                <c:pt idx="18">
                  <c:v>7.2875818231477041E-2</c:v>
                </c:pt>
                <c:pt idx="19">
                  <c:v>0.12839346865138879</c:v>
                </c:pt>
                <c:pt idx="20">
                  <c:v>0.17874306561933562</c:v>
                </c:pt>
                <c:pt idx="21">
                  <c:v>0.230468347717383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864448"/>
        <c:axId val="725865984"/>
      </c:lineChart>
      <c:dateAx>
        <c:axId val="72586444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it-IT"/>
          </a:p>
        </c:txPr>
        <c:crossAx val="72586598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72586598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7258644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0029659643028606"/>
          <c:y val="0.40736145424643128"/>
          <c:w val="0.18055031205463407"/>
          <c:h val="0.1668258749980931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85000"/>
      </a:schemeClr>
    </a:soli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88797397459608"/>
          <c:y val="2.8252405949256341E-2"/>
          <c:w val="0.76174402301843613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Ita!$C$3:$C$37</c:f>
              <c:numCache>
                <c:formatCode>[$-409]mmm\-yy;@</c:formatCode>
                <c:ptCount val="35"/>
                <c:pt idx="0">
                  <c:v>42689</c:v>
                </c:pt>
                <c:pt idx="1">
                  <c:v>42719</c:v>
                </c:pt>
                <c:pt idx="2">
                  <c:v>42767</c:v>
                </c:pt>
                <c:pt idx="3">
                  <c:v>42856</c:v>
                </c:pt>
                <c:pt idx="4">
                  <c:v>42870</c:v>
                </c:pt>
                <c:pt idx="5">
                  <c:v>42887</c:v>
                </c:pt>
                <c:pt idx="6">
                  <c:v>42948</c:v>
                </c:pt>
                <c:pt idx="7">
                  <c:v>43040</c:v>
                </c:pt>
                <c:pt idx="8">
                  <c:v>43115</c:v>
                </c:pt>
                <c:pt idx="9">
                  <c:v>43132</c:v>
                </c:pt>
                <c:pt idx="10">
                  <c:v>43235</c:v>
                </c:pt>
                <c:pt idx="11">
                  <c:v>43252</c:v>
                </c:pt>
                <c:pt idx="12">
                  <c:v>43313</c:v>
                </c:pt>
                <c:pt idx="13">
                  <c:v>43388</c:v>
                </c:pt>
                <c:pt idx="14">
                  <c:v>43435</c:v>
                </c:pt>
                <c:pt idx="15">
                  <c:v>43497</c:v>
                </c:pt>
                <c:pt idx="16">
                  <c:v>43525</c:v>
                </c:pt>
                <c:pt idx="17">
                  <c:v>43570</c:v>
                </c:pt>
                <c:pt idx="18">
                  <c:v>43586</c:v>
                </c:pt>
                <c:pt idx="19">
                  <c:v>43678</c:v>
                </c:pt>
                <c:pt idx="20">
                  <c:v>43709</c:v>
                </c:pt>
                <c:pt idx="21">
                  <c:v>43753</c:v>
                </c:pt>
                <c:pt idx="22">
                  <c:v>43800</c:v>
                </c:pt>
                <c:pt idx="23">
                  <c:v>43862</c:v>
                </c:pt>
                <c:pt idx="24">
                  <c:v>43891</c:v>
                </c:pt>
                <c:pt idx="25">
                  <c:v>43952</c:v>
                </c:pt>
                <c:pt idx="26">
                  <c:v>44075</c:v>
                </c:pt>
                <c:pt idx="27">
                  <c:v>44136</c:v>
                </c:pt>
                <c:pt idx="28">
                  <c:v>44256</c:v>
                </c:pt>
                <c:pt idx="29">
                  <c:v>44317</c:v>
                </c:pt>
                <c:pt idx="30">
                  <c:v>44348</c:v>
                </c:pt>
                <c:pt idx="31">
                  <c:v>44409</c:v>
                </c:pt>
                <c:pt idx="32">
                  <c:v>44440</c:v>
                </c:pt>
                <c:pt idx="33">
                  <c:v>44501</c:v>
                </c:pt>
                <c:pt idx="34">
                  <c:v>44545</c:v>
                </c:pt>
              </c:numCache>
            </c:numRef>
          </c:xVal>
          <c:yVal>
            <c:numRef>
              <c:f>Ita!$K$3:$K$37</c:f>
              <c:numCache>
                <c:formatCode>0.0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320512"/>
        <c:axId val="738395648"/>
      </c:scatterChart>
      <c:valAx>
        <c:axId val="736320512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crossAx val="738395648"/>
        <c:crosses val="autoZero"/>
        <c:crossBetween val="midCat"/>
      </c:valAx>
      <c:valAx>
        <c:axId val="738395648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7363205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CCT!$AW$1:$CY$1</c:f>
              <c:numCache>
                <c:formatCode>d/m;@</c:formatCode>
                <c:ptCount val="55"/>
                <c:pt idx="0">
                  <c:v>42613</c:v>
                </c:pt>
                <c:pt idx="1">
                  <c:v>42605</c:v>
                </c:pt>
                <c:pt idx="2">
                  <c:v>42600</c:v>
                </c:pt>
                <c:pt idx="3">
                  <c:v>42598</c:v>
                </c:pt>
                <c:pt idx="4">
                  <c:v>42580</c:v>
                </c:pt>
                <c:pt idx="5">
                  <c:v>42579</c:v>
                </c:pt>
                <c:pt idx="6">
                  <c:v>42578</c:v>
                </c:pt>
                <c:pt idx="7">
                  <c:v>42577</c:v>
                </c:pt>
                <c:pt idx="8">
                  <c:v>42576</c:v>
                </c:pt>
                <c:pt idx="9">
                  <c:v>42573</c:v>
                </c:pt>
                <c:pt idx="10">
                  <c:v>42571</c:v>
                </c:pt>
                <c:pt idx="11">
                  <c:v>42570</c:v>
                </c:pt>
                <c:pt idx="12">
                  <c:v>42569</c:v>
                </c:pt>
                <c:pt idx="13">
                  <c:v>42558</c:v>
                </c:pt>
                <c:pt idx="14">
                  <c:v>42557</c:v>
                </c:pt>
                <c:pt idx="15">
                  <c:v>42557</c:v>
                </c:pt>
                <c:pt idx="16">
                  <c:v>42556</c:v>
                </c:pt>
                <c:pt idx="17">
                  <c:v>42555</c:v>
                </c:pt>
                <c:pt idx="18">
                  <c:v>42552</c:v>
                </c:pt>
                <c:pt idx="19">
                  <c:v>42550</c:v>
                </c:pt>
                <c:pt idx="20">
                  <c:v>42544</c:v>
                </c:pt>
                <c:pt idx="21">
                  <c:v>42542</c:v>
                </c:pt>
                <c:pt idx="22">
                  <c:v>42541</c:v>
                </c:pt>
                <c:pt idx="23">
                  <c:v>42538</c:v>
                </c:pt>
                <c:pt idx="24">
                  <c:v>42538</c:v>
                </c:pt>
                <c:pt idx="25">
                  <c:v>42537</c:v>
                </c:pt>
                <c:pt idx="26">
                  <c:v>42536</c:v>
                </c:pt>
                <c:pt idx="27">
                  <c:v>42531</c:v>
                </c:pt>
                <c:pt idx="28">
                  <c:v>42530</c:v>
                </c:pt>
                <c:pt idx="29">
                  <c:v>42529</c:v>
                </c:pt>
                <c:pt idx="30">
                  <c:v>42529</c:v>
                </c:pt>
                <c:pt idx="31">
                  <c:v>42520</c:v>
                </c:pt>
                <c:pt idx="32">
                  <c:v>42517</c:v>
                </c:pt>
                <c:pt idx="33">
                  <c:v>42516</c:v>
                </c:pt>
                <c:pt idx="34">
                  <c:v>42515</c:v>
                </c:pt>
                <c:pt idx="35">
                  <c:v>42514</c:v>
                </c:pt>
                <c:pt idx="36">
                  <c:v>42514</c:v>
                </c:pt>
                <c:pt idx="37">
                  <c:v>42513</c:v>
                </c:pt>
                <c:pt idx="38">
                  <c:v>42510</c:v>
                </c:pt>
                <c:pt idx="39">
                  <c:v>42509</c:v>
                </c:pt>
                <c:pt idx="40">
                  <c:v>42507</c:v>
                </c:pt>
                <c:pt idx="41">
                  <c:v>42502</c:v>
                </c:pt>
                <c:pt idx="42">
                  <c:v>42501</c:v>
                </c:pt>
                <c:pt idx="43">
                  <c:v>42500</c:v>
                </c:pt>
                <c:pt idx="44">
                  <c:v>42499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42493</c:v>
                </c:pt>
                <c:pt idx="49">
                  <c:v>42492</c:v>
                </c:pt>
                <c:pt idx="50">
                  <c:v>42488</c:v>
                </c:pt>
                <c:pt idx="51">
                  <c:v>42488</c:v>
                </c:pt>
                <c:pt idx="52">
                  <c:v>42487</c:v>
                </c:pt>
                <c:pt idx="53">
                  <c:v>42486</c:v>
                </c:pt>
                <c:pt idx="54">
                  <c:v>42485</c:v>
                </c:pt>
              </c:numCache>
            </c:numRef>
          </c:xVal>
          <c:yVal>
            <c:numRef>
              <c:f>CCT!$AW$30:$CY$30</c:f>
              <c:numCache>
                <c:formatCode>0.0</c:formatCode>
                <c:ptCount val="55"/>
                <c:pt idx="0">
                  <c:v>22.513389393529977</c:v>
                </c:pt>
                <c:pt idx="1">
                  <c:v>21.098182534131176</c:v>
                </c:pt>
                <c:pt idx="2">
                  <c:v>21.4991367350841</c:v>
                </c:pt>
                <c:pt idx="3">
                  <c:v>20.481856148308879</c:v>
                </c:pt>
                <c:pt idx="4">
                  <c:v>18.413908936563004</c:v>
                </c:pt>
                <c:pt idx="5">
                  <c:v>18.744012872420946</c:v>
                </c:pt>
                <c:pt idx="6">
                  <c:v>19.444424704853816</c:v>
                </c:pt>
                <c:pt idx="7">
                  <c:v>19.426965156432644</c:v>
                </c:pt>
                <c:pt idx="8">
                  <c:v>19.518638497944494</c:v>
                </c:pt>
                <c:pt idx="9">
                  <c:v>19.33326362789915</c:v>
                </c:pt>
                <c:pt idx="10">
                  <c:v>18.802763875711754</c:v>
                </c:pt>
                <c:pt idx="11">
                  <c:v>19.911218281567145</c:v>
                </c:pt>
                <c:pt idx="12">
                  <c:v>19.234922791878105</c:v>
                </c:pt>
                <c:pt idx="13">
                  <c:v>18.851585723553015</c:v>
                </c:pt>
                <c:pt idx="14">
                  <c:v>19.50410124626022</c:v>
                </c:pt>
                <c:pt idx="15">
                  <c:v>18.647393648977015</c:v>
                </c:pt>
                <c:pt idx="16">
                  <c:v>20.219381169011001</c:v>
                </c:pt>
                <c:pt idx="17">
                  <c:v>19.185152612585028</c:v>
                </c:pt>
                <c:pt idx="18">
                  <c:v>19.797411749023333</c:v>
                </c:pt>
                <c:pt idx="19">
                  <c:v>20.627456496837524</c:v>
                </c:pt>
                <c:pt idx="20">
                  <c:v>17.919012511138263</c:v>
                </c:pt>
                <c:pt idx="21">
                  <c:v>18.089030909674108</c:v>
                </c:pt>
                <c:pt idx="22">
                  <c:v>17.686487259728949</c:v>
                </c:pt>
                <c:pt idx="23">
                  <c:v>17.485376623086481</c:v>
                </c:pt>
                <c:pt idx="24">
                  <c:v>18.086505257031376</c:v>
                </c:pt>
                <c:pt idx="25">
                  <c:v>18.976124503160904</c:v>
                </c:pt>
                <c:pt idx="26">
                  <c:v>18.60817362962176</c:v>
                </c:pt>
                <c:pt idx="27">
                  <c:v>20.132717005633644</c:v>
                </c:pt>
                <c:pt idx="28">
                  <c:v>20.021343773285686</c:v>
                </c:pt>
                <c:pt idx="29">
                  <c:v>21.926400583723776</c:v>
                </c:pt>
                <c:pt idx="30">
                  <c:v>22.153032283699815</c:v>
                </c:pt>
                <c:pt idx="31">
                  <c:v>20.898612419477516</c:v>
                </c:pt>
                <c:pt idx="32">
                  <c:v>21.315272664811111</c:v>
                </c:pt>
                <c:pt idx="33">
                  <c:v>21.353659584733784</c:v>
                </c:pt>
                <c:pt idx="34">
                  <c:v>22.290612330067106</c:v>
                </c:pt>
                <c:pt idx="35">
                  <c:v>22.154214714621205</c:v>
                </c:pt>
                <c:pt idx="36">
                  <c:v>22.331919177042899</c:v>
                </c:pt>
                <c:pt idx="37">
                  <c:v>22.498424748167622</c:v>
                </c:pt>
                <c:pt idx="38">
                  <c:v>21.450549006859049</c:v>
                </c:pt>
                <c:pt idx="39">
                  <c:v>20.939105966045346</c:v>
                </c:pt>
                <c:pt idx="40">
                  <c:v>21.12141796584968</c:v>
                </c:pt>
                <c:pt idx="41">
                  <c:v>20.607814447197157</c:v>
                </c:pt>
                <c:pt idx="42">
                  <c:v>21.42356036900884</c:v>
                </c:pt>
                <c:pt idx="43">
                  <c:v>21.829403993499604</c:v>
                </c:pt>
                <c:pt idx="44">
                  <c:v>20.969346626926551</c:v>
                </c:pt>
                <c:pt idx="45">
                  <c:v>22.65449070356307</c:v>
                </c:pt>
                <c:pt idx="46">
                  <c:v>21.263946084255593</c:v>
                </c:pt>
                <c:pt idx="47">
                  <c:v>19.941193310153238</c:v>
                </c:pt>
                <c:pt idx="48">
                  <c:v>20.246240188111969</c:v>
                </c:pt>
                <c:pt idx="49">
                  <c:v>20.079483991394355</c:v>
                </c:pt>
                <c:pt idx="50">
                  <c:v>21.834873657160699</c:v>
                </c:pt>
                <c:pt idx="51">
                  <c:v>22.389711207265975</c:v>
                </c:pt>
                <c:pt idx="52">
                  <c:v>21.800531754278012</c:v>
                </c:pt>
                <c:pt idx="53">
                  <c:v>22.015969588982941</c:v>
                </c:pt>
                <c:pt idx="54">
                  <c:v>20.0815243874614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176768"/>
        <c:axId val="114178304"/>
      </c:scatterChart>
      <c:valAx>
        <c:axId val="114176768"/>
        <c:scaling>
          <c:orientation val="minMax"/>
        </c:scaling>
        <c:delete val="0"/>
        <c:axPos val="b"/>
        <c:numFmt formatCode="d/m;@" sourceLinked="1"/>
        <c:majorTickMark val="out"/>
        <c:minorTickMark val="none"/>
        <c:tickLblPos val="nextTo"/>
        <c:crossAx val="114178304"/>
        <c:crosses val="autoZero"/>
        <c:crossBetween val="midCat"/>
      </c:valAx>
      <c:valAx>
        <c:axId val="1141783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141767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CCT!$D$5:$D$14</c:f>
              <c:numCache>
                <c:formatCode>[$-409]mmm\-yy;@</c:formatCode>
                <c:ptCount val="10"/>
                <c:pt idx="0">
                  <c:v>42795</c:v>
                </c:pt>
                <c:pt idx="1">
                  <c:v>42901</c:v>
                </c:pt>
                <c:pt idx="2">
                  <c:v>43023</c:v>
                </c:pt>
                <c:pt idx="3">
                  <c:v>43205</c:v>
                </c:pt>
                <c:pt idx="4">
                  <c:v>43405</c:v>
                </c:pt>
                <c:pt idx="5">
                  <c:v>43784</c:v>
                </c:pt>
                <c:pt idx="6">
                  <c:v>44180</c:v>
                </c:pt>
                <c:pt idx="7">
                  <c:v>44727</c:v>
                </c:pt>
                <c:pt idx="8">
                  <c:v>44910</c:v>
                </c:pt>
                <c:pt idx="9">
                  <c:v>45122</c:v>
                </c:pt>
              </c:numCache>
            </c:numRef>
          </c:xVal>
          <c:yVal>
            <c:numRef>
              <c:f>CCT!$J$5:$J$14</c:f>
              <c:numCache>
                <c:formatCode>0.0</c:formatCode>
                <c:ptCount val="10"/>
                <c:pt idx="0">
                  <c:v>10.932257740703843</c:v>
                </c:pt>
                <c:pt idx="1">
                  <c:v>16.307480444075203</c:v>
                </c:pt>
                <c:pt idx="2">
                  <c:v>32.390823948873233</c:v>
                </c:pt>
                <c:pt idx="3">
                  <c:v>29.681399603884394</c:v>
                </c:pt>
                <c:pt idx="4">
                  <c:v>36.673423550065301</c:v>
                </c:pt>
                <c:pt idx="5">
                  <c:v>43.660058695836376</c:v>
                </c:pt>
                <c:pt idx="6">
                  <c:v>51.306697179931852</c:v>
                </c:pt>
                <c:pt idx="7">
                  <c:v>63.893355873257178</c:v>
                </c:pt>
                <c:pt idx="8">
                  <c:v>73.338321853750898</c:v>
                </c:pt>
                <c:pt idx="9">
                  <c:v>81.364770563037439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202496"/>
        <c:axId val="114204032"/>
      </c:scatterChart>
      <c:valAx>
        <c:axId val="114202496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crossAx val="114204032"/>
        <c:crosses val="autoZero"/>
        <c:crossBetween val="midCat"/>
      </c:valAx>
      <c:valAx>
        <c:axId val="11420403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142024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535555</xdr:colOff>
      <xdr:row>6</xdr:row>
      <xdr:rowOff>52656</xdr:rowOff>
    </xdr:from>
    <xdr:to>
      <xdr:col>15</xdr:col>
      <xdr:colOff>485236</xdr:colOff>
      <xdr:row>22</xdr:row>
      <xdr:rowOff>53914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123823</xdr:colOff>
      <xdr:row>0</xdr:row>
      <xdr:rowOff>119062</xdr:rowOff>
    </xdr:from>
    <xdr:to>
      <xdr:col>25</xdr:col>
      <xdr:colOff>495298</xdr:colOff>
      <xdr:row>12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114299</xdr:colOff>
      <xdr:row>12</xdr:row>
      <xdr:rowOff>152400</xdr:rowOff>
    </xdr:from>
    <xdr:to>
      <xdr:col>25</xdr:col>
      <xdr:colOff>485774</xdr:colOff>
      <xdr:row>24</xdr:row>
      <xdr:rowOff>109538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123824</xdr:colOff>
      <xdr:row>25</xdr:row>
      <xdr:rowOff>114300</xdr:rowOff>
    </xdr:from>
    <xdr:to>
      <xdr:col>25</xdr:col>
      <xdr:colOff>495299</xdr:colOff>
      <xdr:row>37</xdr:row>
      <xdr:rowOff>80963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1332443</xdr:colOff>
      <xdr:row>1</xdr:row>
      <xdr:rowOff>182516</xdr:rowOff>
    </xdr:from>
    <xdr:to>
      <xdr:col>22</xdr:col>
      <xdr:colOff>11521</xdr:colOff>
      <xdr:row>15</xdr:row>
      <xdr:rowOff>169069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403412</xdr:colOff>
      <xdr:row>76</xdr:row>
      <xdr:rowOff>85164</xdr:rowOff>
    </xdr:from>
    <xdr:to>
      <xdr:col>20</xdr:col>
      <xdr:colOff>246529</xdr:colOff>
      <xdr:row>93</xdr:row>
      <xdr:rowOff>33617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690562</xdr:colOff>
      <xdr:row>41</xdr:row>
      <xdr:rowOff>185737</xdr:rowOff>
    </xdr:from>
    <xdr:to>
      <xdr:col>53</xdr:col>
      <xdr:colOff>138112</xdr:colOff>
      <xdr:row>56</xdr:row>
      <xdr:rowOff>71437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85725</xdr:colOff>
      <xdr:row>41</xdr:row>
      <xdr:rowOff>171450</xdr:rowOff>
    </xdr:from>
    <xdr:to>
      <xdr:col>26</xdr:col>
      <xdr:colOff>66675</xdr:colOff>
      <xdr:row>56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lp/DAPI/DDE/blp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Erro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1"/>
  </sheetPr>
  <dimension ref="A1:H43"/>
  <sheetViews>
    <sheetView tabSelected="1" zoomScaleNormal="100" workbookViewId="0">
      <selection activeCell="C36" sqref="C36"/>
    </sheetView>
  </sheetViews>
  <sheetFormatPr defaultRowHeight="11.25"/>
  <cols>
    <col min="1" max="1" width="3.28515625" style="141" customWidth="1"/>
    <col min="2" max="3" width="17" style="33" customWidth="1"/>
    <col min="4" max="5" width="7.42578125" style="31" customWidth="1"/>
    <col min="6" max="6" width="9.140625" style="31"/>
    <col min="7" max="16384" width="9.140625" style="33"/>
  </cols>
  <sheetData>
    <row r="1" spans="1:8" ht="12" thickBot="1"/>
    <row r="2" spans="1:8">
      <c r="B2" s="142" t="s">
        <v>0</v>
      </c>
      <c r="C2" s="143" t="s">
        <v>5</v>
      </c>
    </row>
    <row r="3" spans="1:8">
      <c r="B3" s="144" t="s">
        <v>2</v>
      </c>
      <c r="C3" s="145"/>
    </row>
    <row r="4" spans="1:8" ht="12" thickBot="1">
      <c r="B4" s="146" t="s">
        <v>1</v>
      </c>
      <c r="C4" s="170">
        <f ca="1">TODAY()</f>
        <v>42655</v>
      </c>
    </row>
    <row r="6" spans="1:8" ht="12" thickBot="1"/>
    <row r="7" spans="1:8" ht="12" thickBot="1">
      <c r="B7" s="171" t="str">
        <f>_xll.BCurve($C$2,$B$3,$C$3,"cols=4;rows=36")</f>
        <v>Term</v>
      </c>
      <c r="C7" s="147" t="s">
        <v>712</v>
      </c>
      <c r="D7" s="173" t="s">
        <v>713</v>
      </c>
      <c r="E7" s="173" t="s">
        <v>714</v>
      </c>
      <c r="F7" s="174" t="str">
        <f ca="1">_xll.BCurve($C$2,$B$3,$C$3,$B$4,TEXT($C$4,"YYYYMMDD"),"Output=Mid","View=Rates","cols=1;rows=36")</f>
        <v>Mid</v>
      </c>
    </row>
    <row r="8" spans="1:8">
      <c r="A8" s="172" t="str">
        <f>IF(B8=" ","",IF(MID(B8,2,1)=" ",LEFT(B8,3),LEFT(B8,4)))</f>
        <v>1 D</v>
      </c>
      <c r="B8" s="33" t="s">
        <v>763</v>
      </c>
      <c r="C8" s="33" t="s">
        <v>715</v>
      </c>
      <c r="D8" s="175">
        <f>_xll.BDP("EONIA  Index","px_last")</f>
        <v>-0.34799999999999998</v>
      </c>
      <c r="E8" s="175">
        <f>_xll.BDP("EONIA  Index","px_last")</f>
        <v>-0.34799999999999998</v>
      </c>
      <c r="F8" s="176">
        <v>-0.34799999999999998</v>
      </c>
      <c r="H8" s="148"/>
    </row>
    <row r="9" spans="1:8">
      <c r="A9" s="172" t="str">
        <f t="shared" ref="A9:A43" si="0">IF(B9=" ","",IF(MID(B9,2,1)=" ",LEFT(B9,3),LEFT(B9,4)))</f>
        <v>1 W</v>
      </c>
      <c r="B9" s="33" t="s">
        <v>735</v>
      </c>
      <c r="C9" s="33" t="s">
        <v>716</v>
      </c>
      <c r="D9" s="175">
        <f>_xll.BDP("EUSWE1Z CMPN Curncy","bid")</f>
        <v>-0.34799999999999998</v>
      </c>
      <c r="E9" s="175">
        <f>_xll.BDP("EUSWE1Z CMPN Curncy","ask")</f>
        <v>-0.34200000000000003</v>
      </c>
      <c r="F9" s="176">
        <v>-0.34499999999999997</v>
      </c>
      <c r="H9" s="148"/>
    </row>
    <row r="10" spans="1:8">
      <c r="A10" s="172" t="str">
        <f t="shared" si="0"/>
        <v>2 W</v>
      </c>
      <c r="B10" s="33" t="s">
        <v>736</v>
      </c>
      <c r="C10" s="33" t="s">
        <v>716</v>
      </c>
      <c r="D10" s="175">
        <f>_xll.BDP("EUSWE2Z CMPN Curncy","bid")</f>
        <v>-0.35</v>
      </c>
      <c r="E10" s="175">
        <f>_xll.BDP("EUSWE2Z CMPN Curncy","ask")</f>
        <v>-0.33</v>
      </c>
      <c r="F10" s="176">
        <v>-0.34799999999999998</v>
      </c>
      <c r="H10" s="148"/>
    </row>
    <row r="11" spans="1:8">
      <c r="A11" s="172" t="str">
        <f t="shared" si="0"/>
        <v>1 M</v>
      </c>
      <c r="B11" s="33" t="s">
        <v>737</v>
      </c>
      <c r="C11" s="33" t="s">
        <v>716</v>
      </c>
      <c r="D11" s="175">
        <f>_xll.BDP("EUSWEA CMPN Curncy","bid")</f>
        <v>-0.35</v>
      </c>
      <c r="E11" s="175">
        <f>_xll.BDP("EUSWEA CMPN Curncy","ask")</f>
        <v>-0.33</v>
      </c>
      <c r="F11" s="176">
        <v>-0.34449999999999997</v>
      </c>
      <c r="H11" s="148"/>
    </row>
    <row r="12" spans="1:8">
      <c r="A12" s="172" t="str">
        <f t="shared" si="0"/>
        <v>2 M</v>
      </c>
      <c r="B12" s="33" t="s">
        <v>738</v>
      </c>
      <c r="C12" s="33" t="s">
        <v>716</v>
      </c>
      <c r="D12" s="175">
        <f>_xll.BDP("EUSWEB CMPN Curncy","bid")</f>
        <v>-0.35</v>
      </c>
      <c r="E12" s="175">
        <f>_xll.BDP("EUSWEB CMPN Curncy","ask")</f>
        <v>-0.33</v>
      </c>
      <c r="F12" s="176">
        <v>-0.34075</v>
      </c>
      <c r="H12" s="148"/>
    </row>
    <row r="13" spans="1:8">
      <c r="A13" s="172" t="str">
        <f t="shared" si="0"/>
        <v>3 M</v>
      </c>
      <c r="B13" s="33" t="s">
        <v>739</v>
      </c>
      <c r="C13" s="33" t="s">
        <v>716</v>
      </c>
      <c r="D13" s="175">
        <f>_xll.BDP("EUSWEC CMPN Curncy","bid")</f>
        <v>-0.35199999999999998</v>
      </c>
      <c r="E13" s="175">
        <f>_xll.BDP("EUSWEC CMPN Curncy","ask")</f>
        <v>-0.33</v>
      </c>
      <c r="F13" s="176">
        <v>-0.35</v>
      </c>
      <c r="H13" s="148"/>
    </row>
    <row r="14" spans="1:8">
      <c r="A14" s="172" t="str">
        <f t="shared" si="0"/>
        <v>4 M</v>
      </c>
      <c r="B14" s="33" t="s">
        <v>740</v>
      </c>
      <c r="C14" s="33" t="s">
        <v>716</v>
      </c>
      <c r="D14" s="175">
        <f>_xll.BDP("EUSWED CMPN Curncy","bid")</f>
        <v>-0.36699999999999999</v>
      </c>
      <c r="E14" s="175">
        <f>_xll.BDP("EUSWED CMPN Curncy","ask")</f>
        <v>-0.33700000000000002</v>
      </c>
      <c r="F14" s="176">
        <v>-0.35</v>
      </c>
      <c r="H14" s="148"/>
    </row>
    <row r="15" spans="1:8">
      <c r="A15" s="172" t="str">
        <f t="shared" si="0"/>
        <v>5 M</v>
      </c>
      <c r="B15" s="33" t="s">
        <v>741</v>
      </c>
      <c r="C15" s="33" t="s">
        <v>716</v>
      </c>
      <c r="D15" s="175">
        <f>_xll.BDP("EUSWEE CMPN Curncy","bid")</f>
        <v>-0.372</v>
      </c>
      <c r="E15" s="175">
        <f>_xll.BDP("EUSWEE CMPN Curncy","ask")</f>
        <v>-0.34200000000000003</v>
      </c>
      <c r="F15" s="176">
        <v>-0.36149999999999999</v>
      </c>
      <c r="H15" s="148"/>
    </row>
    <row r="16" spans="1:8">
      <c r="A16" s="172" t="str">
        <f t="shared" si="0"/>
        <v>6 M</v>
      </c>
      <c r="B16" s="33" t="s">
        <v>7</v>
      </c>
      <c r="C16" s="33" t="s">
        <v>716</v>
      </c>
      <c r="D16" s="175">
        <f>_xll.BDP("EUSWEF CMPN Curncy","bid")</f>
        <v>-0.38800000000000001</v>
      </c>
      <c r="E16" s="175">
        <f>_xll.BDP("EUSWEF CMPN Curncy","ask")</f>
        <v>-0.34699999999999998</v>
      </c>
      <c r="F16" s="176">
        <v>-0.35599999999999998</v>
      </c>
      <c r="H16" s="148"/>
    </row>
    <row r="17" spans="1:8">
      <c r="A17" s="172" t="str">
        <f t="shared" si="0"/>
        <v>7 M</v>
      </c>
      <c r="B17" s="33" t="s">
        <v>26</v>
      </c>
      <c r="C17" s="33" t="s">
        <v>716</v>
      </c>
      <c r="D17" s="175">
        <f>_xll.BDP("EUSWEG CMPN Curncy","bid")</f>
        <v>-0.38</v>
      </c>
      <c r="E17" s="175">
        <f>_xll.BDP("EUSWEG CMPN Curncy","ask")</f>
        <v>-0.35</v>
      </c>
      <c r="F17" s="176">
        <v>-0.36525000000000002</v>
      </c>
      <c r="H17" s="148"/>
    </row>
    <row r="18" spans="1:8">
      <c r="A18" s="172" t="str">
        <f t="shared" si="0"/>
        <v>8 M</v>
      </c>
      <c r="B18" s="33" t="s">
        <v>27</v>
      </c>
      <c r="C18" s="33" t="s">
        <v>716</v>
      </c>
      <c r="D18" s="175">
        <f>_xll.BDP("EUSWEH CMPN Curncy","bid")</f>
        <v>-0.371</v>
      </c>
      <c r="E18" s="175">
        <f>_xll.BDP("EUSWEH CMPN Curncy","ask")</f>
        <v>-0.36649999999999999</v>
      </c>
      <c r="F18" s="176">
        <v>-0.36799999999999999</v>
      </c>
      <c r="H18" s="148"/>
    </row>
    <row r="19" spans="1:8">
      <c r="A19" s="172" t="str">
        <f t="shared" si="0"/>
        <v>9 M</v>
      </c>
      <c r="B19" s="33" t="s">
        <v>28</v>
      </c>
      <c r="C19" s="33" t="s">
        <v>716</v>
      </c>
      <c r="D19" s="175">
        <f>_xll.BDP("EUSWEI CMPN Curncy","bid")</f>
        <v>-0.38600000000000001</v>
      </c>
      <c r="E19" s="175">
        <f>_xll.BDP("EUSWEI CMPN Curncy","ask")</f>
        <v>-0.35599999999999998</v>
      </c>
      <c r="F19" s="176">
        <v>-0.371</v>
      </c>
      <c r="H19" s="148"/>
    </row>
    <row r="20" spans="1:8">
      <c r="A20" s="172" t="str">
        <f t="shared" si="0"/>
        <v>10 M</v>
      </c>
      <c r="B20" s="33" t="s">
        <v>29</v>
      </c>
      <c r="C20" s="33" t="s">
        <v>716</v>
      </c>
      <c r="D20" s="175">
        <f>_xll.BDP("EUSWEJ CMPN Curncy","bid")</f>
        <v>-0.38900000000000001</v>
      </c>
      <c r="E20" s="175">
        <f>_xll.BDP("EUSWEJ CMPN Curncy","ask")</f>
        <v>-0.35899999999999999</v>
      </c>
      <c r="F20" s="176">
        <v>-0.374</v>
      </c>
      <c r="H20" s="148"/>
    </row>
    <row r="21" spans="1:8">
      <c r="A21" s="172" t="str">
        <f t="shared" si="0"/>
        <v>11 M</v>
      </c>
      <c r="B21" s="33" t="s">
        <v>30</v>
      </c>
      <c r="C21" s="33" t="s">
        <v>716</v>
      </c>
      <c r="D21" s="175">
        <f>_xll.BDP("EUSWEK CMPN Curncy","bid")</f>
        <v>-0.39100000000000001</v>
      </c>
      <c r="E21" s="175">
        <f>_xll.BDP("EUSWEK CMPN Curncy","ask")</f>
        <v>-0.36099999999999999</v>
      </c>
      <c r="F21" s="176">
        <v>-0.377</v>
      </c>
      <c r="H21" s="148"/>
    </row>
    <row r="22" spans="1:8">
      <c r="A22" s="172" t="str">
        <f t="shared" si="0"/>
        <v>12 M</v>
      </c>
      <c r="B22" s="33" t="s">
        <v>32</v>
      </c>
      <c r="C22" s="33" t="s">
        <v>716</v>
      </c>
      <c r="D22" s="175">
        <f>_xll.BDP("EUSWE1 CMPN Curncy","bid")</f>
        <v>-0.38400000000000001</v>
      </c>
      <c r="E22" s="175">
        <f>_xll.BDP("EUSWE1 CMPN Curncy","ask")</f>
        <v>-0.377</v>
      </c>
      <c r="F22" s="176">
        <v>-0.38</v>
      </c>
      <c r="H22" s="148"/>
    </row>
    <row r="23" spans="1:8">
      <c r="A23" s="172" t="str">
        <f t="shared" si="0"/>
        <v>18 M</v>
      </c>
      <c r="B23" s="33" t="s">
        <v>31</v>
      </c>
      <c r="C23" s="33" t="s">
        <v>716</v>
      </c>
      <c r="D23" s="175">
        <f>_xll.BDP("EUSWE1F CMPN Curncy","bid")</f>
        <v>-0.41</v>
      </c>
      <c r="E23" s="175">
        <f>_xll.BDP("EUSWE1F CMPN Curncy","ask")</f>
        <v>-0.38</v>
      </c>
      <c r="F23" s="176">
        <v>-0.39350000000000002</v>
      </c>
      <c r="H23" s="148"/>
    </row>
    <row r="24" spans="1:8">
      <c r="A24" s="172" t="str">
        <f t="shared" si="0"/>
        <v>2 Y</v>
      </c>
      <c r="B24" s="149" t="s">
        <v>8</v>
      </c>
      <c r="C24" s="149" t="s">
        <v>716</v>
      </c>
      <c r="D24" s="177">
        <f>_xll.BDP("EUSWE2 CMPN Curncy","bid")</f>
        <v>-0.40600000000000003</v>
      </c>
      <c r="E24" s="177">
        <f>_xll.BDP("EUSWE2 CMPN Curncy","ask")</f>
        <v>-0.39900000000000002</v>
      </c>
      <c r="F24" s="178">
        <v>-0.38974999999999999</v>
      </c>
      <c r="H24" s="148"/>
    </row>
    <row r="25" spans="1:8">
      <c r="A25" s="172" t="str">
        <f t="shared" si="0"/>
        <v>30 M</v>
      </c>
      <c r="B25" s="33" t="s">
        <v>742</v>
      </c>
      <c r="C25" s="33" t="s">
        <v>716</v>
      </c>
      <c r="D25" s="175">
        <f>_xll.BDP("EUSWE2F CMPN Curncy","bid")</f>
        <v>-0.40500000000000003</v>
      </c>
      <c r="E25" s="175">
        <f>_xll.BDP("EUSWE2F CMPN Curncy","ask")</f>
        <v>-0.40500000000000003</v>
      </c>
      <c r="F25" s="176">
        <v>-0.40500000000000003</v>
      </c>
      <c r="H25" s="148"/>
    </row>
    <row r="26" spans="1:8">
      <c r="A26" s="172" t="str">
        <f t="shared" si="0"/>
        <v>3 Y</v>
      </c>
      <c r="B26" s="33" t="s">
        <v>9</v>
      </c>
      <c r="C26" s="33" t="s">
        <v>716</v>
      </c>
      <c r="D26" s="175">
        <f>_xll.BDP("EUSWE3 CMPN Curncy","bid")</f>
        <v>-0.41299999999999998</v>
      </c>
      <c r="E26" s="175">
        <f>_xll.BDP("EUSWE3 CMPN Curncy","ask")</f>
        <v>-0.39350000000000002</v>
      </c>
      <c r="F26" s="176">
        <v>-0.39750000000000002</v>
      </c>
      <c r="H26" s="148"/>
    </row>
    <row r="27" spans="1:8">
      <c r="A27" s="172" t="str">
        <f t="shared" si="0"/>
        <v>4 Y</v>
      </c>
      <c r="B27" s="33" t="s">
        <v>10</v>
      </c>
      <c r="C27" s="33" t="s">
        <v>716</v>
      </c>
      <c r="D27" s="175">
        <f>_xll.BDP("EUSWE4 CMPN Curncy","bid")</f>
        <v>-0.374</v>
      </c>
      <c r="E27" s="175">
        <f>_xll.BDP("EUSWE4 CMPN Curncy","ask")</f>
        <v>-0.35949999999999999</v>
      </c>
      <c r="F27" s="176">
        <v>-0.36099999999999999</v>
      </c>
      <c r="H27" s="148"/>
    </row>
    <row r="28" spans="1:8">
      <c r="A28" s="172" t="str">
        <f t="shared" si="0"/>
        <v>5 Y</v>
      </c>
      <c r="B28" s="33" t="s">
        <v>11</v>
      </c>
      <c r="C28" s="33" t="s">
        <v>716</v>
      </c>
      <c r="D28" s="175">
        <f>_xll.BDP("EUSWE5 CMPN Curncy","bid")</f>
        <v>-0.3145</v>
      </c>
      <c r="E28" s="175">
        <f>_xll.BDP("EUSWE5 CMPN Curncy","ask")</f>
        <v>-0.309</v>
      </c>
      <c r="F28" s="176">
        <v>-0.308</v>
      </c>
      <c r="G28" s="148"/>
      <c r="H28" s="148"/>
    </row>
    <row r="29" spans="1:8">
      <c r="A29" s="172" t="str">
        <f t="shared" si="0"/>
        <v>6 Y</v>
      </c>
      <c r="B29" s="149" t="s">
        <v>12</v>
      </c>
      <c r="C29" s="149" t="s">
        <v>716</v>
      </c>
      <c r="D29" s="177">
        <f>_xll.BDP("EUSWE6 CMPN Curncy","bid")</f>
        <v>-0.23699999999999999</v>
      </c>
      <c r="E29" s="177">
        <f>_xll.BDP("EUSWE6 CMPN Curncy","ask")</f>
        <v>-0.23150000000000001</v>
      </c>
      <c r="F29" s="178">
        <v>-0.23</v>
      </c>
      <c r="H29" s="148"/>
    </row>
    <row r="30" spans="1:8">
      <c r="A30" s="172" t="str">
        <f t="shared" si="0"/>
        <v>7 Y</v>
      </c>
      <c r="B30" s="33" t="s">
        <v>13</v>
      </c>
      <c r="C30" s="33" t="s">
        <v>716</v>
      </c>
      <c r="D30" s="175">
        <f>_xll.BDP("EUSWE7 CMPN Curncy","bid")</f>
        <v>-0.14099999999999999</v>
      </c>
      <c r="E30" s="175">
        <f>_xll.BDP("EUSWE7 CMPN Curncy","ask")</f>
        <v>-0.13550000000000001</v>
      </c>
      <c r="F30" s="176">
        <v>-0.13325000000000001</v>
      </c>
      <c r="H30" s="148"/>
    </row>
    <row r="31" spans="1:8">
      <c r="A31" s="172" t="str">
        <f t="shared" si="0"/>
        <v>8 Y</v>
      </c>
      <c r="B31" s="33" t="s">
        <v>14</v>
      </c>
      <c r="C31" s="33" t="s">
        <v>716</v>
      </c>
      <c r="D31" s="175">
        <f>_xll.BDP("EUSWE8 CMPN Curncy","bid")</f>
        <v>-3.5999999999999997E-2</v>
      </c>
      <c r="E31" s="175">
        <f>_xll.BDP("EUSWE8 CMPN Curncy","ask")</f>
        <v>-0.03</v>
      </c>
      <c r="F31" s="176">
        <v>-2.725E-2</v>
      </c>
      <c r="H31" s="148"/>
    </row>
    <row r="32" spans="1:8">
      <c r="A32" s="172" t="str">
        <f t="shared" si="0"/>
        <v>9 Y</v>
      </c>
      <c r="B32" s="33" t="s">
        <v>15</v>
      </c>
      <c r="C32" s="33" t="s">
        <v>716</v>
      </c>
      <c r="D32" s="175">
        <f>_xll.BDP("EUSWE9 CMPN Curncy","bid")</f>
        <v>6.8000000000000005E-2</v>
      </c>
      <c r="E32" s="175">
        <f>_xll.BDP("EUSWE9 CMPN Curncy","ask")</f>
        <v>8.1500000000000003E-2</v>
      </c>
      <c r="F32" s="176">
        <v>8.1000000000000003E-2</v>
      </c>
      <c r="H32" s="148"/>
    </row>
    <row r="33" spans="1:8">
      <c r="A33" s="172" t="str">
        <f t="shared" si="0"/>
        <v>10 Y</v>
      </c>
      <c r="B33" s="33" t="s">
        <v>16</v>
      </c>
      <c r="C33" s="33" t="s">
        <v>716</v>
      </c>
      <c r="D33" s="175">
        <f>_xll.BDP("EUSWE10 CMPN Curncy","bid")</f>
        <v>0.17599999999999999</v>
      </c>
      <c r="E33" s="175">
        <f>_xll.BDP("EUSWE10 CMPN Curncy","ask")</f>
        <v>0.182</v>
      </c>
      <c r="F33" s="176">
        <v>0.1845</v>
      </c>
      <c r="H33" s="148"/>
    </row>
    <row r="34" spans="1:8">
      <c r="A34" s="172" t="str">
        <f t="shared" si="0"/>
        <v>11 Y</v>
      </c>
      <c r="B34" s="33" t="s">
        <v>17</v>
      </c>
      <c r="C34" s="33" t="s">
        <v>716</v>
      </c>
      <c r="D34" s="175">
        <f>_xll.BDP("EUSWE11 CMPN Curncy","bid")</f>
        <v>0.27350000000000002</v>
      </c>
      <c r="E34" s="175">
        <f>_xll.BDP("EUSWE11 CMPN Curncy","ask")</f>
        <v>0.27350000000000002</v>
      </c>
      <c r="F34" s="176">
        <v>0.27939999999999998</v>
      </c>
      <c r="H34" s="148"/>
    </row>
    <row r="35" spans="1:8">
      <c r="A35" s="172" t="str">
        <f t="shared" si="0"/>
        <v>12 Y</v>
      </c>
      <c r="B35" s="149" t="s">
        <v>18</v>
      </c>
      <c r="C35" s="149" t="s">
        <v>716</v>
      </c>
      <c r="D35" s="177">
        <f>_xll.BDP("EUSWE12 CMPN Curncy","bid")</f>
        <v>0.35799999999999998</v>
      </c>
      <c r="E35" s="177">
        <f>_xll.BDP("EUSWE12 CMPN Curncy","ask")</f>
        <v>0.36349999999999999</v>
      </c>
      <c r="F35" s="178">
        <v>0.36749999999999999</v>
      </c>
      <c r="G35" s="33">
        <f>(D35+E35)/2</f>
        <v>0.36075000000000002</v>
      </c>
      <c r="H35" s="148"/>
    </row>
    <row r="36" spans="1:8">
      <c r="A36" s="172" t="str">
        <f t="shared" si="0"/>
        <v>15 Y</v>
      </c>
      <c r="B36" s="33" t="s">
        <v>19</v>
      </c>
      <c r="C36" s="33" t="s">
        <v>716</v>
      </c>
      <c r="D36" s="175">
        <f>_xll.BDP("EUSWE15 CMPN Curncy","bid")</f>
        <v>0.54900000000000004</v>
      </c>
      <c r="E36" s="175">
        <f>_xll.BDP("EUSWE15 CMPN Curncy","ask")</f>
        <v>0.5655</v>
      </c>
      <c r="F36" s="176">
        <v>0.5645</v>
      </c>
      <c r="H36" s="148"/>
    </row>
    <row r="37" spans="1:8">
      <c r="A37" s="172" t="str">
        <f t="shared" si="0"/>
        <v>20 Y</v>
      </c>
      <c r="B37" s="33" t="s">
        <v>20</v>
      </c>
      <c r="C37" s="33" t="s">
        <v>716</v>
      </c>
      <c r="D37" s="175">
        <f>_xll.BDP("EUSWE20 CMPN Curncy","bid")</f>
        <v>0.70599999999999996</v>
      </c>
      <c r="E37" s="175">
        <f>_xll.BDP("EUSWE20 CMPN Curncy","ask")</f>
        <v>0.73599999999999999</v>
      </c>
      <c r="F37" s="176">
        <v>0.73050000000000004</v>
      </c>
      <c r="H37" s="148"/>
    </row>
    <row r="38" spans="1:8">
      <c r="A38" s="172" t="str">
        <f t="shared" si="0"/>
        <v>25 Y</v>
      </c>
      <c r="B38" s="33" t="s">
        <v>21</v>
      </c>
      <c r="C38" s="33" t="s">
        <v>716</v>
      </c>
      <c r="D38" s="175">
        <f>_xll.BDP("EUSWE25 CMPN Curncy","bid")</f>
        <v>0.77249999999999996</v>
      </c>
      <c r="E38" s="175">
        <f>_xll.BDP("EUSWE25 CMPN Curncy","ask")</f>
        <v>0.79149999999999998</v>
      </c>
      <c r="F38" s="176">
        <v>0.79049999999999998</v>
      </c>
      <c r="H38" s="148"/>
    </row>
    <row r="39" spans="1:8">
      <c r="A39" s="172" t="str">
        <f t="shared" si="0"/>
        <v>30 Y</v>
      </c>
      <c r="B39" s="33" t="s">
        <v>22</v>
      </c>
      <c r="C39" s="33" t="s">
        <v>716</v>
      </c>
      <c r="D39" s="168">
        <f>_xll.BDP("EUSWE30 CMPN Curncy","bid")</f>
        <v>0.79800000000000004</v>
      </c>
      <c r="E39" s="168">
        <f>_xll.BDP("EUSWE30 CMPN Curncy","ask")</f>
        <v>0.81399999999999995</v>
      </c>
      <c r="F39" s="168">
        <v>0.81399999999999995</v>
      </c>
      <c r="H39" s="148"/>
    </row>
    <row r="40" spans="1:8">
      <c r="A40" s="172" t="str">
        <f t="shared" si="0"/>
        <v>35 Y</v>
      </c>
      <c r="B40" s="33" t="s">
        <v>23</v>
      </c>
      <c r="C40" s="33" t="s">
        <v>716</v>
      </c>
      <c r="D40" s="168">
        <f>_xll.BDP("EUSWE35 CMPN Curncy","bid")</f>
        <v>0.80300000000000005</v>
      </c>
      <c r="E40" s="168">
        <f>_xll.BDP("EUSWE35 CMPN Curncy","ask")</f>
        <v>0.82050000000000001</v>
      </c>
      <c r="F40" s="168">
        <v>0.8135</v>
      </c>
    </row>
    <row r="41" spans="1:8">
      <c r="A41" s="172" t="str">
        <f t="shared" si="0"/>
        <v>40 Y</v>
      </c>
      <c r="B41" s="33" t="s">
        <v>24</v>
      </c>
      <c r="C41" s="33" t="s">
        <v>716</v>
      </c>
      <c r="D41" s="168">
        <f>_xll.BDP("EUSWE40 CMPN Curncy","bid")</f>
        <v>0.79900000000000004</v>
      </c>
      <c r="E41" s="168">
        <f>_xll.BDP("EUSWE40 CMPN Curncy","ask")</f>
        <v>0.81699999999999995</v>
      </c>
      <c r="F41" s="168">
        <v>0.80400000000000005</v>
      </c>
    </row>
    <row r="42" spans="1:8">
      <c r="A42" s="172" t="str">
        <f t="shared" si="0"/>
        <v>50 Y</v>
      </c>
      <c r="B42" s="33" t="s">
        <v>25</v>
      </c>
      <c r="C42" s="33" t="s">
        <v>716</v>
      </c>
      <c r="D42" s="168">
        <f>_xll.BDP("EUSWE50 CMPN Curncy","bid")</f>
        <v>0.76</v>
      </c>
      <c r="E42" s="168">
        <f>_xll.BDP("EUSWE50 CMPN Curncy","ask")</f>
        <v>0.78100000000000003</v>
      </c>
      <c r="F42" s="168">
        <v>0.78</v>
      </c>
    </row>
    <row r="43" spans="1:8">
      <c r="A43" s="172" t="str">
        <f t="shared" si="0"/>
        <v/>
      </c>
    </row>
  </sheetData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Dati!$B$2:$B$19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Q103"/>
  <sheetViews>
    <sheetView zoomScaleNormal="100" workbookViewId="0">
      <selection activeCell="J5" sqref="J5"/>
    </sheetView>
  </sheetViews>
  <sheetFormatPr defaultRowHeight="11.25"/>
  <cols>
    <col min="1" max="1" width="3.28515625" style="33" customWidth="1"/>
    <col min="2" max="2" width="12.7109375" style="33" customWidth="1"/>
    <col min="3" max="5" width="10.42578125" style="33" customWidth="1"/>
    <col min="6" max="6" width="6.140625" style="33" customWidth="1"/>
    <col min="7" max="7" width="7.85546875" style="33" customWidth="1"/>
    <col min="8" max="16" width="7.28515625" style="31" customWidth="1"/>
    <col min="17" max="16384" width="9.140625" style="33"/>
  </cols>
  <sheetData>
    <row r="1" spans="2:17" ht="12" thickBot="1"/>
    <row r="2" spans="2:17">
      <c r="B2" s="150" t="s">
        <v>0</v>
      </c>
      <c r="C2" s="310" t="s">
        <v>5</v>
      </c>
      <c r="D2" s="311"/>
      <c r="G2" s="308" t="s">
        <v>53</v>
      </c>
      <c r="H2" s="301" t="str">
        <f>IF($C$11="Term",C10&amp;" Forward",C9)</f>
        <v>3m Forward</v>
      </c>
      <c r="I2" s="302"/>
      <c r="J2" s="303"/>
      <c r="K2" s="301" t="str">
        <f>IF($C$11="Term",D10&amp;" Forward",D9)</f>
        <v>5y Forward</v>
      </c>
      <c r="L2" s="302"/>
      <c r="M2" s="303"/>
      <c r="N2" s="301" t="str">
        <f>IF($C$11="Term",E10&amp;" Forward",E9)</f>
        <v>10y Forward</v>
      </c>
      <c r="O2" s="302"/>
      <c r="P2" s="303"/>
    </row>
    <row r="3" spans="2:17" ht="12" thickBot="1">
      <c r="B3" s="151" t="s">
        <v>2</v>
      </c>
      <c r="C3" s="312"/>
      <c r="D3" s="313"/>
      <c r="G3" s="309"/>
      <c r="H3" s="163" t="str">
        <f>IF($C$11="Term",C9,C10)</f>
        <v>Par.Mid</v>
      </c>
      <c r="I3" s="164" t="str">
        <f>IF($C$11="Term",D9,D10)</f>
        <v>Zc.Mid</v>
      </c>
      <c r="J3" s="165" t="str">
        <f>IF($C$11="Term",E9,E10)</f>
        <v>Df.Mid</v>
      </c>
      <c r="K3" s="163" t="str">
        <f>IF($C$11="Term",C9,C10)</f>
        <v>Par.Mid</v>
      </c>
      <c r="L3" s="164" t="str">
        <f>IF($C$11="Term",D9,D10)</f>
        <v>Zc.Mid</v>
      </c>
      <c r="M3" s="165" t="str">
        <f>IF($C$11="Term",E9,E10)</f>
        <v>Df.Mid</v>
      </c>
      <c r="N3" s="166" t="str">
        <f>IF($C$11="Term",C9,C10)</f>
        <v>Par.Mid</v>
      </c>
      <c r="O3" s="164" t="str">
        <f>IF($C$11="Term",D9,D10)</f>
        <v>Zc.Mid</v>
      </c>
      <c r="P3" s="165" t="str">
        <f>IF($C$11="Term",E9,E10)</f>
        <v>Df.Mid</v>
      </c>
    </row>
    <row r="4" spans="2:17">
      <c r="B4" s="151" t="s">
        <v>1</v>
      </c>
      <c r="C4" s="304">
        <f ca="1">TODAY()</f>
        <v>42655</v>
      </c>
      <c r="D4" s="305"/>
      <c r="G4" s="152" t="str">
        <f ca="1">_xll.BView(B15,"Term","cols=1;rows=35")</f>
        <v>1 DY</v>
      </c>
      <c r="H4" s="167">
        <f ca="1">_xll.BCurveFwd($B$15,C9:E9,"Tenor",$G$4:$G$86,"Term",$C$10:$E$10,"GroupBy",$C$11,"cols=9;rows=35")</f>
        <v>-0.28786856262730254</v>
      </c>
      <c r="I4" s="168">
        <v>-0.24297352920843451</v>
      </c>
      <c r="J4" s="169">
        <v>1.0000067493102531</v>
      </c>
      <c r="K4" s="168">
        <v>0.22746493385650268</v>
      </c>
      <c r="L4" s="168">
        <v>-6.3684718858425526E-3</v>
      </c>
      <c r="M4" s="169">
        <v>1.0000001769020281</v>
      </c>
      <c r="N4" s="168">
        <v>1.3652255926475121</v>
      </c>
      <c r="O4" s="168">
        <v>1.2189313644759281</v>
      </c>
      <c r="P4" s="169">
        <v>0.99996614194183819</v>
      </c>
    </row>
    <row r="5" spans="2:17">
      <c r="B5" s="154" t="s">
        <v>426</v>
      </c>
      <c r="C5" s="304" t="s">
        <v>430</v>
      </c>
      <c r="D5" s="305"/>
      <c r="G5" s="33" t="s">
        <v>735</v>
      </c>
      <c r="H5" s="168">
        <v>-0.28786165702570021</v>
      </c>
      <c r="I5" s="168">
        <v>-0.28106037378109461</v>
      </c>
      <c r="J5" s="169">
        <v>1.0000547290706543</v>
      </c>
      <c r="K5" s="168">
        <v>0.22746924559748158</v>
      </c>
      <c r="L5" s="168">
        <v>0.19318340159284464</v>
      </c>
      <c r="M5" s="169">
        <v>0.99996247350144174</v>
      </c>
      <c r="N5" s="168">
        <v>1.3653809225385065</v>
      </c>
      <c r="O5" s="168">
        <v>1.3533776364915928</v>
      </c>
      <c r="P5" s="169">
        <v>0.99973864224409492</v>
      </c>
    </row>
    <row r="6" spans="2:17" ht="12" thickBot="1">
      <c r="B6" s="155" t="s">
        <v>427</v>
      </c>
      <c r="C6" s="306">
        <v>10</v>
      </c>
      <c r="D6" s="307"/>
      <c r="G6" s="33" t="s">
        <v>736</v>
      </c>
      <c r="H6" s="168">
        <v>-0.28785360077106653</v>
      </c>
      <c r="I6" s="168">
        <v>-0.28425812117544025</v>
      </c>
      <c r="J6" s="169">
        <v>1.000110708367322</v>
      </c>
      <c r="K6" s="168">
        <v>0.22747427609387341</v>
      </c>
      <c r="L6" s="168">
        <v>0.20983067242326126</v>
      </c>
      <c r="M6" s="169">
        <v>0.99991848799743022</v>
      </c>
      <c r="N6" s="168">
        <v>1.3655621705310352</v>
      </c>
      <c r="O6" s="168">
        <v>1.3639688198300304</v>
      </c>
      <c r="P6" s="169">
        <v>0.99947329134542462</v>
      </c>
    </row>
    <row r="7" spans="2:17">
      <c r="B7" s="149"/>
      <c r="G7" s="33" t="s">
        <v>737</v>
      </c>
      <c r="H7" s="168">
        <v>-0.28727709573994048</v>
      </c>
      <c r="I7" s="168">
        <v>-0.28573393780083611</v>
      </c>
      <c r="J7" s="169">
        <v>1.0002464312211734</v>
      </c>
      <c r="K7" s="168">
        <v>0.22748721233955163</v>
      </c>
      <c r="L7" s="168">
        <v>0.21919597775053035</v>
      </c>
      <c r="M7" s="169">
        <v>0.99980539129975499</v>
      </c>
      <c r="N7" s="168">
        <v>1.3660542910941431</v>
      </c>
      <c r="O7" s="168">
        <v>1.3700672759197507</v>
      </c>
      <c r="P7" s="169">
        <v>0.99875340816025504</v>
      </c>
    </row>
    <row r="8" spans="2:17" ht="12" thickBot="1">
      <c r="B8" s="149"/>
      <c r="G8" s="33" t="s">
        <v>738</v>
      </c>
      <c r="H8" s="168">
        <v>-0.28456365475986445</v>
      </c>
      <c r="I8" s="168">
        <v>-0.28303870419970067</v>
      </c>
      <c r="J8" s="169">
        <v>1.0004646346023909</v>
      </c>
      <c r="K8" s="168">
        <v>0.2275080561317385</v>
      </c>
      <c r="L8" s="168">
        <v>0.22265914472028303</v>
      </c>
      <c r="M8" s="169">
        <v>0.99962320685931161</v>
      </c>
      <c r="N8" s="168">
        <v>1.3667799524524964</v>
      </c>
      <c r="O8" s="168">
        <v>1.3721299946621413</v>
      </c>
      <c r="P8" s="169">
        <v>0.9976934726558524</v>
      </c>
    </row>
    <row r="9" spans="2:17">
      <c r="B9" s="150" t="s">
        <v>45</v>
      </c>
      <c r="C9" s="156" t="s">
        <v>39</v>
      </c>
      <c r="D9" s="157" t="s">
        <v>42</v>
      </c>
      <c r="E9" s="158" t="s">
        <v>36</v>
      </c>
      <c r="G9" s="33" t="s">
        <v>739</v>
      </c>
      <c r="H9" s="168">
        <v>-0.29476158261048901</v>
      </c>
      <c r="I9" s="168">
        <v>-0.29367741729464658</v>
      </c>
      <c r="J9" s="169">
        <v>1.0007518956873023</v>
      </c>
      <c r="K9" s="168">
        <v>0.22753034024281579</v>
      </c>
      <c r="L9" s="168">
        <v>0.22394682952586731</v>
      </c>
      <c r="M9" s="169">
        <v>0.99942849468536232</v>
      </c>
      <c r="N9" s="168">
        <v>1.36758396277357</v>
      </c>
      <c r="O9" s="168">
        <v>1.3729491682912931</v>
      </c>
      <c r="P9" s="169">
        <v>0.99652128468735679</v>
      </c>
    </row>
    <row r="10" spans="2:17">
      <c r="B10" s="151" t="s">
        <v>46</v>
      </c>
      <c r="C10" s="159" t="s">
        <v>49</v>
      </c>
      <c r="D10" s="160" t="s">
        <v>50</v>
      </c>
      <c r="E10" s="161" t="s">
        <v>51</v>
      </c>
      <c r="G10" s="33" t="s">
        <v>740</v>
      </c>
      <c r="H10" s="168">
        <v>-0.28423226520367739</v>
      </c>
      <c r="I10" s="168">
        <v>-0.28352346667178674</v>
      </c>
      <c r="J10" s="169">
        <v>1.00094686851648</v>
      </c>
      <c r="K10" s="168">
        <v>0.22755262726408737</v>
      </c>
      <c r="L10" s="168">
        <v>0.22458544357462085</v>
      </c>
      <c r="M10" s="169">
        <v>0.99923382043853448</v>
      </c>
      <c r="N10" s="168">
        <v>1.3684145703103081</v>
      </c>
      <c r="O10" s="168">
        <v>1.3733651507744415</v>
      </c>
      <c r="P10" s="169">
        <v>0.99531272874199239</v>
      </c>
      <c r="Q10" s="153"/>
    </row>
    <row r="11" spans="2:17" ht="12" thickBot="1">
      <c r="B11" s="162" t="s">
        <v>52</v>
      </c>
      <c r="C11" s="292" t="s">
        <v>47</v>
      </c>
      <c r="D11" s="293"/>
      <c r="E11" s="294"/>
      <c r="G11" s="33" t="s">
        <v>741</v>
      </c>
      <c r="H11" s="168">
        <v>-0.28647671555212439</v>
      </c>
      <c r="I11" s="168">
        <v>-0.28580980048623639</v>
      </c>
      <c r="J11" s="169">
        <v>1.0012012506884074</v>
      </c>
      <c r="K11" s="168">
        <v>0.22757275997857948</v>
      </c>
      <c r="L11" s="168">
        <v>0.22493688085611918</v>
      </c>
      <c r="M11" s="169">
        <v>0.99905801822797291</v>
      </c>
      <c r="N11" s="168">
        <v>1.3691419035465631</v>
      </c>
      <c r="O11" s="168">
        <v>1.3735854579783879</v>
      </c>
      <c r="P11" s="169">
        <v>0.99425644468773255</v>
      </c>
      <c r="Q11" s="153"/>
    </row>
    <row r="12" spans="2:17">
      <c r="G12" s="33" t="s">
        <v>7</v>
      </c>
      <c r="H12" s="168">
        <v>-0.28716072959314576</v>
      </c>
      <c r="I12" s="168">
        <v>-0.28333942624839681</v>
      </c>
      <c r="J12" s="169">
        <v>1.0014355007292139</v>
      </c>
      <c r="K12" s="168">
        <v>0.22759505253977791</v>
      </c>
      <c r="L12" s="168">
        <v>0.22519983895303852</v>
      </c>
      <c r="M12" s="169">
        <v>0.99886341614461227</v>
      </c>
      <c r="N12" s="168">
        <v>1.3699217609876653</v>
      </c>
      <c r="O12" s="168">
        <v>1.3737462790810229</v>
      </c>
      <c r="P12" s="169">
        <v>0.99312595569718576</v>
      </c>
      <c r="Q12" s="153"/>
    </row>
    <row r="13" spans="2:17" ht="12" thickBot="1">
      <c r="G13" s="33" t="s">
        <v>26</v>
      </c>
      <c r="H13" s="168">
        <v>-0.28901817138298269</v>
      </c>
      <c r="I13" s="168">
        <v>-0.28859545763546546</v>
      </c>
      <c r="J13" s="169">
        <v>1.0017034128239137</v>
      </c>
      <c r="K13" s="168">
        <v>0.22761806726981368</v>
      </c>
      <c r="L13" s="168">
        <v>0.22539136991550635</v>
      </c>
      <c r="M13" s="169">
        <v>0.99866257633415334</v>
      </c>
      <c r="N13" s="168">
        <v>1.3707022104718771</v>
      </c>
      <c r="O13" s="168">
        <v>1.3738615849342883</v>
      </c>
      <c r="P13" s="169">
        <v>0.99199675209469418</v>
      </c>
      <c r="Q13" s="153"/>
    </row>
    <row r="14" spans="2:17" ht="12" thickBot="1">
      <c r="B14" s="295" t="s">
        <v>33</v>
      </c>
      <c r="C14" s="296"/>
      <c r="D14" s="297"/>
      <c r="G14" s="33" t="s">
        <v>27</v>
      </c>
      <c r="H14" s="168">
        <v>-0.29036093049057421</v>
      </c>
      <c r="I14" s="168">
        <v>-0.28990155121272343</v>
      </c>
      <c r="J14" s="169">
        <v>1.0019777596366852</v>
      </c>
      <c r="K14" s="168">
        <v>0.22763892704893476</v>
      </c>
      <c r="L14" s="168">
        <v>0.22552137275007045</v>
      </c>
      <c r="M14" s="169">
        <v>0.99848060013734086</v>
      </c>
      <c r="N14" s="168">
        <v>1.3715092974500223</v>
      </c>
      <c r="O14" s="168">
        <v>1.3739508244789533</v>
      </c>
      <c r="P14" s="169">
        <v>0.99083125719123766</v>
      </c>
      <c r="Q14" s="153"/>
    </row>
    <row r="15" spans="2:17" ht="12" thickBot="1">
      <c r="B15" s="298" t="str">
        <f ca="1">_xll.BCurveStrip(C2,B3,C3,B4,TEXT(C4,"YYYYMMDD"),$B$5,$C$5,$B$6,$C$6)</f>
        <v>EUR.OIS:BLOOMBERG DC 225737</v>
      </c>
      <c r="C15" s="299"/>
      <c r="D15" s="300"/>
      <c r="G15" s="33" t="s">
        <v>28</v>
      </c>
      <c r="H15" s="168">
        <v>-0.29361334748024936</v>
      </c>
      <c r="I15" s="168">
        <v>-0.29321776382800202</v>
      </c>
      <c r="J15" s="169">
        <v>1.0022293156142508</v>
      </c>
      <c r="K15" s="168">
        <v>0.22766050881284386</v>
      </c>
      <c r="L15" s="168">
        <v>0.22562679389166451</v>
      </c>
      <c r="M15" s="169">
        <v>0.99829238379374141</v>
      </c>
      <c r="N15" s="168">
        <v>1.3722909523147282</v>
      </c>
      <c r="O15" s="168">
        <v>1.3740178886337162</v>
      </c>
      <c r="P15" s="169">
        <v>0.98970466270575141</v>
      </c>
      <c r="Q15" s="153"/>
    </row>
    <row r="16" spans="2:17">
      <c r="G16" s="33" t="s">
        <v>29</v>
      </c>
      <c r="H16" s="168">
        <v>-0.29678285137787441</v>
      </c>
      <c r="I16" s="168">
        <v>-0.2964437515196261</v>
      </c>
      <c r="J16" s="169">
        <v>1.0025101657861353</v>
      </c>
      <c r="K16" s="168">
        <v>0.22768353236762767</v>
      </c>
      <c r="L16" s="168">
        <v>0.2257163846670851</v>
      </c>
      <c r="M16" s="169">
        <v>0.99809165879980988</v>
      </c>
      <c r="N16" s="168">
        <v>1.3731514582680224</v>
      </c>
      <c r="O16" s="168">
        <v>1.37407647118164</v>
      </c>
      <c r="P16" s="169">
        <v>0.98846688822434348</v>
      </c>
      <c r="Q16" s="153"/>
    </row>
    <row r="17" spans="7:17">
      <c r="G17" s="33" t="s">
        <v>30</v>
      </c>
      <c r="H17" s="168">
        <v>-0.29943233982396283</v>
      </c>
      <c r="I17" s="168">
        <v>-0.29915765391279603</v>
      </c>
      <c r="J17" s="169">
        <v>1.0028002362564803</v>
      </c>
      <c r="K17" s="168">
        <v>0.22770511976942773</v>
      </c>
      <c r="L17" s="168">
        <v>0.22578483140482941</v>
      </c>
      <c r="M17" s="169">
        <v>0.99790351577272396</v>
      </c>
      <c r="N17" s="168">
        <v>1.3739082539224872</v>
      </c>
      <c r="O17" s="168">
        <v>1.3741184248914573</v>
      </c>
      <c r="P17" s="169">
        <v>0.98738042501442169</v>
      </c>
      <c r="Q17" s="153"/>
    </row>
    <row r="18" spans="7:17">
      <c r="G18" s="33" t="s">
        <v>32</v>
      </c>
      <c r="H18" s="168">
        <v>-0.30142504869012382</v>
      </c>
      <c r="I18" s="168">
        <v>-0.30120604364642922</v>
      </c>
      <c r="J18" s="169">
        <v>1.0030631851159229</v>
      </c>
      <c r="K18" s="168">
        <v>0.22772670989987337</v>
      </c>
      <c r="L18" s="168">
        <v>0.22584202665989483</v>
      </c>
      <c r="M18" s="169">
        <v>0.99771540821111682</v>
      </c>
      <c r="N18" s="168">
        <v>1.3746917307001922</v>
      </c>
      <c r="O18" s="168">
        <v>1.3741548098895606</v>
      </c>
      <c r="P18" s="169">
        <v>0.98625775419249839</v>
      </c>
      <c r="Q18" s="153"/>
    </row>
    <row r="19" spans="7:17">
      <c r="G19" s="33" t="s">
        <v>31</v>
      </c>
      <c r="H19" s="168">
        <v>-0.30920764954465568</v>
      </c>
      <c r="I19" s="168">
        <v>-0.30896754499029067</v>
      </c>
      <c r="J19" s="169">
        <v>1.0047042924359921</v>
      </c>
      <c r="K19" s="168">
        <v>0.33051978458575565</v>
      </c>
      <c r="L19" s="168">
        <v>0.32883603235589476</v>
      </c>
      <c r="M19" s="169">
        <v>0.99502413715004723</v>
      </c>
      <c r="N19" s="168">
        <v>1.3991193643436988</v>
      </c>
      <c r="O19" s="168">
        <v>1.4004427985545354</v>
      </c>
      <c r="P19" s="169">
        <v>0.97890127547567252</v>
      </c>
      <c r="Q19" s="153"/>
    </row>
    <row r="20" spans="7:17">
      <c r="G20" s="33" t="s">
        <v>8</v>
      </c>
      <c r="H20" s="168">
        <v>-0.31186557510119345</v>
      </c>
      <c r="I20" s="168">
        <v>-0.31175574987254429</v>
      </c>
      <c r="J20" s="169">
        <v>1.0063516753766453</v>
      </c>
      <c r="K20" s="168">
        <v>0.38284909516709892</v>
      </c>
      <c r="L20" s="168">
        <v>0.38238909476040472</v>
      </c>
      <c r="M20" s="169">
        <v>0.99226961742090514</v>
      </c>
      <c r="N20" s="168">
        <v>1.413429395150124</v>
      </c>
      <c r="O20" s="168">
        <v>1.4132179311192816</v>
      </c>
      <c r="P20" s="169">
        <v>0.97183109681045476</v>
      </c>
      <c r="Q20" s="153"/>
    </row>
    <row r="21" spans="7:17">
      <c r="G21" s="33" t="s">
        <v>742</v>
      </c>
      <c r="H21" s="168">
        <v>-0.31040804650279585</v>
      </c>
      <c r="I21" s="168">
        <v>-0.31030268229702562</v>
      </c>
      <c r="J21" s="169">
        <v>1.0078955972248129</v>
      </c>
      <c r="K21" s="168">
        <v>0.47036024424497663</v>
      </c>
      <c r="L21" s="168">
        <v>0.47034342133371876</v>
      </c>
      <c r="M21" s="169">
        <v>0.9881571831908188</v>
      </c>
      <c r="N21" s="168">
        <v>1.4310822294122385</v>
      </c>
      <c r="O21" s="168">
        <v>1.4321677430348956</v>
      </c>
      <c r="P21" s="169">
        <v>0.9645026189906305</v>
      </c>
      <c r="Q21" s="153"/>
    </row>
    <row r="22" spans="7:17">
      <c r="G22" s="33" t="s">
        <v>9</v>
      </c>
      <c r="H22" s="168">
        <v>-0.29599349401265745</v>
      </c>
      <c r="I22" s="168">
        <v>-0.29611234005795239</v>
      </c>
      <c r="J22" s="169">
        <v>1.0090609155770187</v>
      </c>
      <c r="K22" s="168">
        <v>0.52910132066530324</v>
      </c>
      <c r="L22" s="168">
        <v>0.52938969218376819</v>
      </c>
      <c r="M22" s="169">
        <v>0.98405404049389544</v>
      </c>
      <c r="N22" s="168">
        <v>1.44465308562269</v>
      </c>
      <c r="O22" s="168">
        <v>1.4448833340525047</v>
      </c>
      <c r="P22" s="169">
        <v>0.95722792023182457</v>
      </c>
      <c r="Q22" s="153"/>
    </row>
    <row r="23" spans="7:17">
      <c r="G23" s="33" t="s">
        <v>10</v>
      </c>
      <c r="H23" s="168">
        <v>-0.25153884095806972</v>
      </c>
      <c r="I23" s="168">
        <v>-0.25189844912552051</v>
      </c>
      <c r="J23" s="169">
        <v>1.0103024970494083</v>
      </c>
      <c r="K23" s="168">
        <v>0.65865899517496507</v>
      </c>
      <c r="L23" s="168">
        <v>0.6602123936278792</v>
      </c>
      <c r="M23" s="169">
        <v>0.97364788057621976</v>
      </c>
      <c r="N23" s="168">
        <v>1.4603139554191176</v>
      </c>
      <c r="O23" s="168">
        <v>1.4608127091768619</v>
      </c>
      <c r="P23" s="169">
        <v>0.94284271570645861</v>
      </c>
      <c r="Q23" s="153"/>
    </row>
    <row r="24" spans="7:17">
      <c r="G24" s="33" t="s">
        <v>11</v>
      </c>
      <c r="H24" s="168">
        <v>-0.1904078042528059</v>
      </c>
      <c r="I24" s="168">
        <v>-0.19108525721397429</v>
      </c>
      <c r="J24" s="169">
        <v>1.00975411825566</v>
      </c>
      <c r="K24" s="168">
        <v>0.76982448505447532</v>
      </c>
      <c r="L24" s="168">
        <v>0.77303438510019085</v>
      </c>
      <c r="M24" s="169">
        <v>0.96169373198015418</v>
      </c>
      <c r="N24" s="168">
        <v>1.4697519873173774</v>
      </c>
      <c r="O24" s="168">
        <v>1.4704100453793556</v>
      </c>
      <c r="P24" s="169">
        <v>0.92863506066303336</v>
      </c>
      <c r="Q24" s="153"/>
    </row>
    <row r="25" spans="7:17">
      <c r="G25" s="33" t="s">
        <v>12</v>
      </c>
      <c r="H25" s="168">
        <v>-0.10772234144723017</v>
      </c>
      <c r="I25" s="168">
        <v>-0.10883994317982815</v>
      </c>
      <c r="J25" s="169">
        <v>1.0066497393249345</v>
      </c>
      <c r="K25" s="168">
        <v>0.86771488571781175</v>
      </c>
      <c r="L25" s="168">
        <v>0.87292738099096212</v>
      </c>
      <c r="M25" s="169">
        <v>0.94847790032374935</v>
      </c>
      <c r="N25" s="168">
        <v>1.4549486004222572</v>
      </c>
      <c r="O25" s="168">
        <v>1.4549645224904761</v>
      </c>
      <c r="P25" s="169">
        <v>0.9158040357202395</v>
      </c>
      <c r="Q25" s="153"/>
    </row>
    <row r="26" spans="7:17">
      <c r="G26" s="33" t="s">
        <v>13</v>
      </c>
      <c r="H26" s="168">
        <v>-5.7648122831684516E-3</v>
      </c>
      <c r="I26" s="168">
        <v>-6.218003625524382E-3</v>
      </c>
      <c r="J26" s="169">
        <v>1.0004415894554781</v>
      </c>
      <c r="K26" s="168">
        <v>0.9487031971794001</v>
      </c>
      <c r="L26" s="168">
        <v>0.95599444936600442</v>
      </c>
      <c r="M26" s="169">
        <v>0.93460387434601266</v>
      </c>
      <c r="N26" s="168">
        <v>1.4443969460307022</v>
      </c>
      <c r="O26" s="168">
        <v>1.4439149740218982</v>
      </c>
      <c r="P26" s="169">
        <v>0.90318786903366854</v>
      </c>
      <c r="Q26" s="153"/>
    </row>
    <row r="27" spans="7:17">
      <c r="G27" s="33" t="s">
        <v>14</v>
      </c>
      <c r="H27" s="168">
        <v>0.10436042667986088</v>
      </c>
      <c r="I27" s="168">
        <v>0.10490464419594669</v>
      </c>
      <c r="J27" s="169">
        <v>0.99152581285217434</v>
      </c>
      <c r="K27" s="168">
        <v>1.0153184792231418</v>
      </c>
      <c r="L27" s="168">
        <v>1.0246556746650093</v>
      </c>
      <c r="M27" s="169">
        <v>0.92056009096334468</v>
      </c>
      <c r="N27" s="168">
        <v>1.4364477290158704</v>
      </c>
      <c r="O27" s="168">
        <v>1.4355869986108827</v>
      </c>
      <c r="P27" s="169">
        <v>0.89067780035791722</v>
      </c>
      <c r="Q27" s="153"/>
    </row>
    <row r="28" spans="7:17">
      <c r="G28" s="33" t="s">
        <v>15</v>
      </c>
      <c r="H28" s="168">
        <v>0.2124463024220388</v>
      </c>
      <c r="I28" s="168">
        <v>0.21474272252015592</v>
      </c>
      <c r="J28" s="169">
        <v>0.98060438193313615</v>
      </c>
      <c r="K28" s="168">
        <v>1.0670701933064151</v>
      </c>
      <c r="L28" s="168">
        <v>1.0781594035734532</v>
      </c>
      <c r="M28" s="169">
        <v>0.90672592993804768</v>
      </c>
      <c r="N28" s="168">
        <v>1.4303069474926191</v>
      </c>
      <c r="O28" s="168">
        <v>1.429163936895983</v>
      </c>
      <c r="P28" s="169">
        <v>0.87844115859212513</v>
      </c>
      <c r="Q28" s="153"/>
    </row>
    <row r="29" spans="7:17">
      <c r="G29" s="33" t="s">
        <v>16</v>
      </c>
      <c r="H29" s="168">
        <v>0.31496233358703057</v>
      </c>
      <c r="I29" s="168">
        <v>0.31970543143291508</v>
      </c>
      <c r="J29" s="169">
        <v>0.96812086475386294</v>
      </c>
      <c r="K29" s="168">
        <v>1.108533802372117</v>
      </c>
      <c r="L29" s="168">
        <v>1.1211210409241223</v>
      </c>
      <c r="M29" s="169">
        <v>0.89306251713664941</v>
      </c>
      <c r="N29" s="168">
        <v>1.4253806117338579</v>
      </c>
      <c r="O29" s="168">
        <v>1.4240088441338727</v>
      </c>
      <c r="P29" s="169">
        <v>0.86633970495261714</v>
      </c>
      <c r="Q29" s="153"/>
    </row>
    <row r="30" spans="7:17">
      <c r="G30" s="33" t="s">
        <v>17</v>
      </c>
      <c r="H30" s="168">
        <v>0.40886781973872688</v>
      </c>
      <c r="I30" s="168">
        <v>0.41661161138695224</v>
      </c>
      <c r="J30" s="169">
        <v>0.95465821368918802</v>
      </c>
      <c r="K30" s="168">
        <v>1.1313908290471306</v>
      </c>
      <c r="L30" s="168">
        <v>1.1444878224666333</v>
      </c>
      <c r="M30" s="169">
        <v>0.88072300087428357</v>
      </c>
      <c r="N30" s="168">
        <v>1.4021953064663955</v>
      </c>
      <c r="O30" s="168">
        <v>1.3992969276098721</v>
      </c>
      <c r="P30" s="169">
        <v>0.85633426564037129</v>
      </c>
      <c r="Q30" s="153"/>
    </row>
    <row r="31" spans="7:17">
      <c r="G31" s="33" t="s">
        <v>18</v>
      </c>
      <c r="H31" s="168">
        <v>0.49255317418456451</v>
      </c>
      <c r="I31" s="168">
        <v>0.50361039548183495</v>
      </c>
      <c r="J31" s="169">
        <v>0.94067207216726167</v>
      </c>
      <c r="K31" s="168">
        <v>1.1503751540095535</v>
      </c>
      <c r="L31" s="168">
        <v>1.1638786046926475</v>
      </c>
      <c r="M31" s="169">
        <v>0.86859011245019146</v>
      </c>
      <c r="N31" s="168">
        <v>1.382840889519275</v>
      </c>
      <c r="O31" s="168">
        <v>1.3786538483002486</v>
      </c>
      <c r="P31" s="169">
        <v>0.84644962509366461</v>
      </c>
      <c r="Q31" s="153"/>
    </row>
    <row r="32" spans="7:17">
      <c r="G32" s="33" t="s">
        <v>19</v>
      </c>
      <c r="H32" s="168">
        <v>0.68073763342232962</v>
      </c>
      <c r="I32" s="168">
        <v>0.70153395818519648</v>
      </c>
      <c r="J32" s="169">
        <v>0.89908528544404065</v>
      </c>
      <c r="K32" s="168">
        <v>1.1921480705528664</v>
      </c>
      <c r="L32" s="168">
        <v>1.2065910997782314</v>
      </c>
      <c r="M32" s="169">
        <v>0.83315346401846802</v>
      </c>
      <c r="N32" s="168">
        <v>1.3401319604222492</v>
      </c>
      <c r="O32" s="168">
        <v>1.3332116599432009</v>
      </c>
      <c r="P32" s="169">
        <v>0.81744903692316995</v>
      </c>
      <c r="Q32" s="153"/>
    </row>
    <row r="33" spans="1:17">
      <c r="G33" s="33" t="s">
        <v>20</v>
      </c>
      <c r="H33" s="168">
        <v>0.83701202755268689</v>
      </c>
      <c r="I33" s="168">
        <v>0.86732691751481017</v>
      </c>
      <c r="J33" s="169">
        <v>0.83925872647339106</v>
      </c>
      <c r="K33" s="168">
        <v>1.18303551018757</v>
      </c>
      <c r="L33" s="168">
        <v>1.1928952834165285</v>
      </c>
      <c r="M33" s="169">
        <v>0.78613561502222618</v>
      </c>
      <c r="N33" s="168">
        <v>1.2709062030433715</v>
      </c>
      <c r="O33" s="168">
        <v>1.2588977827672432</v>
      </c>
      <c r="P33" s="169">
        <v>0.77577594907085601</v>
      </c>
      <c r="Q33" s="153"/>
    </row>
    <row r="34" spans="1:17">
      <c r="G34" s="33" t="s">
        <v>21</v>
      </c>
      <c r="H34" s="168">
        <v>0.89148855870566313</v>
      </c>
      <c r="I34" s="168">
        <v>0.92295561966646567</v>
      </c>
      <c r="J34" s="169">
        <v>0.79213477464786919</v>
      </c>
      <c r="K34" s="168">
        <v>1.1571971244980277</v>
      </c>
      <c r="L34" s="168">
        <v>1.1615593742875907</v>
      </c>
      <c r="M34" s="169">
        <v>0.74605886764239748</v>
      </c>
      <c r="N34" s="168">
        <v>1.2167716677758167</v>
      </c>
      <c r="O34" s="168">
        <v>1.2004314383089909</v>
      </c>
      <c r="P34" s="169">
        <v>0.7387990095542406</v>
      </c>
      <c r="Q34" s="153"/>
    </row>
    <row r="35" spans="1:17">
      <c r="G35" s="33" t="s">
        <v>22</v>
      </c>
      <c r="H35" s="168">
        <v>0.9117263156190849</v>
      </c>
      <c r="I35" s="168">
        <v>0.94125382999779017</v>
      </c>
      <c r="J35" s="169">
        <v>0.75190807317573505</v>
      </c>
      <c r="K35" s="168">
        <v>1.1299023358222224</v>
      </c>
      <c r="L35" s="168">
        <v>1.1290924507368461</v>
      </c>
      <c r="M35" s="169">
        <v>0.71049837668145921</v>
      </c>
      <c r="N35" s="168">
        <v>1.1669642359535697</v>
      </c>
      <c r="O35" s="168">
        <v>1.145970531067686</v>
      </c>
      <c r="P35" s="169">
        <v>0.70687569563120822</v>
      </c>
      <c r="Q35" s="153"/>
    </row>
    <row r="36" spans="1:17">
      <c r="G36" s="33" t="s">
        <v>23</v>
      </c>
      <c r="H36" s="168">
        <v>0.91779830363803072</v>
      </c>
      <c r="I36" s="168">
        <v>0.9442601769660719</v>
      </c>
      <c r="J36" s="169">
        <v>0.71625578346101393</v>
      </c>
      <c r="K36" s="168">
        <v>1.0990790889567157</v>
      </c>
      <c r="L36" s="168">
        <v>1.0926262481826932</v>
      </c>
      <c r="M36" s="169">
        <v>0.6797979257776442</v>
      </c>
      <c r="N36" s="168">
        <v>1.106173757944656</v>
      </c>
      <c r="O36" s="168">
        <v>1.0780920314851894</v>
      </c>
      <c r="P36" s="169">
        <v>0.6833189970792205</v>
      </c>
    </row>
    <row r="37" spans="1:17">
      <c r="G37" s="33" t="s">
        <v>24</v>
      </c>
      <c r="H37" s="168">
        <v>0.91228248150729618</v>
      </c>
      <c r="I37" s="168">
        <v>0.93421892886458302</v>
      </c>
      <c r="J37" s="169">
        <v>0.68565742975709909</v>
      </c>
      <c r="K37" s="168">
        <v>1.0546485867698052</v>
      </c>
      <c r="L37" s="168">
        <v>1.03991460697479</v>
      </c>
      <c r="M37" s="169">
        <v>0.65714359643405162</v>
      </c>
      <c r="N37" s="168">
        <v>1.0600321910012651</v>
      </c>
      <c r="O37" s="168">
        <v>1.0271317123913271</v>
      </c>
      <c r="P37" s="169">
        <v>0.66052648085084553</v>
      </c>
    </row>
    <row r="38" spans="1:17">
      <c r="G38" s="33" t="s">
        <v>25</v>
      </c>
      <c r="H38" s="168">
        <v>0.87300436933403069</v>
      </c>
      <c r="I38" s="168">
        <v>0.88152891292918589</v>
      </c>
      <c r="J38" s="169">
        <v>0.64066735462898505</v>
      </c>
      <c r="K38" s="168">
        <v>0.99137135983111757</v>
      </c>
      <c r="L38" s="168">
        <v>0.96604632931096557</v>
      </c>
      <c r="M38" s="169">
        <v>0.61403589188874352</v>
      </c>
      <c r="N38" s="168">
        <v>0.99476064640753037</v>
      </c>
      <c r="O38" s="168">
        <v>0.95581146692731433</v>
      </c>
      <c r="P38" s="169">
        <v>0.6171853972311202</v>
      </c>
    </row>
    <row r="40" spans="1:17">
      <c r="G40" s="148"/>
      <c r="H40" s="168"/>
      <c r="I40" s="169"/>
      <c r="J40" s="168"/>
      <c r="K40" s="168"/>
      <c r="L40" s="168"/>
      <c r="M40" s="169"/>
      <c r="N40" s="168"/>
      <c r="O40" s="168"/>
      <c r="P40" s="169"/>
    </row>
    <row r="41" spans="1:17">
      <c r="G41" s="148"/>
      <c r="H41" s="168"/>
      <c r="I41" s="169"/>
      <c r="J41" s="168"/>
      <c r="K41" s="168"/>
      <c r="L41" s="168"/>
      <c r="M41" s="169"/>
      <c r="N41" s="168"/>
      <c r="O41" s="168"/>
      <c r="P41" s="169"/>
    </row>
    <row r="42" spans="1:17">
      <c r="M42" s="169"/>
      <c r="N42" s="168"/>
      <c r="O42" s="168"/>
      <c r="P42" s="169"/>
    </row>
    <row r="43" spans="1:17">
      <c r="M43" s="169"/>
      <c r="N43" s="168"/>
      <c r="O43" s="168"/>
      <c r="P43" s="169"/>
    </row>
    <row r="44" spans="1:17">
      <c r="M44" s="169"/>
      <c r="N44" s="168"/>
      <c r="O44" s="168"/>
      <c r="P44" s="169"/>
    </row>
    <row r="45" spans="1:17">
      <c r="A45" s="153"/>
      <c r="F45" s="153"/>
      <c r="G45" s="148"/>
      <c r="H45" s="168"/>
      <c r="I45" s="168"/>
      <c r="J45" s="169"/>
      <c r="K45" s="168"/>
      <c r="L45" s="168"/>
      <c r="M45" s="169"/>
      <c r="N45" s="168"/>
      <c r="O45" s="168"/>
      <c r="P45" s="169"/>
    </row>
    <row r="47" spans="1:17">
      <c r="C47" s="148"/>
      <c r="D47" s="148"/>
      <c r="E47" s="153"/>
    </row>
    <row r="56" spans="2:2">
      <c r="B56" s="33" t="str">
        <f>IF(Crv!B51="","",Crv!B51)</f>
        <v/>
      </c>
    </row>
    <row r="57" spans="2:2">
      <c r="B57" s="33" t="str">
        <f>IF(Crv!B52="","",Crv!B52)</f>
        <v/>
      </c>
    </row>
    <row r="58" spans="2:2">
      <c r="B58" s="33" t="str">
        <f>IF(Crv!B53="","",Crv!B53)</f>
        <v/>
      </c>
    </row>
    <row r="59" spans="2:2">
      <c r="B59" s="33" t="str">
        <f>IF(Crv!B54="","",Crv!B54)</f>
        <v/>
      </c>
    </row>
    <row r="60" spans="2:2">
      <c r="B60" s="33" t="str">
        <f>IF(Crv!B55="","",Crv!B55)</f>
        <v/>
      </c>
    </row>
    <row r="61" spans="2:2">
      <c r="B61" s="33" t="str">
        <f>IF(Crv!B56="","",Crv!B56)</f>
        <v/>
      </c>
    </row>
    <row r="62" spans="2:2">
      <c r="B62" s="33" t="str">
        <f>IF(Crv!B57="","",Crv!B57)</f>
        <v/>
      </c>
    </row>
    <row r="63" spans="2:2">
      <c r="B63" s="33" t="str">
        <f>IF(Crv!B58="","",Crv!B58)</f>
        <v/>
      </c>
    </row>
    <row r="64" spans="2:2">
      <c r="B64" s="33" t="str">
        <f>IF(Crv!B59="","",Crv!B59)</f>
        <v/>
      </c>
    </row>
    <row r="65" spans="2:2">
      <c r="B65" s="33" t="str">
        <f>IF(Crv!B60="","",Crv!B60)</f>
        <v/>
      </c>
    </row>
    <row r="66" spans="2:2">
      <c r="B66" s="33" t="str">
        <f>IF(Crv!B61="","",Crv!B61)</f>
        <v/>
      </c>
    </row>
    <row r="67" spans="2:2">
      <c r="B67" s="33" t="str">
        <f>IF(Crv!B62="","",Crv!B62)</f>
        <v/>
      </c>
    </row>
    <row r="68" spans="2:2">
      <c r="B68" s="33" t="str">
        <f>IF(Crv!B63="","",Crv!B63)</f>
        <v/>
      </c>
    </row>
    <row r="69" spans="2:2">
      <c r="B69" s="33" t="str">
        <f>IF(Crv!B64="","",Crv!B64)</f>
        <v/>
      </c>
    </row>
    <row r="70" spans="2:2">
      <c r="B70" s="33" t="str">
        <f>IF(Crv!B65="","",Crv!B65)</f>
        <v/>
      </c>
    </row>
    <row r="71" spans="2:2">
      <c r="B71" s="33" t="str">
        <f>IF(Crv!B66="","",Crv!B66)</f>
        <v/>
      </c>
    </row>
    <row r="72" spans="2:2">
      <c r="B72" s="33" t="str">
        <f>IF(Crv!B67="","",Crv!B67)</f>
        <v/>
      </c>
    </row>
    <row r="73" spans="2:2">
      <c r="B73" s="33" t="str">
        <f>IF(Crv!B68="","",Crv!B68)</f>
        <v/>
      </c>
    </row>
    <row r="74" spans="2:2">
      <c r="B74" s="33" t="str">
        <f>IF(Crv!B69="","",Crv!B69)</f>
        <v/>
      </c>
    </row>
    <row r="75" spans="2:2">
      <c r="B75" s="33" t="str">
        <f>IF(Crv!B70="","",Crv!B70)</f>
        <v/>
      </c>
    </row>
    <row r="76" spans="2:2">
      <c r="B76" s="33" t="str">
        <f>IF(Crv!B71="","",Crv!B71)</f>
        <v/>
      </c>
    </row>
    <row r="77" spans="2:2">
      <c r="B77" s="33" t="str">
        <f>IF(Crv!B72="","",Crv!B72)</f>
        <v/>
      </c>
    </row>
    <row r="78" spans="2:2">
      <c r="B78" s="33" t="str">
        <f>IF(Crv!B73="","",Crv!B73)</f>
        <v/>
      </c>
    </row>
    <row r="79" spans="2:2">
      <c r="B79" s="33" t="str">
        <f>IF(Crv!B74="","",Crv!B74)</f>
        <v/>
      </c>
    </row>
    <row r="80" spans="2:2">
      <c r="B80" s="33" t="str">
        <f>IF(Crv!B75="","",Crv!B75)</f>
        <v/>
      </c>
    </row>
    <row r="81" spans="2:2">
      <c r="B81" s="33" t="str">
        <f>IF(Crv!B76="","",Crv!B76)</f>
        <v/>
      </c>
    </row>
    <row r="82" spans="2:2">
      <c r="B82" s="33" t="str">
        <f>IF(Crv!B77="","",Crv!B77)</f>
        <v/>
      </c>
    </row>
    <row r="83" spans="2:2">
      <c r="B83" s="33" t="str">
        <f>IF(Crv!B78="","",Crv!B78)</f>
        <v/>
      </c>
    </row>
    <row r="84" spans="2:2">
      <c r="B84" s="33" t="str">
        <f>IF(Crv!B79="","",Crv!B79)</f>
        <v/>
      </c>
    </row>
    <row r="85" spans="2:2">
      <c r="B85" s="33" t="str">
        <f>IF(Crv!B80="","",Crv!B80)</f>
        <v/>
      </c>
    </row>
    <row r="86" spans="2:2">
      <c r="B86" s="33" t="str">
        <f>IF(Crv!B81="","",Crv!B81)</f>
        <v/>
      </c>
    </row>
    <row r="87" spans="2:2">
      <c r="B87" s="33" t="str">
        <f>IF(Crv!B82="","",Crv!B82)</f>
        <v/>
      </c>
    </row>
    <row r="88" spans="2:2">
      <c r="B88" s="33" t="str">
        <f>IF(Crv!B83="","",Crv!B83)</f>
        <v/>
      </c>
    </row>
    <row r="89" spans="2:2">
      <c r="B89" s="33" t="str">
        <f>IF(Crv!B84="","",Crv!B84)</f>
        <v/>
      </c>
    </row>
    <row r="90" spans="2:2">
      <c r="B90" s="33" t="str">
        <f>IF(Crv!B85="","",Crv!B85)</f>
        <v/>
      </c>
    </row>
    <row r="91" spans="2:2">
      <c r="B91" s="33" t="str">
        <f>IF(Crv!B86="","",Crv!B86)</f>
        <v/>
      </c>
    </row>
    <row r="92" spans="2:2">
      <c r="B92" s="33" t="str">
        <f>IF(Crv!B87="","",Crv!B87)</f>
        <v/>
      </c>
    </row>
    <row r="93" spans="2:2">
      <c r="B93" s="33" t="str">
        <f>IF(Crv!B88="","",Crv!B88)</f>
        <v/>
      </c>
    </row>
    <row r="94" spans="2:2">
      <c r="B94" s="33" t="str">
        <f>IF(Crv!B89="","",Crv!B89)</f>
        <v/>
      </c>
    </row>
    <row r="95" spans="2:2">
      <c r="B95" s="33" t="str">
        <f>IF(Crv!B90="","",Crv!B90)</f>
        <v/>
      </c>
    </row>
    <row r="96" spans="2:2">
      <c r="B96" s="33" t="str">
        <f>IF(Crv!B91="","",Crv!B91)</f>
        <v/>
      </c>
    </row>
    <row r="97" spans="2:2">
      <c r="B97" s="33" t="str">
        <f>IF(Crv!B92="","",Crv!B92)</f>
        <v/>
      </c>
    </row>
    <row r="98" spans="2:2">
      <c r="B98" s="33" t="str">
        <f>IF(Crv!B93="","",Crv!B93)</f>
        <v/>
      </c>
    </row>
    <row r="99" spans="2:2">
      <c r="B99" s="33" t="str">
        <f>IF(Crv!B94="","",Crv!B94)</f>
        <v/>
      </c>
    </row>
    <row r="100" spans="2:2">
      <c r="B100" s="33" t="str">
        <f>IF(Crv!B95="","",Crv!B95)</f>
        <v/>
      </c>
    </row>
    <row r="101" spans="2:2">
      <c r="B101" s="33" t="str">
        <f>IF(Crv!B96="","",Crv!B96)</f>
        <v/>
      </c>
    </row>
    <row r="102" spans="2:2">
      <c r="B102" s="33" t="str">
        <f>IF(Crv!B97="","",Crv!B97)</f>
        <v/>
      </c>
    </row>
    <row r="103" spans="2:2">
      <c r="B103" s="33" t="str">
        <f>IF(Crv!B98="","",Crv!B98)</f>
        <v/>
      </c>
    </row>
  </sheetData>
  <mergeCells count="12">
    <mergeCell ref="N2:P2"/>
    <mergeCell ref="G2:G3"/>
    <mergeCell ref="C2:D2"/>
    <mergeCell ref="C3:D3"/>
    <mergeCell ref="C4:D4"/>
    <mergeCell ref="C11:E11"/>
    <mergeCell ref="B14:D14"/>
    <mergeCell ref="B15:D15"/>
    <mergeCell ref="H2:J2"/>
    <mergeCell ref="K2:M2"/>
    <mergeCell ref="C5:D5"/>
    <mergeCell ref="C6:D6"/>
  </mergeCell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>
          <x14:formula1>
            <xm:f>Dati!$D$2:$D$12</xm:f>
          </x14:formula1>
          <xm:sqref>C9:E9</xm:sqref>
        </x14:dataValidation>
        <x14:dataValidation type="list" allowBlank="1" showInputMessage="1" showErrorMessage="1">
          <x14:formula1>
            <xm:f>Dati!$F$2:$F$3</xm:f>
          </x14:formula1>
          <xm:sqref>C11</xm:sqref>
        </x14:dataValidation>
        <x14:dataValidation type="list" allowBlank="1" showInputMessage="1" showErrorMessage="1">
          <x14:formula1>
            <xm:f>Dati!$H$2:$H$5</xm:f>
          </x14:formula1>
          <xm:sqref>C5</xm:sqref>
        </x14:dataValidation>
        <x14:dataValidation type="list" allowBlank="1" showInputMessage="1" showErrorMessage="1">
          <x14:formula1>
            <xm:f>Dati!$B$2:$B$19</xm:f>
          </x14:formula1>
          <xm:sqref>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/>
  </sheetPr>
  <dimension ref="A1:S88"/>
  <sheetViews>
    <sheetView zoomScale="85" zoomScaleNormal="85" workbookViewId="0">
      <selection activeCell="E28" sqref="E28"/>
    </sheetView>
  </sheetViews>
  <sheetFormatPr defaultRowHeight="15"/>
  <cols>
    <col min="1" max="1" width="3.28515625" style="1" customWidth="1"/>
    <col min="2" max="2" width="12.7109375" style="1" bestFit="1" customWidth="1"/>
    <col min="3" max="4" width="12.7109375" style="1" customWidth="1"/>
    <col min="5" max="5" width="9.85546875" style="1" customWidth="1"/>
    <col min="6" max="7" width="11" style="19" bestFit="1" customWidth="1"/>
    <col min="8" max="9" width="7.7109375" style="30" customWidth="1"/>
    <col min="10" max="10" width="11" style="30" customWidth="1"/>
    <col min="12" max="12" width="22.5703125" customWidth="1"/>
    <col min="13" max="13" width="7.42578125" style="30" customWidth="1"/>
    <col min="14" max="14" width="7.42578125" style="179" customWidth="1"/>
    <col min="15" max="15" width="7.42578125" style="30" customWidth="1"/>
  </cols>
  <sheetData>
    <row r="1" spans="2:15" ht="15.75" thickBot="1">
      <c r="B1" s="18"/>
      <c r="C1" s="18"/>
      <c r="D1" s="18"/>
      <c r="E1" s="18"/>
    </row>
    <row r="2" spans="2:15" ht="15.75" thickBot="1">
      <c r="B2" s="4" t="s">
        <v>0</v>
      </c>
      <c r="C2" s="320" t="s">
        <v>5</v>
      </c>
      <c r="D2" s="321"/>
      <c r="E2" s="18"/>
      <c r="I2" s="30" t="s">
        <v>39</v>
      </c>
    </row>
    <row r="3" spans="2:15" ht="15.75" thickBot="1">
      <c r="B3" s="5" t="s">
        <v>2</v>
      </c>
      <c r="C3" s="322"/>
      <c r="D3" s="323"/>
      <c r="E3" s="18" t="s">
        <v>53</v>
      </c>
      <c r="F3" s="20" t="s">
        <v>56</v>
      </c>
      <c r="G3" s="21" t="s">
        <v>43</v>
      </c>
      <c r="H3" s="26" t="s">
        <v>57</v>
      </c>
      <c r="I3" s="40" t="s">
        <v>432</v>
      </c>
      <c r="J3" s="27" t="s">
        <v>58</v>
      </c>
    </row>
    <row r="4" spans="2:15">
      <c r="B4" s="5" t="s">
        <v>1</v>
      </c>
      <c r="C4" s="324">
        <f ca="1">TODAY()</f>
        <v>42655</v>
      </c>
      <c r="D4" s="325"/>
      <c r="E4" s="18"/>
      <c r="F4" s="6">
        <f ca="1">_xll.BCurveFwd($B$14,"StartDate,Maturity",$C$9,C10,B9,B10,D9,D10,"cols=2;rows=64")</f>
        <v>42657</v>
      </c>
      <c r="G4" s="19">
        <v>42843</v>
      </c>
      <c r="J4" s="41">
        <f ca="1">_xll.BCurveFwd($B$14,"Zc.Mid",$C$9,$C$10,$B$9,$B$10,$D$9,$D$10,"cols=1;rows=64")</f>
        <v>-0.3649586160514473</v>
      </c>
    </row>
    <row r="5" spans="2:15">
      <c r="B5" s="17" t="s">
        <v>426</v>
      </c>
      <c r="C5" s="324" t="s">
        <v>430</v>
      </c>
      <c r="D5" s="325"/>
      <c r="E5" s="37">
        <f t="shared" ref="E5:E11" ca="1" si="0">INT((F5-$C$4)/365.25)</f>
        <v>0</v>
      </c>
      <c r="F5" s="19">
        <v>42843</v>
      </c>
      <c r="G5" s="19">
        <v>43026</v>
      </c>
      <c r="H5" s="41">
        <f ca="1">_xll.BCurveInt($B$14,"Zc.Mid",TEXT(F5,"YYYYMMDD"),"Frequency=Annual","DayCount=D30_360_EOMC")</f>
        <v>-0.36891823117853884</v>
      </c>
      <c r="I5" s="41"/>
      <c r="J5" s="28">
        <v>-0.39348606654698859</v>
      </c>
      <c r="L5" s="38"/>
    </row>
    <row r="6" spans="2:15" ht="15.75" thickBot="1">
      <c r="B6" s="16" t="s">
        <v>427</v>
      </c>
      <c r="C6" s="326"/>
      <c r="D6" s="327"/>
      <c r="E6" s="37">
        <f t="shared" ca="1" si="0"/>
        <v>1</v>
      </c>
      <c r="F6" s="19">
        <v>43024</v>
      </c>
      <c r="G6" s="19">
        <v>43206</v>
      </c>
      <c r="H6" s="42">
        <f ca="1">_xll.BCurveInt($B$14,"Zc.Mid",TEXT(F6,"YYYYMMDD"),"Frequency=Annual","DayCount=D30_360_EOMC")</f>
        <v>-0.38408754379246624</v>
      </c>
      <c r="I6" s="42"/>
      <c r="J6" s="28">
        <v>-0.4247232099542253</v>
      </c>
      <c r="L6" s="38"/>
    </row>
    <row r="7" spans="2:15">
      <c r="B7" s="18"/>
      <c r="C7" s="18"/>
      <c r="D7" s="18"/>
      <c r="E7" s="37">
        <f t="shared" ca="1" si="0"/>
        <v>1</v>
      </c>
      <c r="F7" s="19">
        <v>43206</v>
      </c>
      <c r="G7" s="19">
        <v>43389</v>
      </c>
      <c r="H7" s="42">
        <f ca="1">_xll.BCurveInt($B$14,"Zc.Mid",TEXT(F7,"YYYYMMDD"),"Frequency=Annual","DayCount=D30_360_EOMC")</f>
        <v>-0.39914894760734176</v>
      </c>
      <c r="I7" s="42"/>
      <c r="J7" s="28">
        <v>-0.42446039272446834</v>
      </c>
      <c r="L7" s="38"/>
    </row>
    <row r="8" spans="2:15" ht="15.75" thickBot="1">
      <c r="B8" s="18"/>
      <c r="C8" s="18"/>
      <c r="D8" s="18"/>
      <c r="E8" s="37">
        <f t="shared" ca="1" si="0"/>
        <v>2</v>
      </c>
      <c r="F8" s="19">
        <v>43388</v>
      </c>
      <c r="G8" s="19">
        <v>43570</v>
      </c>
      <c r="H8" s="42">
        <f ca="1">_xll.BCurveInt($B$14,"Zc.Mid",TEXT(F8,"YYYYMMDD"),"Frequency=Annual","DayCount=D30_360_EOMC")</f>
        <v>-0.4071962283588082</v>
      </c>
      <c r="I8" s="42">
        <f ca="1">_xll.BCurveInt($B$14,$I$2,TEXT(F8,"YYYYMMDD"),"Frequency=Annual","DayCount=D30_360_EOMC")</f>
        <v>-0.40782909858348038</v>
      </c>
      <c r="J8" s="28">
        <v>-0.4156193853158241</v>
      </c>
      <c r="L8" s="38"/>
    </row>
    <row r="9" spans="2:15" ht="15.75" thickBot="1">
      <c r="B9" s="25" t="s">
        <v>54</v>
      </c>
      <c r="C9" s="26" t="s">
        <v>53</v>
      </c>
      <c r="D9" s="27" t="s">
        <v>55</v>
      </c>
      <c r="E9" s="37">
        <f t="shared" ca="1" si="0"/>
        <v>2</v>
      </c>
      <c r="F9" s="19">
        <v>43570</v>
      </c>
      <c r="G9" s="19">
        <v>43753</v>
      </c>
      <c r="H9" s="42">
        <f ca="1">_xll.BCurveInt($B$14,"Zc.Mid",TEXT(F9,"YYYYMMDD"),"Frequency=Annual","DayCount=D30_360_EOMC")</f>
        <v>-0.40979975871382468</v>
      </c>
      <c r="I9" s="42">
        <f ca="1">_xll.BCurveInt($B$14,$I$2,TEXT(F9,"YYYYMMDD"),"Frequency=Annual","DayCount=D30_360_EOMC")</f>
        <v>-0.41039328569021777</v>
      </c>
      <c r="J9" s="28">
        <v>-0.39356096599834078</v>
      </c>
      <c r="L9" s="38"/>
    </row>
    <row r="10" spans="2:15" s="1" customFormat="1" ht="15.75" thickBot="1">
      <c r="B10" s="22" t="s">
        <v>7</v>
      </c>
      <c r="C10" s="23" t="s">
        <v>7</v>
      </c>
      <c r="D10" s="24" t="s">
        <v>433</v>
      </c>
      <c r="E10" s="37">
        <f t="shared" ca="1" si="0"/>
        <v>3</v>
      </c>
      <c r="F10" s="19">
        <v>43752</v>
      </c>
      <c r="G10" s="19">
        <v>43935</v>
      </c>
      <c r="H10" s="42">
        <f ca="1">_xll.BCurveInt($B$14,"Zc.Mid",TEXT(F10,"YYYYMMDD"),"Frequency=Annual","DayCount=D30_360_EOMC")</f>
        <v>-0.40819954064332808</v>
      </c>
      <c r="I10" s="42">
        <f ca="1">_xll.BCurveInt($B$14,$I$2,TEXT(F10,"YYYYMMDD"),"Frequency=Annual","DayCount=D30_360_EOMC")</f>
        <v>-0.40859728510820625</v>
      </c>
      <c r="J10" s="28">
        <v>-0.26076216569506094</v>
      </c>
      <c r="L10" s="38"/>
      <c r="M10" s="30"/>
      <c r="N10" s="179"/>
      <c r="O10" s="30"/>
    </row>
    <row r="11" spans="2:15" s="1" customFormat="1">
      <c r="B11" s="18"/>
      <c r="C11" s="18"/>
      <c r="D11" s="18"/>
      <c r="E11" s="37">
        <f t="shared" ca="1" si="0"/>
        <v>3</v>
      </c>
      <c r="F11" s="19">
        <v>43935</v>
      </c>
      <c r="G11" s="19">
        <v>44118</v>
      </c>
      <c r="H11" s="42">
        <f ca="1">_xll.BCurveInt($B$14,"Zc.Mid",TEXT(F11,"YYYYMMDD"),"Frequency=Annual","DayCount=D30_360_EOMC")</f>
        <v>-0.38776967412887942</v>
      </c>
      <c r="I11" s="42">
        <f ca="1">_xll.BCurveInt($B$14,$I$2,TEXT(F11,"YYYYMMDD"),"Frequency=Annual","DayCount=D30_360_EOMC")</f>
        <v>-0.38791993283897169</v>
      </c>
      <c r="J11" s="28">
        <v>-0.26003267851838485</v>
      </c>
      <c r="L11" s="38"/>
      <c r="M11" s="30"/>
      <c r="N11" s="179"/>
      <c r="O11" s="30"/>
    </row>
    <row r="12" spans="2:15" s="1" customFormat="1" ht="15.75" thickBot="1">
      <c r="B12" s="18"/>
      <c r="C12" s="18"/>
      <c r="D12" s="18"/>
      <c r="E12" s="37">
        <f ca="1">INT((F12-$C$4)/365.25)</f>
        <v>4</v>
      </c>
      <c r="F12" s="19">
        <v>44118</v>
      </c>
      <c r="G12" s="19">
        <v>44300</v>
      </c>
      <c r="H12" s="42">
        <f ca="1">_xll.BCurveInt($B$14,"Zc.Mid",TEXT(F12,"YYYYMMDD"),"Frequency=Annual","DayCount=D30_360_EOMC")</f>
        <v>-0.37235192245093085</v>
      </c>
      <c r="I12" s="42">
        <f ca="1">_xll.BCurveInt($B$14,$I$2,TEXT(F12,"YYYYMMDD"),"Frequency=Annual","DayCount=D30_360_EOMC")</f>
        <v>-0.37235343255570685</v>
      </c>
      <c r="J12" s="28">
        <v>-0.10774047119086472</v>
      </c>
      <c r="L12" s="38"/>
      <c r="M12" s="30"/>
      <c r="N12" s="179"/>
      <c r="O12" s="30"/>
    </row>
    <row r="13" spans="2:15" ht="15.75" thickBot="1">
      <c r="B13" s="317" t="s">
        <v>33</v>
      </c>
      <c r="C13" s="318"/>
      <c r="D13" s="319"/>
      <c r="E13" s="37">
        <f t="shared" ref="E13:E67" ca="1" si="1">INT((F13-$C$4)/365.25)</f>
        <v>4</v>
      </c>
      <c r="F13" s="19">
        <v>44300</v>
      </c>
      <c r="G13" s="19">
        <v>44483</v>
      </c>
      <c r="H13" s="42">
        <f ca="1">_xll.BCurveInt($B$14,"Zc.Mid",TEXT(F13,"YYYYMMDD"),"Frequency=Annual","DayCount=D30_360_EOMC")</f>
        <v>-0.3431179268676976</v>
      </c>
      <c r="I13" s="42">
        <f ca="1">_xll.BCurveInt($B$14,$I$2,TEXT(F13,"YYYYMMDD"),"Frequency=Annual","DayCount=D30_360_EOMC")</f>
        <v>-0.3428457841433078</v>
      </c>
      <c r="J13" s="28">
        <v>-0.10689843219930939</v>
      </c>
      <c r="L13" s="38"/>
    </row>
    <row r="14" spans="2:15" ht="15.75" thickBot="1">
      <c r="B14" s="314" t="str">
        <f ca="1">_xll.BCurveStrip(C2,B3,C3,B4,TEXT(C4,"YYYYMMDD"),$B$5,$C$5,$B$6,$C$6)</f>
        <v>EUR.OIS:BLOOMBERG DC 272086</v>
      </c>
      <c r="C14" s="315"/>
      <c r="D14" s="316"/>
      <c r="E14" s="37">
        <f t="shared" ca="1" si="1"/>
        <v>5</v>
      </c>
      <c r="F14" s="19">
        <v>44483</v>
      </c>
      <c r="G14" s="19">
        <v>44665</v>
      </c>
      <c r="H14" s="42">
        <f ca="1">_xll.BCurveInt($B$14,"Zc.Mid",TEXT(F14,"YYYYMMDD"),"Frequency=Annual","DayCount=D30_360_EOMC")</f>
        <v>-0.31969882555042961</v>
      </c>
      <c r="I14" s="42">
        <f ca="1">_xll.BCurveInt($B$14,$I$2,TEXT(F14,"YYYYMMDD"),"Frequency=Annual","DayCount=D30_360_EOMC")</f>
        <v>-0.31929709816617047</v>
      </c>
      <c r="J14" s="28">
        <v>0.14691221352995942</v>
      </c>
      <c r="L14" s="38"/>
    </row>
    <row r="15" spans="2:15">
      <c r="B15" s="18"/>
      <c r="C15" s="18"/>
      <c r="D15" s="18"/>
      <c r="E15" s="37">
        <f t="shared" ca="1" si="1"/>
        <v>5</v>
      </c>
      <c r="F15" s="19">
        <v>44665</v>
      </c>
      <c r="G15" s="19">
        <v>44848</v>
      </c>
      <c r="H15" s="42">
        <f ca="1">_xll.BCurveInt($B$14,"Zc.Mid",TEXT(F15,"YYYYMMDD"),"Frequency=Annual","DayCount=D30_360_EOMC")</f>
        <v>-0.27722175406144078</v>
      </c>
      <c r="I15" s="42">
        <f ca="1">_xll.BCurveInt($B$14,$I$2,TEXT(F15,"YYYYMMDD"),"Frequency=Annual","DayCount=D30_360_EOMC")</f>
        <v>-0.27640387180569786</v>
      </c>
      <c r="J15" s="28">
        <v>0.14831627208442555</v>
      </c>
      <c r="L15" s="38"/>
    </row>
    <row r="16" spans="2:15">
      <c r="B16" s="18"/>
      <c r="C16" s="18"/>
      <c r="D16" s="18"/>
      <c r="E16" s="37">
        <f t="shared" ca="1" si="1"/>
        <v>6</v>
      </c>
      <c r="F16" s="19">
        <v>44848</v>
      </c>
      <c r="G16" s="19">
        <v>45030</v>
      </c>
      <c r="H16" s="42">
        <f ca="1">_xll.BCurveInt($B$14,"Zc.Mid",TEXT(F16,"YYYYMMDD"),"Frequency=Annual","DayCount=D30_360_EOMC")</f>
        <v>-0.2416240745174103</v>
      </c>
      <c r="I16" s="42">
        <f ca="1">_xll.BCurveInt($B$14,$I$2,TEXT(F16,"YYYYMMDD"),"Frequency=Annual","DayCount=D30_360_EOMC")</f>
        <v>-0.24065535875847882</v>
      </c>
      <c r="J16" s="28">
        <v>0.42864251685192922</v>
      </c>
      <c r="L16" s="38"/>
    </row>
    <row r="17" spans="2:19">
      <c r="B17" s="18"/>
      <c r="C17" s="18"/>
      <c r="D17" s="18"/>
      <c r="E17" s="37">
        <f t="shared" ca="1" si="1"/>
        <v>6</v>
      </c>
      <c r="F17" s="19">
        <v>45030</v>
      </c>
      <c r="G17" s="19">
        <v>45215</v>
      </c>
      <c r="H17" s="42">
        <f ca="1">_xll.BCurveInt($B$14,"Zc.Mid",TEXT(F17,"YYYYMMDD"),"Frequency=Annual","DayCount=D30_360_EOMC")</f>
        <v>-0.18985942322373717</v>
      </c>
      <c r="I17" s="42">
        <f ca="1">_xll.BCurveInt($B$14,$I$2,TEXT(F17,"YYYYMMDD"),"Frequency=Annual","DayCount=D30_360_EOMC")</f>
        <v>-0.18862504770028063</v>
      </c>
      <c r="J17" s="28">
        <v>0.43334740154756801</v>
      </c>
      <c r="L17" s="38"/>
    </row>
    <row r="18" spans="2:19">
      <c r="B18" s="18"/>
      <c r="C18" s="18"/>
      <c r="D18" s="18"/>
      <c r="E18" s="37">
        <f t="shared" ca="1" si="1"/>
        <v>7</v>
      </c>
      <c r="F18" s="19">
        <v>45215</v>
      </c>
      <c r="G18" s="19">
        <v>45398</v>
      </c>
      <c r="H18" s="42">
        <f ca="1">_xll.BCurveInt($B$14,"Zc.Mid",TEXT(F18,"YYYYMMDD"),"Frequency=Annual","DayCount=D30_360_EOMC")</f>
        <v>-0.14450186585766023</v>
      </c>
      <c r="I18" s="42">
        <f ca="1">_xll.BCurveInt($B$14,$I$2,TEXT(F18,"YYYYMMDD"),"Frequency=Annual","DayCount=D30_360_EOMC")</f>
        <v>-0.14352003845710701</v>
      </c>
      <c r="J18" s="28">
        <v>0.70407745943015243</v>
      </c>
      <c r="L18" s="38"/>
    </row>
    <row r="19" spans="2:19">
      <c r="B19" s="18"/>
      <c r="C19" s="18"/>
      <c r="D19" s="18"/>
      <c r="E19" s="37">
        <f t="shared" ca="1" si="1"/>
        <v>7</v>
      </c>
      <c r="F19" s="19">
        <v>45397</v>
      </c>
      <c r="G19" s="19">
        <v>45580</v>
      </c>
      <c r="H19" s="42">
        <f ca="1">_xll.BCurveInt($B$14,"Zc.Mid",TEXT(F19,"YYYYMMDD"),"Frequency=Annual","DayCount=D30_360_EOMC")</f>
        <v>-8.7708885101267509E-2</v>
      </c>
      <c r="I19" s="42">
        <f ca="1">_xll.BCurveInt($B$14,$I$2,TEXT(F19,"YYYYMMDD"),"Frequency=Annual","DayCount=D30_360_EOMC")</f>
        <v>-8.6806182720949143E-2</v>
      </c>
      <c r="J19" s="28">
        <v>0.70556700134185579</v>
      </c>
      <c r="L19" s="38"/>
    </row>
    <row r="20" spans="2:19">
      <c r="B20" s="18"/>
      <c r="C20" s="18"/>
      <c r="D20" s="18"/>
      <c r="E20" s="37">
        <f t="shared" ca="1" si="1"/>
        <v>8</v>
      </c>
      <c r="F20" s="19">
        <v>45579</v>
      </c>
      <c r="G20" s="19">
        <v>45761</v>
      </c>
      <c r="H20" s="42">
        <f ca="1">_xll.BCurveInt($B$14,"Zc.Mid",TEXT(F20,"YYYYMMDD"),"Frequency=Annual","DayCount=D30_360_EOMC")</f>
        <v>-3.7855110223516952E-2</v>
      </c>
      <c r="I20" s="42">
        <f ca="1">_xll.BCurveInt($B$14,$I$2,TEXT(F20,"YYYYMMDD"),"Frequency=Annual","DayCount=D30_360_EOMC")</f>
        <v>-3.7285900824753714E-2</v>
      </c>
      <c r="J20" s="28">
        <v>0.94921839303123701</v>
      </c>
      <c r="L20" s="38"/>
    </row>
    <row r="21" spans="2:19">
      <c r="B21" s="18"/>
      <c r="C21" s="18"/>
      <c r="D21" s="18"/>
      <c r="E21" s="37">
        <f t="shared" ca="1" si="1"/>
        <v>8</v>
      </c>
      <c r="F21" s="19">
        <v>45761</v>
      </c>
      <c r="G21" s="19">
        <v>45944</v>
      </c>
      <c r="H21" s="42">
        <f ca="1">_xll.BCurveInt($B$14,"Zc.Mid",TEXT(F21,"YYYYMMDD"),"Frequency=Annual","DayCount=D30_360_EOMC")</f>
        <v>2.0557543265886657E-2</v>
      </c>
      <c r="I21" s="42">
        <f ca="1">_xll.BCurveInt($B$14,$I$2,TEXT(F21,"YYYYMMDD"),"Frequency=Annual","DayCount=D30_360_EOMC")</f>
        <v>2.0645590994062317E-2</v>
      </c>
      <c r="J21" s="28">
        <v>0.95056616945699002</v>
      </c>
      <c r="L21" s="38"/>
    </row>
    <row r="22" spans="2:19">
      <c r="B22" s="18"/>
      <c r="C22" s="18"/>
      <c r="D22" s="18"/>
      <c r="E22" s="37">
        <f t="shared" ca="1" si="1"/>
        <v>9</v>
      </c>
      <c r="F22" s="19">
        <v>45944</v>
      </c>
      <c r="G22" s="19">
        <v>46126</v>
      </c>
      <c r="H22" s="42">
        <f ca="1">_xll.BCurveInt($B$14,"Zc.Mid",TEXT(F22,"YYYYMMDD"),"Frequency=Annual","DayCount=D30_360_EOMC")</f>
        <v>7.2875818231477041E-2</v>
      </c>
      <c r="I22" s="42">
        <f ca="1">_xll.BCurveInt($B$14,$I$2,TEXT(F22,"YYYYMMDD"),"Frequency=Annual","DayCount=D30_360_EOMC")</f>
        <v>7.2283584600244172E-2</v>
      </c>
      <c r="J22" s="28">
        <v>1.1204745292966889</v>
      </c>
      <c r="L22" s="38"/>
    </row>
    <row r="23" spans="2:19">
      <c r="B23" s="18"/>
      <c r="C23" s="18"/>
      <c r="D23" s="18"/>
      <c r="E23" s="37">
        <f t="shared" ca="1" si="1"/>
        <v>9</v>
      </c>
      <c r="F23" s="19">
        <v>46126</v>
      </c>
      <c r="G23" s="19">
        <v>46309</v>
      </c>
      <c r="H23" s="42">
        <f ca="1">_xll.BCurveInt($B$14,"Zc.Mid",TEXT(F23,"YYYYMMDD"),"Frequency=Annual","DayCount=D30_360_EOMC")</f>
        <v>0.12839346865138879</v>
      </c>
      <c r="I23" s="42">
        <f ca="1">_xll.BCurveInt($B$14,$I$2,TEXT(F23,"YYYYMMDD"),"Frequency=Annual","DayCount=D30_360_EOMC")</f>
        <v>0.12690844245529206</v>
      </c>
      <c r="J23" s="28">
        <v>1.1214140434113951</v>
      </c>
      <c r="L23" s="38"/>
    </row>
    <row r="24" spans="2:19">
      <c r="B24" s="18"/>
      <c r="C24" s="18"/>
      <c r="D24" s="18"/>
      <c r="E24" s="37">
        <f t="shared" ca="1" si="1"/>
        <v>10</v>
      </c>
      <c r="F24" s="19">
        <v>46309</v>
      </c>
      <c r="G24" s="19">
        <v>46491</v>
      </c>
      <c r="H24" s="42">
        <f ca="1">_xll.BCurveInt($B$14,"Zc.Mid",TEXT(F24,"YYYYMMDD"),"Frequency=Annual","DayCount=D30_360_EOMC")</f>
        <v>0.17874306561933562</v>
      </c>
      <c r="I24" s="42">
        <f ca="1">_xll.BCurveInt($B$14,$I$2,TEXT(F24,"YYYYMMDD"),"Frequency=Annual","DayCount=D30_360_EOMC")</f>
        <v>0.1762600180554772</v>
      </c>
      <c r="J24" s="28">
        <v>1.256550903950937</v>
      </c>
      <c r="K24" s="38"/>
      <c r="L24" s="38"/>
    </row>
    <row r="25" spans="2:19">
      <c r="B25" s="18"/>
      <c r="C25" s="18"/>
      <c r="D25" s="18"/>
      <c r="E25" s="37">
        <f t="shared" ca="1" si="1"/>
        <v>10</v>
      </c>
      <c r="F25" s="19">
        <v>46491</v>
      </c>
      <c r="G25" s="19">
        <v>46674</v>
      </c>
      <c r="H25" s="42">
        <f ca="1">_xll.BCurveInt($B$14,"Zc.Mid",TEXT(F25,"YYYYMMDD"),"Frequency=Annual","DayCount=D30_360_EOMC")</f>
        <v>0.230468347717383</v>
      </c>
      <c r="I25" s="42">
        <f ca="1">_xll.BCurveInt($B$14,$I$2,TEXT(F25,"YYYYMMDD"),"Frequency=Annual","DayCount=D30_360_EOMC")</f>
        <v>0.22674677713900773</v>
      </c>
      <c r="J25" s="28">
        <v>1.2572980178541027</v>
      </c>
      <c r="L25" s="38"/>
      <c r="S25" s="38"/>
    </row>
    <row r="26" spans="2:19">
      <c r="E26" s="37">
        <f t="shared" ca="1" si="1"/>
        <v>11</v>
      </c>
      <c r="F26" s="19">
        <v>46674</v>
      </c>
      <c r="G26" s="19">
        <v>46861</v>
      </c>
      <c r="H26" s="42">
        <f ca="1">_xll.BCurveInt($B$14,"Zc.Mid",TEXT(F26,"YYYYMMDD"),"Frequency=Annual","DayCount=D30_360_EOMC")</f>
        <v>0.27786490811509967</v>
      </c>
      <c r="I26" s="42">
        <f ca="1">_xll.BCurveInt($B$14,$I$2,TEXT(F26,"YYYYMMDD"),"Frequency=Annual","DayCount=D30_360_EOMC")</f>
        <v>0.27287283484644631</v>
      </c>
      <c r="J26" s="28">
        <v>1.3537092185678556</v>
      </c>
      <c r="L26" s="38"/>
      <c r="S26" s="38"/>
    </row>
    <row r="27" spans="2:19">
      <c r="E27" s="37">
        <f t="shared" ca="1" si="1"/>
        <v>11</v>
      </c>
      <c r="F27" s="19">
        <v>46861</v>
      </c>
      <c r="G27" s="19">
        <v>47044</v>
      </c>
      <c r="H27" s="42">
        <f ca="1">_xll.BCurveInt($B$14,"Zc.Mid",TEXT(F27,"YYYYMMDD"),"Frequency=Annual","DayCount=D30_360_EOMC")</f>
        <v>0.32636748526373438</v>
      </c>
      <c r="I27" s="42">
        <f ca="1">_xll.BCurveInt($B$14,$I$2,TEXT(F27,"YYYYMMDD"),"Frequency=Annual","DayCount=D30_360_EOMC")</f>
        <v>0.31982971803106802</v>
      </c>
      <c r="J27" s="28">
        <v>1.3545024557222174</v>
      </c>
      <c r="L27" s="38"/>
      <c r="S27" s="38"/>
    </row>
    <row r="28" spans="2:19">
      <c r="E28" s="37">
        <f t="shared" ca="1" si="1"/>
        <v>12</v>
      </c>
      <c r="F28" s="19">
        <v>47042</v>
      </c>
      <c r="G28" s="19">
        <v>47224</v>
      </c>
      <c r="H28" s="42">
        <f ca="1">_xll.BCurveInt($B$14,"Zc.Mid",TEXT(F28,"YYYYMMDD"),"Frequency=Annual","DayCount=D30_360_EOMC")</f>
        <v>0.36943013878680819</v>
      </c>
      <c r="I28" s="42">
        <f ca="1">_xll.BCurveInt($B$14,$I$2,TEXT(F28,"YYYYMMDD"),"Frequency=Annual","DayCount=D30_360_EOMC")</f>
        <v>0.36144121903369547</v>
      </c>
      <c r="J28" s="28">
        <v>1.4042247388716067</v>
      </c>
      <c r="L28" s="38"/>
      <c r="S28" s="38"/>
    </row>
    <row r="29" spans="2:19">
      <c r="E29" s="37">
        <f t="shared" ca="1" si="1"/>
        <v>12</v>
      </c>
      <c r="F29" s="19">
        <v>47224</v>
      </c>
      <c r="G29" s="19">
        <v>47407</v>
      </c>
      <c r="H29" s="42">
        <f ca="1">_xll.BCurveInt($B$14,"Zc.Mid",TEXT(F29,"YYYYMMDD"),"Frequency=Annual","DayCount=D30_360_EOMC")</f>
        <v>0.41122218249576292</v>
      </c>
      <c r="I29" s="42">
        <f ca="1">_xll.BCurveInt($B$14,$I$2,TEXT(F29,"YYYYMMDD"),"Frequency=Annual","DayCount=D30_360_EOMC")</f>
        <v>0.40159100621623345</v>
      </c>
      <c r="J29" s="28">
        <v>1.4045010335129282</v>
      </c>
      <c r="L29" s="38"/>
      <c r="S29" s="38"/>
    </row>
    <row r="30" spans="2:19">
      <c r="E30" s="37">
        <f t="shared" ca="1" si="1"/>
        <v>13</v>
      </c>
      <c r="F30" s="19">
        <v>47406</v>
      </c>
      <c r="G30" s="19">
        <v>47588</v>
      </c>
      <c r="H30" s="42">
        <f ca="1">_xll.BCurveInt($B$14,"Zc.Mid",TEXT(F30,"YYYYMMDD"),"Frequency=Annual","DayCount=D30_360_EOMC")</f>
        <v>0.44992322388004435</v>
      </c>
      <c r="I30" s="42">
        <f ca="1">_xll.BCurveInt($B$14,$I$2,TEXT(F30,"YYYYMMDD"),"Frequency=Annual","DayCount=D30_360_EOMC")</f>
        <v>0.43874374242353725</v>
      </c>
      <c r="J30" s="28">
        <v>1.4045010335129282</v>
      </c>
      <c r="L30" s="38"/>
      <c r="S30" s="38"/>
    </row>
    <row r="31" spans="2:19">
      <c r="E31" s="37">
        <f t="shared" ca="1" si="1"/>
        <v>13</v>
      </c>
      <c r="F31" s="19">
        <v>47588</v>
      </c>
      <c r="G31" s="19">
        <v>47771</v>
      </c>
      <c r="H31" s="42">
        <f ca="1">_xll.BCurveInt($B$14,"Zc.Mid",TEXT(F31,"YYYYMMDD"),"Frequency=Annual","DayCount=D30_360_EOMC")</f>
        <v>0.48568657850156516</v>
      </c>
      <c r="I31" s="42">
        <f ca="1">_xll.BCurveInt($B$14,$I$2,TEXT(F31,"YYYYMMDD"),"Frequency=Annual","DayCount=D30_360_EOMC")</f>
        <v>0.47287035729392063</v>
      </c>
      <c r="J31" s="28">
        <v>1.4045010335128838</v>
      </c>
      <c r="L31" s="38"/>
      <c r="S31" s="38"/>
    </row>
    <row r="32" spans="2:19">
      <c r="E32" s="37">
        <f t="shared" ca="1" si="1"/>
        <v>14</v>
      </c>
      <c r="F32" s="19">
        <v>47770</v>
      </c>
      <c r="G32" s="19">
        <v>47953</v>
      </c>
      <c r="H32" s="42">
        <f ca="1">_xll.BCurveInt($B$14,"Zc.Mid",TEXT(F32,"YYYYMMDD"),"Frequency=Annual","DayCount=D30_360_EOMC")</f>
        <v>0.51901054035556893</v>
      </c>
      <c r="I32" s="42">
        <f ca="1">_xll.BCurveInt($B$14,$I$2,TEXT(F32,"YYYYMMDD"),"Frequency=Annual","DayCount=D30_360_EOMC")</f>
        <v>0.50468986014883055</v>
      </c>
      <c r="J32" s="28">
        <v>1.4045010335129282</v>
      </c>
      <c r="L32" s="38"/>
      <c r="S32" s="38"/>
    </row>
    <row r="33" spans="1:19">
      <c r="E33" s="37">
        <f t="shared" ca="1" si="1"/>
        <v>14</v>
      </c>
      <c r="F33" s="19">
        <v>47953</v>
      </c>
      <c r="G33" s="19">
        <v>48136</v>
      </c>
      <c r="H33" s="42">
        <f ca="1">_xll.BCurveInt($B$14,"Zc.Mid",TEXT(F33,"YYYYMMDD"),"Frequency=Annual","DayCount=D30_360_EOMC")</f>
        <v>0.5501158871421552</v>
      </c>
      <c r="I33" s="42">
        <f ca="1">_xll.BCurveInt($B$14,$I$2,TEXT(F33,"YYYYMMDD"),"Frequency=Annual","DayCount=D30_360_EOMC")</f>
        <v>0.53420325553852621</v>
      </c>
      <c r="J33" s="28">
        <v>1.4045010335129282</v>
      </c>
      <c r="L33" s="38"/>
      <c r="S33" s="38"/>
    </row>
    <row r="34" spans="1:19">
      <c r="E34" s="37">
        <f t="shared" ca="1" si="1"/>
        <v>15</v>
      </c>
      <c r="F34" s="19">
        <v>48135</v>
      </c>
      <c r="G34" s="19">
        <v>48318</v>
      </c>
      <c r="H34" s="42">
        <f ca="1">_xll.BCurveInt($B$14,"Zc.Mid",TEXT(F34,"YYYYMMDD"),"Frequency=Annual","DayCount=D30_360_EOMC")</f>
        <v>0.5791008143698928</v>
      </c>
      <c r="I34" s="42">
        <f ca="1">_xll.BCurveInt($B$14,$I$2,TEXT(F34,"YYYYMMDD"),"Frequency=Annual","DayCount=D30_360_EOMC")</f>
        <v>0.56175055786462025</v>
      </c>
      <c r="J34" s="28">
        <v>1.2715642816106598</v>
      </c>
      <c r="L34" s="38"/>
      <c r="S34" s="38"/>
    </row>
    <row r="35" spans="1:19">
      <c r="E35" s="37">
        <f t="shared" ca="1" si="1"/>
        <v>15</v>
      </c>
      <c r="F35" s="19">
        <v>48318</v>
      </c>
      <c r="G35" s="19">
        <v>48501</v>
      </c>
      <c r="H35" s="42">
        <f ca="1">_xll.BCurveInt($B$14,"Zc.Mid",TEXT(F35,"YYYYMMDD"),"Frequency=Annual","DayCount=D30_360_EOMC")</f>
        <v>0.6020476803569208</v>
      </c>
      <c r="I35" s="42">
        <f ca="1">_xll.BCurveInt($B$14,$I$2,TEXT(F35,"YYYYMMDD"),"Frequency=Annual","DayCount=D30_360_EOMC")</f>
        <v>0.58347199954862949</v>
      </c>
      <c r="J35" s="28">
        <v>1.2708343415119616</v>
      </c>
      <c r="L35" s="38"/>
      <c r="S35" s="38"/>
    </row>
    <row r="36" spans="1:19">
      <c r="E36" s="37">
        <f t="shared" ca="1" si="1"/>
        <v>16</v>
      </c>
      <c r="F36" s="19">
        <v>48501</v>
      </c>
      <c r="G36" s="19">
        <v>48683</v>
      </c>
      <c r="H36" s="42">
        <f ca="1">_xll.BCurveInt($B$14,"Zc.Mid",TEXT(F36,"YYYYMMDD"),"Frequency=Annual","DayCount=D30_360_EOMC")</f>
        <v>0.62354207938866146</v>
      </c>
      <c r="I36" s="42">
        <f ca="1">_xll.BCurveInt($B$14,$I$2,TEXT(F36,"YYYYMMDD"),"Frequency=Annual","DayCount=D30_360_EOMC")</f>
        <v>0.60391694750250258</v>
      </c>
      <c r="J36" s="28">
        <v>1.2708343415119838</v>
      </c>
      <c r="L36" s="38"/>
      <c r="S36" s="38"/>
    </row>
    <row r="37" spans="1:19">
      <c r="E37" s="37">
        <f t="shared" ca="1" si="1"/>
        <v>16</v>
      </c>
      <c r="F37" s="19">
        <v>48683</v>
      </c>
      <c r="G37" s="19">
        <v>48866</v>
      </c>
      <c r="H37" s="42">
        <f ca="1">_xll.BCurveInt($B$14,"Zc.Mid",TEXT(F37,"YYYYMMDD"),"Frequency=Annual","DayCount=D30_360_EOMC")</f>
        <v>0.64352400545366617</v>
      </c>
      <c r="I37" s="42">
        <f ca="1">_xll.BCurveInt($B$14,$I$2,TEXT(F37,"YYYYMMDD"),"Frequency=Annual","DayCount=D30_360_EOMC")</f>
        <v>0.62279369103724969</v>
      </c>
      <c r="J37" s="28">
        <v>1.2708343415119616</v>
      </c>
      <c r="L37" s="38"/>
      <c r="S37" s="38"/>
    </row>
    <row r="38" spans="1:19">
      <c r="E38" s="37">
        <f t="shared" ca="1" si="1"/>
        <v>17</v>
      </c>
      <c r="F38" s="19">
        <v>48866</v>
      </c>
      <c r="G38" s="19">
        <v>49048</v>
      </c>
      <c r="H38" s="42">
        <f ca="1">_xll.BCurveInt($B$14,"Zc.Mid",TEXT(F38,"YYYYMMDD"),"Frequency=Annual","DayCount=D30_360_EOMC")</f>
        <v>0.66254186005072491</v>
      </c>
      <c r="I38" s="42">
        <f ca="1">_xll.BCurveInt($B$14,$I$2,TEXT(F38,"YYYYMMDD"),"Frequency=Annual","DayCount=D30_360_EOMC")</f>
        <v>0.64083677895188751</v>
      </c>
      <c r="J38" s="28">
        <v>1.2708343415119838</v>
      </c>
      <c r="L38" s="38"/>
      <c r="S38" s="38"/>
    </row>
    <row r="39" spans="1:19">
      <c r="E39" s="37">
        <f t="shared" ca="1" si="1"/>
        <v>17</v>
      </c>
      <c r="F39" s="19">
        <v>49048</v>
      </c>
      <c r="G39" s="19">
        <v>49233</v>
      </c>
      <c r="H39" s="42">
        <f ca="1">_xll.BCurveInt($B$14,"Zc.Mid",TEXT(F39,"YYYYMMDD"),"Frequency=Annual","DayCount=D30_360_EOMC")</f>
        <v>0.68027445905280981</v>
      </c>
      <c r="I39" s="42">
        <f ca="1">_xll.BCurveInt($B$14,$I$2,TEXT(F39,"YYYYMMDD"),"Frequency=Annual","DayCount=D30_360_EOMC")</f>
        <v>0.65753765473577186</v>
      </c>
      <c r="J39" s="28">
        <v>1.2708343415119616</v>
      </c>
      <c r="L39" s="38"/>
      <c r="S39" s="38"/>
    </row>
    <row r="40" spans="1:19">
      <c r="E40" s="37">
        <f t="shared" ca="1" si="1"/>
        <v>18</v>
      </c>
      <c r="F40" s="19">
        <v>49233</v>
      </c>
      <c r="G40" s="19">
        <v>49415</v>
      </c>
      <c r="H40" s="42">
        <f ca="1">_xll.BCurveInt($B$14,"Zc.Mid",TEXT(F40,"YYYYMMDD"),"Frequency=Annual","DayCount=D30_360_EOMC")</f>
        <v>0.69739750567747727</v>
      </c>
      <c r="I40" s="42">
        <f ca="1">_xll.BCurveInt($B$14,$I$2,TEXT(F40,"YYYYMMDD"),"Frequency=Annual","DayCount=D30_360_EOMC")</f>
        <v>0.67374618266070219</v>
      </c>
      <c r="J40" s="28">
        <v>1.2708343415119838</v>
      </c>
      <c r="L40" s="38"/>
      <c r="S40" s="38"/>
    </row>
    <row r="41" spans="1:19">
      <c r="E41" s="37">
        <f t="shared" ca="1" si="1"/>
        <v>18</v>
      </c>
      <c r="F41" s="19">
        <v>49415</v>
      </c>
      <c r="G41" s="19">
        <v>49598</v>
      </c>
      <c r="H41" s="42">
        <f ca="1">_xll.BCurveInt($B$14,"Zc.Mid",TEXT(F41,"YYYYMMDD"),"Frequency=Annual","DayCount=D30_360_EOMC")</f>
        <v>0.71323019907341134</v>
      </c>
      <c r="I41" s="42">
        <f ca="1">_xll.BCurveInt($B$14,$I$2,TEXT(F41,"YYYYMMDD"),"Frequency=Annual","DayCount=D30_360_EOMC")</f>
        <v>0.68861557367806936</v>
      </c>
      <c r="J41" s="28">
        <v>1.2708343415119616</v>
      </c>
      <c r="L41" s="38"/>
      <c r="S41" s="38"/>
    </row>
    <row r="42" spans="1:19">
      <c r="E42" s="37">
        <f t="shared" ca="1" si="1"/>
        <v>19</v>
      </c>
      <c r="F42" s="19">
        <v>49597</v>
      </c>
      <c r="G42" s="19">
        <v>49780</v>
      </c>
      <c r="H42" s="42">
        <f ca="1">_xll.BCurveInt($B$14,"Zc.Mid",TEXT(F42,"YYYYMMDD"),"Frequency=Annual","DayCount=D30_360_EOMC")</f>
        <v>0.72833897059627617</v>
      </c>
      <c r="I42" s="42">
        <f ca="1">_xll.BCurveInt($B$14,$I$2,TEXT(F42,"YYYYMMDD"),"Frequency=Annual","DayCount=D30_360_EOMC")</f>
        <v>0.70288584684598931</v>
      </c>
      <c r="J42" s="28">
        <v>1.2708343415119394</v>
      </c>
      <c r="L42" s="38"/>
      <c r="S42" s="38"/>
    </row>
    <row r="43" spans="1:19">
      <c r="E43" s="37">
        <f t="shared" ca="1" si="1"/>
        <v>19</v>
      </c>
      <c r="F43" s="19">
        <v>49780</v>
      </c>
      <c r="G43" s="19">
        <v>49963</v>
      </c>
      <c r="H43" s="42">
        <f ca="1">_xll.BCurveInt($B$14,"Zc.Mid",TEXT(F43,"YYYYMMDD"),"Frequency=Annual","DayCount=D30_360_EOMC")</f>
        <v>0.74275436252497773</v>
      </c>
      <c r="I43" s="42">
        <f ca="1">_xll.BCurveInt($B$14,$I$2,TEXT(F43,"YYYYMMDD"),"Frequency=Annual","DayCount=D30_360_EOMC")</f>
        <v>0.71638152173580372</v>
      </c>
      <c r="J43" s="28">
        <v>1.270834341512006</v>
      </c>
      <c r="L43" s="38"/>
      <c r="S43" s="38"/>
    </row>
    <row r="44" spans="1:19">
      <c r="C44" s="2"/>
      <c r="D44" s="2"/>
      <c r="E44" s="37">
        <f t="shared" ca="1" si="1"/>
        <v>20</v>
      </c>
      <c r="F44" s="19">
        <v>49962</v>
      </c>
      <c r="G44" s="19">
        <v>50144</v>
      </c>
      <c r="H44" s="42">
        <f ca="1">_xll.BCurveInt($B$14,"Zc.Mid",TEXT(F44,"YYYYMMDD"),"Frequency=Annual","DayCount=D30_360_EOMC")</f>
        <v>0.75637973546831549</v>
      </c>
      <c r="I44" s="42">
        <f ca="1">_xll.BCurveInt($B$14,$I$2,TEXT(F44,"YYYYMMDD"),"Frequency=Annual","DayCount=D30_360_EOMC")</f>
        <v>0.72922571743288955</v>
      </c>
      <c r="J44" s="28">
        <v>1.0520620826877103</v>
      </c>
      <c r="L44" s="38"/>
      <c r="S44" s="38"/>
    </row>
    <row r="45" spans="1:19">
      <c r="E45" s="37">
        <f t="shared" ca="1" si="1"/>
        <v>20</v>
      </c>
      <c r="F45" s="19">
        <v>50144</v>
      </c>
      <c r="G45" s="19">
        <v>50327</v>
      </c>
      <c r="H45" s="42">
        <f ca="1">_xll.BCurveInt($B$14,"Zc.Mid",TEXT(F45,"YYYYMMDD"),"Frequency=Annual","DayCount=D30_360_EOMC")</f>
        <v>0.76386698454871116</v>
      </c>
      <c r="I45" s="42">
        <f ca="1">_xll.BCurveInt($B$14,$I$2,TEXT(F45,"YYYYMMDD"),"Frequency=Annual","DayCount=D30_360_EOMC")</f>
        <v>0.7364340165404949</v>
      </c>
      <c r="J45" s="28">
        <v>1.0508547098729837</v>
      </c>
      <c r="L45" s="38"/>
      <c r="S45" s="38"/>
    </row>
    <row r="46" spans="1:19">
      <c r="E46" s="37">
        <f t="shared" ca="1" si="1"/>
        <v>21</v>
      </c>
      <c r="F46" s="19">
        <v>50327</v>
      </c>
      <c r="G46" s="19">
        <v>50509</v>
      </c>
      <c r="H46" s="42">
        <f ca="1">_xll.BCurveInt($B$14,"Zc.Mid",TEXT(F46,"YYYYMMDD"),"Frequency=Annual","DayCount=D30_360_EOMC")</f>
        <v>0.77110857235602737</v>
      </c>
      <c r="I46" s="42">
        <f ca="1">_xll.BCurveInt($B$14,$I$2,TEXT(F46,"YYYYMMDD"),"Frequency=Annual","DayCount=D30_360_EOMC")</f>
        <v>0.7435069111636623</v>
      </c>
      <c r="J46" s="28">
        <v>1.0508547098730281</v>
      </c>
      <c r="L46" s="38"/>
      <c r="S46" s="38"/>
    </row>
    <row r="47" spans="1:19">
      <c r="E47" s="37">
        <f t="shared" ca="1" si="1"/>
        <v>21</v>
      </c>
      <c r="F47" s="19">
        <v>50509</v>
      </c>
      <c r="G47" s="19">
        <v>50692</v>
      </c>
      <c r="H47" s="42">
        <f ca="1">_xll.BCurveInt($B$14,"Zc.Mid",TEXT(F47,"YYYYMMDD"),"Frequency=Annual","DayCount=D30_360_EOMC")</f>
        <v>0.77787771517714432</v>
      </c>
      <c r="I47" s="42">
        <f ca="1">_xll.BCurveInt($B$14,$I$2,TEXT(F47,"YYYYMMDD"),"Frequency=Annual","DayCount=D30_360_EOMC")</f>
        <v>0.75004878269834818</v>
      </c>
      <c r="J47" s="28">
        <v>1.0508547098729837</v>
      </c>
      <c r="L47" s="38"/>
      <c r="S47" s="38"/>
    </row>
    <row r="48" spans="1:19">
      <c r="A48" s="3"/>
      <c r="E48" s="37">
        <f t="shared" ca="1" si="1"/>
        <v>22</v>
      </c>
      <c r="F48" s="19">
        <v>50692</v>
      </c>
      <c r="G48" s="19">
        <v>50874</v>
      </c>
      <c r="H48" s="42">
        <f ca="1">_xll.BCurveInt($B$14,"Zc.Mid",TEXT(F48,"YYYYMMDD"),"Frequency=Annual","DayCount=D30_360_EOMC")</f>
        <v>0.78447262057483869</v>
      </c>
      <c r="I48" s="42">
        <f ca="1">_xll.BCurveInt($B$14,$I$2,TEXT(F48,"YYYYMMDD"),"Frequency=Annual","DayCount=D30_360_EOMC")</f>
        <v>0.75649187745679836</v>
      </c>
      <c r="J48" s="28">
        <v>1.0508547098729837</v>
      </c>
      <c r="L48" s="38"/>
      <c r="S48" s="38"/>
    </row>
    <row r="49" spans="5:19">
      <c r="E49" s="37">
        <f t="shared" ca="1" si="1"/>
        <v>22</v>
      </c>
      <c r="F49" s="19">
        <v>50874</v>
      </c>
      <c r="G49" s="19">
        <v>51057</v>
      </c>
      <c r="H49" s="42">
        <f ca="1">_xll.BCurveInt($B$14,"Zc.Mid",TEXT(F49,"YYYYMMDD"),"Frequency=Annual","DayCount=D30_360_EOMC")</f>
        <v>0.79064474359149539</v>
      </c>
      <c r="I49" s="42">
        <f ca="1">_xll.BCurveInt($B$14,$I$2,TEXT(F49,"YYYYMMDD"),"Frequency=Annual","DayCount=D30_360_EOMC")</f>
        <v>0.76245495772420535</v>
      </c>
      <c r="J49" s="28">
        <v>1.0508547098730281</v>
      </c>
      <c r="L49" s="38"/>
      <c r="S49" s="38"/>
    </row>
    <row r="50" spans="5:19">
      <c r="E50" s="37">
        <f t="shared" ca="1" si="1"/>
        <v>23</v>
      </c>
      <c r="F50" s="19">
        <v>51057</v>
      </c>
      <c r="G50" s="19">
        <v>51242</v>
      </c>
      <c r="H50" s="42">
        <f ca="1">_xll.BCurveInt($B$14,"Zc.Mid",TEXT(F50,"YYYYMMDD"),"Frequency=Annual","DayCount=D30_360_EOMC")</f>
        <v>0.79667612547917876</v>
      </c>
      <c r="I50" s="42">
        <f ca="1">_xll.BCurveInt($B$14,$I$2,TEXT(F50,"YYYYMMDD"),"Frequency=Annual","DayCount=D30_360_EOMC")</f>
        <v>0.76834879539392276</v>
      </c>
      <c r="J50" s="28">
        <v>1.0508547098729615</v>
      </c>
      <c r="L50" s="38"/>
      <c r="S50" s="38"/>
    </row>
    <row r="51" spans="5:19">
      <c r="E51" s="37">
        <f t="shared" ca="1" si="1"/>
        <v>23</v>
      </c>
      <c r="F51" s="19">
        <v>51242</v>
      </c>
      <c r="G51" s="19">
        <v>51425</v>
      </c>
      <c r="H51" s="42">
        <f ca="1">_xll.BCurveInt($B$14,"Zc.Mid",TEXT(F51,"YYYYMMDD"),"Frequency=Annual","DayCount=D30_360_EOMC")</f>
        <v>0.80250982918288472</v>
      </c>
      <c r="I51" s="42">
        <f ca="1">_xll.BCurveInt($B$14,$I$2,TEXT(F51,"YYYYMMDD"),"Frequency=Annual","DayCount=D30_360_EOMC")</f>
        <v>0.77397250152427022</v>
      </c>
      <c r="J51" s="28">
        <v>1.0508547098729393</v>
      </c>
      <c r="L51" s="38"/>
      <c r="S51" s="38"/>
    </row>
    <row r="52" spans="5:19">
      <c r="E52" s="37">
        <f t="shared" ca="1" si="1"/>
        <v>24</v>
      </c>
      <c r="F52" s="19">
        <v>51424</v>
      </c>
      <c r="G52" s="19">
        <v>51606</v>
      </c>
      <c r="H52" s="42">
        <f ca="1">_xll.BCurveInt($B$14,"Zc.Mid",TEXT(F52,"YYYYMMDD"),"Frequency=Annual","DayCount=D30_360_EOMC")</f>
        <v>0.80801401209236179</v>
      </c>
      <c r="I52" s="42">
        <f ca="1">_xll.BCurveInt($B$14,$I$2,TEXT(F52,"YYYYMMDD"),"Frequency=Annual","DayCount=D30_360_EOMC")</f>
        <v>0.77935284241218572</v>
      </c>
      <c r="J52" s="28">
        <v>1.0508547098729837</v>
      </c>
      <c r="L52" s="38"/>
      <c r="S52" s="38"/>
    </row>
    <row r="53" spans="5:19">
      <c r="E53" s="37">
        <f t="shared" ca="1" si="1"/>
        <v>24</v>
      </c>
      <c r="F53" s="19">
        <v>51606</v>
      </c>
      <c r="G53" s="19">
        <v>51789</v>
      </c>
      <c r="H53" s="42">
        <f ca="1">_xll.BCurveInt($B$14,"Zc.Mid",TEXT(F53,"YYYYMMDD"),"Frequency=Annual","DayCount=D30_360_EOMC")</f>
        <v>0.81320249134095857</v>
      </c>
      <c r="I53" s="42">
        <f ca="1">_xll.BCurveInt($B$14,$I$2,TEXT(F53,"YYYYMMDD"),"Frequency=Annual","DayCount=D30_360_EOMC")</f>
        <v>0.784362227826366</v>
      </c>
      <c r="J53" s="28">
        <v>1.0508547098729837</v>
      </c>
      <c r="L53" s="38"/>
      <c r="S53" s="38"/>
    </row>
    <row r="54" spans="5:19">
      <c r="E54" s="37">
        <f t="shared" ca="1" si="1"/>
        <v>25</v>
      </c>
      <c r="F54" s="19">
        <v>51788</v>
      </c>
      <c r="G54" s="19">
        <v>51970</v>
      </c>
      <c r="H54" s="42">
        <f ca="1">_xll.BCurveInt($B$14,"Zc.Mid",TEXT(F54,"YYYYMMDD"),"Frequency=Annual","DayCount=D30_360_EOMC")</f>
        <v>0.81827498594917447</v>
      </c>
      <c r="I54" s="42">
        <f ca="1">_xll.BCurveInt($B$14,$I$2,TEXT(F54,"YYYYMMDD"),"Frequency=Annual","DayCount=D30_360_EOMC")</f>
        <v>0.78932033527500201</v>
      </c>
      <c r="J54" s="28">
        <v>0.93183935967078302</v>
      </c>
      <c r="L54" s="38"/>
      <c r="S54" s="38"/>
    </row>
    <row r="55" spans="5:19">
      <c r="E55" s="37">
        <f t="shared" ca="1" si="1"/>
        <v>25</v>
      </c>
      <c r="F55" s="19">
        <v>51970</v>
      </c>
      <c r="G55" s="19">
        <v>52153</v>
      </c>
      <c r="H55" s="42">
        <f ca="1">_xll.BCurveInt($B$14,"Zc.Mid",TEXT(F55,"YYYYMMDD"),"Frequency=Annual","DayCount=D30_360_EOMC")</f>
        <v>0.82070424303484213</v>
      </c>
      <c r="I55" s="42">
        <f ca="1">_xll.BCurveInt($B$14,$I$2,TEXT(F55,"YYYYMMDD"),"Frequency=Annual","DayCount=D30_360_EOMC")</f>
        <v>0.79188372623360159</v>
      </c>
      <c r="J55" s="28">
        <v>0.93118220581061006</v>
      </c>
      <c r="L55" s="38"/>
      <c r="S55" s="38"/>
    </row>
    <row r="56" spans="5:19">
      <c r="E56" s="37">
        <f t="shared" ca="1" si="1"/>
        <v>26</v>
      </c>
      <c r="F56" s="19">
        <v>52153</v>
      </c>
      <c r="G56" s="19">
        <v>52335</v>
      </c>
      <c r="H56" s="42">
        <f ca="1">_xll.BCurveInt($B$14,"Zc.Mid",TEXT(F56,"YYYYMMDD"),"Frequency=Annual","DayCount=D30_360_EOMC")</f>
        <v>0.82312719808852464</v>
      </c>
      <c r="I56" s="42">
        <f ca="1">_xll.BCurveInt($B$14,$I$2,TEXT(F56,"YYYYMMDD"),"Frequency=Annual","DayCount=D30_360_EOMC")</f>
        <v>0.79449878390265882</v>
      </c>
      <c r="J56" s="28">
        <v>0.93118220581063227</v>
      </c>
      <c r="L56" s="38"/>
      <c r="S56" s="38"/>
    </row>
    <row r="57" spans="5:19">
      <c r="E57" s="37">
        <f t="shared" ca="1" si="1"/>
        <v>26</v>
      </c>
      <c r="F57" s="19">
        <v>52335</v>
      </c>
      <c r="G57" s="19">
        <v>52518</v>
      </c>
      <c r="H57" s="42">
        <f ca="1">_xll.BCurveInt($B$14,"Zc.Mid",TEXT(F57,"YYYYMMDD"),"Frequency=Annual","DayCount=D30_360_EOMC")</f>
        <v>0.82536081736686029</v>
      </c>
      <c r="I57" s="42">
        <f ca="1">_xll.BCurveInt($B$14,$I$2,TEXT(F57,"YYYYMMDD"),"Frequency=Annual","DayCount=D30_360_EOMC")</f>
        <v>0.79687029241540586</v>
      </c>
      <c r="J57" s="28">
        <v>0.93118220581056566</v>
      </c>
      <c r="L57" s="38"/>
      <c r="S57" s="38"/>
    </row>
    <row r="58" spans="5:19">
      <c r="E58" s="37">
        <f t="shared" ca="1" si="1"/>
        <v>27</v>
      </c>
      <c r="F58" s="19">
        <v>52518</v>
      </c>
      <c r="G58" s="19">
        <v>52701</v>
      </c>
      <c r="H58" s="42">
        <f ca="1">_xll.BCurveInt($B$14,"Zc.Mid",TEXT(F58,"YYYYMMDD"),"Frequency=Annual","DayCount=D30_360_EOMC")</f>
        <v>0.82760790326141809</v>
      </c>
      <c r="I58" s="42">
        <f ca="1">_xll.BCurveInt($B$14,$I$2,TEXT(F58,"YYYYMMDD"),"Frequency=Annual","DayCount=D30_360_EOMC")</f>
        <v>0.79929825109463748</v>
      </c>
      <c r="J58" s="28">
        <v>0.93118220581061006</v>
      </c>
      <c r="L58" s="38"/>
      <c r="S58" s="38"/>
    </row>
    <row r="59" spans="5:19">
      <c r="E59" s="37">
        <f t="shared" ca="1" si="1"/>
        <v>27</v>
      </c>
      <c r="F59" s="19">
        <v>52701</v>
      </c>
      <c r="G59" s="19">
        <v>52884</v>
      </c>
      <c r="H59" s="42">
        <f ca="1">_xll.BCurveInt($B$14,"Zc.Mid",TEXT(F59,"YYYYMMDD"),"Frequency=Annual","DayCount=D30_360_EOMC")</f>
        <v>0.82977332432367934</v>
      </c>
      <c r="I59" s="42">
        <f ca="1">_xll.BCurveInt($B$14,$I$2,TEXT(F59,"YYYYMMDD"),"Frequency=Annual","DayCount=D30_360_EOMC")</f>
        <v>0.80157959527531253</v>
      </c>
      <c r="J59" s="28">
        <v>0.93118220581065447</v>
      </c>
      <c r="L59" s="38"/>
    </row>
    <row r="60" spans="5:19">
      <c r="E60" s="37">
        <f t="shared" ca="1" si="1"/>
        <v>28</v>
      </c>
      <c r="F60" s="19">
        <v>52884</v>
      </c>
      <c r="G60" s="19">
        <v>53066</v>
      </c>
      <c r="H60" s="42">
        <f ca="1">_xll.BCurveInt($B$14,"Zc.Mid",TEXT(F60,"YYYYMMDD"),"Frequency=Annual","DayCount=D30_360_EOMC")</f>
        <v>0.83186145296330061</v>
      </c>
      <c r="I60" s="42">
        <f ca="1">_xll.BCurveInt($B$14,$I$2,TEXT(F60,"YYYYMMDD"),"Frequency=Annual","DayCount=D30_360_EOMC")</f>
        <v>0.80383858467303215</v>
      </c>
      <c r="J60" s="28">
        <v>0.93118220581054345</v>
      </c>
      <c r="L60" s="38"/>
    </row>
    <row r="61" spans="5:19">
      <c r="E61" s="37">
        <f t="shared" ca="1" si="1"/>
        <v>28</v>
      </c>
      <c r="F61" s="19">
        <v>53066</v>
      </c>
      <c r="G61" s="19">
        <v>53251</v>
      </c>
      <c r="H61" s="42">
        <f ca="1">_xll.BCurveInt($B$14,"Zc.Mid",TEXT(F61,"YYYYMMDD"),"Frequency=Annual","DayCount=D30_360_EOMC")</f>
        <v>0.83378526311423951</v>
      </c>
      <c r="I61" s="42">
        <f ca="1">_xll.BCurveInt($B$14,$I$2,TEXT(F61,"YYYYMMDD"),"Frequency=Annual","DayCount=D30_360_EOMC")</f>
        <v>0.80588379965557921</v>
      </c>
      <c r="J61" s="28">
        <v>0.93118220581061006</v>
      </c>
      <c r="L61" s="38"/>
    </row>
    <row r="62" spans="5:19">
      <c r="E62" s="37">
        <f t="shared" ca="1" si="1"/>
        <v>29</v>
      </c>
      <c r="F62" s="19">
        <v>53251</v>
      </c>
      <c r="G62" s="19">
        <v>53433</v>
      </c>
      <c r="H62" s="42">
        <f ca="1">_xll.BCurveInt($B$14,"Zc.Mid",TEXT(F62,"YYYYMMDD"),"Frequency=Annual","DayCount=D30_360_EOMC")</f>
        <v>0.83575056600022624</v>
      </c>
      <c r="I62" s="42">
        <f ca="1">_xll.BCurveInt($B$14,$I$2,TEXT(F62,"YYYYMMDD"),"Frequency=Annual","DayCount=D30_360_EOMC")</f>
        <v>0.80801281230879862</v>
      </c>
      <c r="J62" s="28">
        <v>0.93118220581063227</v>
      </c>
      <c r="L62" s="38"/>
    </row>
    <row r="63" spans="5:19">
      <c r="E63" s="37">
        <f t="shared" ca="1" si="1"/>
        <v>29</v>
      </c>
      <c r="F63" s="19">
        <v>53433</v>
      </c>
      <c r="G63" s="19">
        <v>53616</v>
      </c>
      <c r="H63" s="42">
        <f ca="1">_xll.BCurveInt($B$14,"Zc.Mid",TEXT(F63,"YYYYMMDD"),"Frequency=Annual","DayCount=D30_360_EOMC")</f>
        <v>0.83754297614173634</v>
      </c>
      <c r="I63" s="42">
        <f ca="1">_xll.BCurveInt($B$14,$I$2,TEXT(F63,"YYYYMMDD"),"Frequency=Annual","DayCount=D30_360_EOMC")</f>
        <v>0.80991908916286404</v>
      </c>
      <c r="J63" s="28">
        <v>0.93118220581061006</v>
      </c>
      <c r="L63" s="38"/>
    </row>
    <row r="64" spans="5:19">
      <c r="E64" s="37">
        <f t="shared" ca="1" si="1"/>
        <v>30</v>
      </c>
      <c r="F64" s="19">
        <v>53615</v>
      </c>
      <c r="G64" s="19">
        <v>53798</v>
      </c>
      <c r="H64" s="42">
        <f ca="1">_xll.BCurveInt($B$14,"Zc.Mid",TEXT(F64,"YYYYMMDD"),"Frequency=Annual","DayCount=D30_360_EOMC")</f>
        <v>0.83935370933827524</v>
      </c>
      <c r="I64" s="42">
        <f ca="1">_xll.BCurveInt($B$14,$I$2,TEXT(F64,"YYYYMMDD"),"Frequency=Annual","DayCount=D30_360_EOMC")</f>
        <v>0.81188081383942989</v>
      </c>
      <c r="J64" s="28">
        <v>0.8661915996885039</v>
      </c>
      <c r="L64" s="38"/>
    </row>
    <row r="65" spans="5:12">
      <c r="E65" s="37">
        <f t="shared" ca="1" si="1"/>
        <v>30</v>
      </c>
      <c r="F65" s="19">
        <v>53798</v>
      </c>
      <c r="G65" s="19">
        <v>53981</v>
      </c>
      <c r="H65" s="42">
        <f ca="1">_xll.BCurveInt($B$14,"Zc.Mid",TEXT(F65,"YYYYMMDD"),"Frequency=Annual","DayCount=D30_360_EOMC")</f>
        <v>0.83995436796773237</v>
      </c>
      <c r="I65" s="42">
        <f ca="1">_xll.BCurveInt($B$14,$I$2,TEXT(F65,"YYYYMMDD"),"Frequency=Annual","DayCount=D30_360_EOMC")</f>
        <v>0.81274762997378902</v>
      </c>
      <c r="J65" s="28">
        <v>0.86583462406970568</v>
      </c>
      <c r="L65" s="38"/>
    </row>
    <row r="66" spans="5:12">
      <c r="E66" s="37">
        <f t="shared" ca="1" si="1"/>
        <v>31</v>
      </c>
      <c r="F66" s="19">
        <v>53979</v>
      </c>
      <c r="G66" s="19">
        <v>54162</v>
      </c>
      <c r="H66" s="42">
        <f ca="1">_xll.BCurveInt($B$14,"Zc.Mid",TEXT(F66,"YYYYMMDD"),"Frequency=Annual","DayCount=D30_360_EOMC")</f>
        <v>0.84060079851602243</v>
      </c>
      <c r="I66" s="42">
        <f ca="1">_xll.BCurveInt($B$14,$I$2,TEXT(F66,"YYYYMMDD"),"Frequency=Annual","DayCount=D30_360_EOMC")</f>
        <v>0.81368969834110261</v>
      </c>
      <c r="J66" s="28">
        <v>0.86583462406972789</v>
      </c>
      <c r="L66" s="38"/>
    </row>
    <row r="67" spans="5:12">
      <c r="E67" s="37">
        <f t="shared" ca="1" si="1"/>
        <v>31</v>
      </c>
      <c r="F67" s="19">
        <v>54162</v>
      </c>
      <c r="G67" s="19">
        <v>54345</v>
      </c>
      <c r="H67" s="42">
        <f ca="1">_xll.BCurveInt($B$14,"Zc.Mid",TEXT(F67,"YYYYMMDD"),"Frequency=Annual","DayCount=D30_360_EOMC")</f>
        <v>0.84123127529940334</v>
      </c>
      <c r="I67" s="42">
        <f ca="1">_xll.BCurveInt($B$14,$I$2,TEXT(F67,"YYYYMMDD"),"Frequency=Annual","DayCount=D30_360_EOMC")</f>
        <v>0.81456237712936619</v>
      </c>
      <c r="J67" s="28">
        <v>0.86583462406972789</v>
      </c>
      <c r="L67" s="38"/>
    </row>
    <row r="68" spans="5:12">
      <c r="E68" s="37"/>
      <c r="H68" s="42"/>
      <c r="I68" s="42"/>
      <c r="J68" s="28"/>
      <c r="L68" s="38"/>
    </row>
    <row r="69" spans="5:12">
      <c r="E69" s="37"/>
      <c r="H69" s="42"/>
      <c r="I69" s="42"/>
      <c r="J69" s="28"/>
      <c r="L69" s="38"/>
    </row>
    <row r="70" spans="5:12">
      <c r="H70" s="42"/>
      <c r="I70" s="42"/>
      <c r="J70" s="28"/>
    </row>
    <row r="71" spans="5:12">
      <c r="H71" s="42"/>
      <c r="I71" s="42"/>
    </row>
    <row r="72" spans="5:12">
      <c r="H72" s="42"/>
    </row>
    <row r="73" spans="5:12">
      <c r="H73" s="42"/>
      <c r="I73" s="42"/>
    </row>
    <row r="74" spans="5:12">
      <c r="H74" s="42"/>
    </row>
    <row r="75" spans="5:12">
      <c r="H75" s="42"/>
    </row>
    <row r="76" spans="5:12">
      <c r="H76" s="42"/>
    </row>
    <row r="77" spans="5:12">
      <c r="H77" s="42"/>
    </row>
    <row r="78" spans="5:12">
      <c r="H78" s="42"/>
    </row>
    <row r="79" spans="5:12">
      <c r="H79" s="42"/>
    </row>
    <row r="80" spans="5:12">
      <c r="H80" s="42"/>
    </row>
    <row r="81" spans="8:8">
      <c r="H81" s="42"/>
    </row>
    <row r="82" spans="8:8">
      <c r="H82" s="42"/>
    </row>
    <row r="83" spans="8:8">
      <c r="H83" s="42"/>
    </row>
    <row r="84" spans="8:8">
      <c r="H84" s="42"/>
    </row>
    <row r="85" spans="8:8">
      <c r="H85" s="42"/>
    </row>
    <row r="86" spans="8:8">
      <c r="H86" s="42"/>
    </row>
    <row r="87" spans="8:8">
      <c r="H87" s="42"/>
    </row>
    <row r="88" spans="8:8">
      <c r="H88" s="42"/>
    </row>
  </sheetData>
  <mergeCells count="7">
    <mergeCell ref="B14:D14"/>
    <mergeCell ref="B13:D13"/>
    <mergeCell ref="C2:D2"/>
    <mergeCell ref="C3:D3"/>
    <mergeCell ref="C4:D4"/>
    <mergeCell ref="C5:D5"/>
    <mergeCell ref="C6:D6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Dati!$H$2:$H$5</xm:f>
          </x14:formula1>
          <xm:sqref>C5</xm:sqref>
        </x14:dataValidation>
        <x14:dataValidation type="list" allowBlank="1" showInputMessage="1" showErrorMessage="1">
          <x14:formula1>
            <xm:f>Dati!$B$2:$B$19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39997558519241921"/>
  </sheetPr>
  <dimension ref="A1:BN295"/>
  <sheetViews>
    <sheetView topLeftCell="B1" zoomScale="85" zoomScaleNormal="85" workbookViewId="0">
      <pane ySplit="2" topLeftCell="A3" activePane="bottomLeft" state="frozen"/>
      <selection activeCell="F54" sqref="F54"/>
      <selection pane="bottomLeft" activeCell="X19" sqref="X19"/>
    </sheetView>
  </sheetViews>
  <sheetFormatPr defaultColWidth="7" defaultRowHeight="15"/>
  <cols>
    <col min="1" max="1" width="5.7109375" style="87" customWidth="1"/>
    <col min="2" max="2" width="6.85546875" style="87" customWidth="1"/>
    <col min="3" max="3" width="9.140625" style="87" customWidth="1"/>
    <col min="4" max="4" width="8.140625" style="65" customWidth="1"/>
    <col min="5" max="5" width="7.140625" style="65" customWidth="1"/>
    <col min="6" max="8" width="5.42578125" style="65" customWidth="1"/>
    <col min="9" max="9" width="4.28515625" style="66" customWidth="1"/>
    <col min="10" max="10" width="3.5703125" style="66" customWidth="1"/>
    <col min="11" max="11" width="9.28515625" style="67" customWidth="1"/>
    <col min="12" max="12" width="6.28515625" style="65" customWidth="1"/>
    <col min="13" max="15" width="5.42578125" style="65" customWidth="1"/>
    <col min="16" max="16" width="6.28515625" style="65" customWidth="1"/>
    <col min="17" max="17" width="7.42578125" style="65" customWidth="1"/>
    <col min="18" max="20" width="8.140625" style="65" customWidth="1"/>
    <col min="21" max="21" width="9.7109375" style="65" customWidth="1"/>
    <col min="22" max="22" width="6.7109375" style="64" customWidth="1"/>
    <col min="23" max="23" width="9.28515625" style="64" customWidth="1"/>
    <col min="24" max="24" width="6.85546875" style="64" customWidth="1"/>
    <col min="25" max="25" width="8.28515625" style="66" customWidth="1"/>
    <col min="26" max="26" width="7.85546875" style="65" customWidth="1"/>
    <col min="27" max="27" width="14.5703125" style="140" customWidth="1"/>
    <col min="28" max="28" width="14.5703125" style="276" customWidth="1"/>
    <col min="29" max="35" width="7.42578125" style="64" bestFit="1" customWidth="1"/>
    <col min="36" max="36" width="10.7109375" style="64" customWidth="1"/>
    <col min="37" max="16384" width="7" style="64"/>
  </cols>
  <sheetData>
    <row r="1" spans="1:66" ht="15" customHeight="1" thickBot="1">
      <c r="A1" s="92">
        <f ca="1">TODAY()</f>
        <v>42655</v>
      </c>
      <c r="B1" s="93"/>
      <c r="C1" s="94" t="s">
        <v>634</v>
      </c>
      <c r="D1" s="95"/>
      <c r="E1" s="95"/>
      <c r="F1" s="95"/>
      <c r="G1" s="95"/>
      <c r="H1" s="95"/>
      <c r="I1" s="96"/>
      <c r="J1" s="96"/>
      <c r="K1" s="97"/>
      <c r="L1" s="95"/>
      <c r="M1" s="95"/>
      <c r="N1" s="95"/>
      <c r="O1" s="95"/>
      <c r="P1" s="95"/>
      <c r="Q1" s="95"/>
      <c r="R1" s="95"/>
      <c r="S1" s="95"/>
      <c r="T1" s="95"/>
      <c r="U1" s="95"/>
      <c r="V1" s="94"/>
      <c r="W1" s="94"/>
      <c r="X1" s="94"/>
      <c r="Y1" s="98">
        <v>41275</v>
      </c>
      <c r="Z1" s="95"/>
      <c r="AA1" s="68" t="s">
        <v>481</v>
      </c>
      <c r="AB1" s="274"/>
      <c r="AC1" s="69"/>
      <c r="AD1" s="69"/>
      <c r="AE1" s="69"/>
      <c r="AF1" s="69"/>
      <c r="AG1" s="69"/>
      <c r="AH1" s="69"/>
      <c r="AI1" s="69"/>
      <c r="AJ1" s="70"/>
    </row>
    <row r="2" spans="1:66" s="71" customFormat="1" ht="14.25" customHeight="1">
      <c r="A2" s="99" t="s">
        <v>488</v>
      </c>
      <c r="B2" s="99" t="s">
        <v>485</v>
      </c>
      <c r="C2" s="99" t="s">
        <v>487</v>
      </c>
      <c r="D2" s="99" t="s">
        <v>486</v>
      </c>
      <c r="E2" s="99" t="s">
        <v>482</v>
      </c>
      <c r="F2" s="259" t="s">
        <v>491</v>
      </c>
      <c r="G2" s="260" t="s">
        <v>701</v>
      </c>
      <c r="H2" s="261" t="s">
        <v>702</v>
      </c>
      <c r="I2" s="100" t="s">
        <v>703</v>
      </c>
      <c r="J2" s="182" t="s">
        <v>744</v>
      </c>
      <c r="K2" s="101" t="s">
        <v>484</v>
      </c>
      <c r="L2" s="262"/>
      <c r="M2" s="263"/>
      <c r="N2" s="264"/>
      <c r="O2" s="263"/>
      <c r="P2" s="264" t="s">
        <v>631</v>
      </c>
      <c r="Q2" s="99" t="s">
        <v>434</v>
      </c>
      <c r="R2" s="99" t="s">
        <v>673</v>
      </c>
      <c r="S2" s="99" t="s">
        <v>435</v>
      </c>
      <c r="T2" s="99"/>
      <c r="U2" s="182"/>
      <c r="V2" s="256" t="s">
        <v>646</v>
      </c>
      <c r="W2" s="182" t="s">
        <v>760</v>
      </c>
      <c r="X2" s="182" t="s">
        <v>39</v>
      </c>
      <c r="Y2" s="257" t="s">
        <v>633</v>
      </c>
      <c r="Z2" s="257" t="s">
        <v>632</v>
      </c>
      <c r="AA2" s="258"/>
      <c r="AB2" s="136"/>
      <c r="AC2" s="240">
        <v>42654</v>
      </c>
      <c r="AD2" s="240">
        <v>42653</v>
      </c>
      <c r="AE2" s="240">
        <v>42648</v>
      </c>
      <c r="AF2" s="240">
        <v>42643</v>
      </c>
      <c r="AG2" s="240">
        <v>42641</v>
      </c>
      <c r="AH2" s="240">
        <v>42636</v>
      </c>
      <c r="AI2" s="240">
        <v>42634</v>
      </c>
    </row>
    <row r="3" spans="1:66">
      <c r="A3" s="102" t="str">
        <f>_xll.MKV("EUR.CM_INSTRUMENT.PXE."&amp;$AA3, A$2)</f>
        <v>BTPS</v>
      </c>
      <c r="B3" s="102">
        <f>_xll.MKV("EUR.CM_INSTRUMENT.PXE."&amp;$AA3, B$2)</f>
        <v>2.75</v>
      </c>
      <c r="C3" s="103">
        <f>VLOOKUP(AA3,DB!$C$5:$S$236,2,FALSE)</f>
        <v>42689</v>
      </c>
      <c r="D3" s="104">
        <f>_xll.MKV($AA$1&amp;$AA3, D$2)</f>
        <v>100.265</v>
      </c>
      <c r="E3" s="104">
        <f>_xll.MKV($AA$1&amp;$AA3, E$2)</f>
        <v>-0.29799999999999999</v>
      </c>
      <c r="F3" s="268">
        <f>VLOOKUP(AA3,DB!$C$5:$S$236,3,FALSE)</f>
        <v>1.8000000000000016</v>
      </c>
      <c r="G3" s="269">
        <f>VLOOKUP($AA3,DB!$C$5:$S$236,4,FALSE)</f>
        <v>-0.30000000000000027</v>
      </c>
      <c r="H3" s="270">
        <f>VLOOKUP($AA3,DB!$C$5:$S$236,5,FALSE)</f>
        <v>-11.2</v>
      </c>
      <c r="I3" s="105" t="str">
        <f t="shared" ref="I3:I18" si="0">IF(Y3&gt;$Y$1,"CAC", "")</f>
        <v>CAC</v>
      </c>
      <c r="J3" s="105"/>
      <c r="K3" s="106" t="e">
        <f ca="1">(E3-X3)*100</f>
        <v>#VALUE!</v>
      </c>
      <c r="L3" s="271"/>
      <c r="M3" s="272"/>
      <c r="N3" s="273"/>
      <c r="O3" s="271"/>
      <c r="P3" s="273"/>
      <c r="Q3" s="107">
        <f>_xll.MKV($AA$1&amp;$AA3, Q$2)</f>
        <v>7.7</v>
      </c>
      <c r="R3" s="107"/>
      <c r="S3" s="104">
        <f>_xll.MKV($AA$1&amp;$AA3, S$2)</f>
        <v>4.6000000000000005</v>
      </c>
      <c r="T3" s="104">
        <f t="shared" ref="T3:T34" si="1">_xlfn.RANK.EQ(V3,$V$3:$V$73,1)</f>
        <v>62</v>
      </c>
      <c r="U3" s="108">
        <f t="shared" ref="U3:U32" si="2">C3</f>
        <v>42689</v>
      </c>
      <c r="V3" s="109">
        <f>IFERROR(_xll.MKV("EUR.CM_DEPTH.VMO_REPO."&amp;AA3&amp;"_SN_Fixed", V$2),4)</f>
        <v>-0.40669158878504674</v>
      </c>
      <c r="W3" s="38">
        <f>_xll.MKV("EUR.PRICERISK.PXE."&amp;AA3, "EffPV1Basis")</f>
        <v>8.8200000000000001E-2</v>
      </c>
      <c r="X3" s="110" t="str">
        <f ca="1">_xll.BCurveInt(SPF!$B$14,$X$2,TEXT(C3,"YYYYMMDD"),"Frequency=Annual","DayCount=D30_360_EOMC")</f>
        <v>#N/A Invalid object ID</v>
      </c>
      <c r="Y3" s="111">
        <f>DATEVALUE(_xll.BDP($AA3&amp;$C$1,Y$2))</f>
        <v>41533</v>
      </c>
      <c r="Z3" s="112">
        <f>_xll.BDP($AA3&amp;$C$1,Z$2)/1000000000</f>
        <v>12.40204</v>
      </c>
      <c r="AA3" s="137" t="s">
        <v>498</v>
      </c>
      <c r="AB3" s="255"/>
      <c r="AC3" s="134">
        <v>-0.41001176470588241</v>
      </c>
      <c r="AD3" s="134">
        <v>-0.42501779359430608</v>
      </c>
      <c r="AE3" s="134">
        <v>-0.4098</v>
      </c>
      <c r="AF3" s="134">
        <v>-0.415627572016461</v>
      </c>
      <c r="AG3" s="134">
        <v>-0.43964856230031946</v>
      </c>
      <c r="AH3" s="134">
        <v>-0.437</v>
      </c>
      <c r="AI3" s="134">
        <v>-0.41533333333333339</v>
      </c>
    </row>
    <row r="4" spans="1:66">
      <c r="A4" s="102" t="str">
        <f>_xll.MKV("EUR.CM_INSTRUMENT.PXE."&amp;$AA4, A$2)</f>
        <v>BTPS</v>
      </c>
      <c r="B4" s="102">
        <f>_xll.MKV("EUR.CM_INSTRUMENT.PXE."&amp;$AA4, B$2)</f>
        <v>1.5</v>
      </c>
      <c r="C4" s="103">
        <f>VLOOKUP(AA4,DB!$C$5:$S$236,2,FALSE)</f>
        <v>42719</v>
      </c>
      <c r="D4" s="104">
        <f>_xll.MKV($AA$1&amp;$AA4, D$2)</f>
        <v>100.328</v>
      </c>
      <c r="E4" s="104">
        <f>_xll.MKV($AA$1&amp;$AA4, E$2)</f>
        <v>-0.43</v>
      </c>
      <c r="F4" s="268">
        <f>VLOOKUP(AA4,DB!$C$5:$S$236,3,FALSE)</f>
        <v>-5.8</v>
      </c>
      <c r="G4" s="269">
        <f>VLOOKUP($AA4,DB!$C$5:$S$236,4,FALSE)</f>
        <v>-7.7000000000000011</v>
      </c>
      <c r="H4" s="270">
        <f>VLOOKUP($AA4,DB!$C$5:$S$236,5,FALSE)</f>
        <v>-17.8</v>
      </c>
      <c r="I4" s="105" t="str">
        <f t="shared" si="0"/>
        <v>CAC</v>
      </c>
      <c r="J4" s="105"/>
      <c r="K4" s="106" t="e">
        <f ca="1">(E4-X4)*100</f>
        <v>#VALUE!</v>
      </c>
      <c r="L4" s="271">
        <f t="shared" ref="L4:L16" si="3">(E4-E3)*36500/(C4-C3)</f>
        <v>-160.6</v>
      </c>
      <c r="M4" s="272"/>
      <c r="N4" s="273"/>
      <c r="O4" s="271" t="e">
        <f t="shared" ref="O4:O53" ca="1" si="4">(K4-K3)*365/(C4-C3)</f>
        <v>#VALUE!</v>
      </c>
      <c r="P4" s="273"/>
      <c r="Q4" s="107">
        <f>_xll.MKV($AA$1&amp;$AA4, Q$2)</f>
        <v>-8.2000000000000011</v>
      </c>
      <c r="R4" s="107"/>
      <c r="S4" s="104">
        <f>_xll.MKV($AA$1&amp;$AA4, S$2)</f>
        <v>-9.9</v>
      </c>
      <c r="T4" s="104">
        <f t="shared" si="1"/>
        <v>55</v>
      </c>
      <c r="U4" s="108">
        <f t="shared" si="2"/>
        <v>42719</v>
      </c>
      <c r="V4" s="109">
        <f>IFERROR(_xll.MKV("EUR.CM_DEPTH.VMO_REPO."&amp;AA4&amp;"_SN_Fixed", V$2),4)</f>
        <v>-0.41006607929515421</v>
      </c>
      <c r="W4" s="38">
        <f>_xll.MKV("EUR.PRICERISK.PXE."&amp;AA4, "EffPV1Basis")</f>
        <v>2.08</v>
      </c>
      <c r="X4" s="110" t="str">
        <f ca="1">_xll.BCurveInt(SPF!$B$14,$X$2,TEXT(C4,"YYYYMMDD"),"Frequency=Annual","DayCount=D30_360_EOMC")</f>
        <v>#N/A Invalid object ID</v>
      </c>
      <c r="Y4" s="111">
        <f>DATEVALUE(_xll.BDP($AA4&amp;$C$1,Y$2))</f>
        <v>41654</v>
      </c>
      <c r="Z4" s="112">
        <f>_xll.BDP($AA4&amp;$C$1,Z$2)/1000000000</f>
        <v>15.564494140624999</v>
      </c>
      <c r="AA4" s="137" t="s">
        <v>499</v>
      </c>
      <c r="AB4" s="255"/>
      <c r="AC4" s="134">
        <v>-0.40775000000000006</v>
      </c>
      <c r="AD4" s="134">
        <v>-0.41676470588235298</v>
      </c>
      <c r="AE4" s="134">
        <v>-0.40262926292629259</v>
      </c>
      <c r="AF4" s="134">
        <v>-0.4168984962406016</v>
      </c>
      <c r="AG4" s="134">
        <v>-0.41707282913165267</v>
      </c>
      <c r="AH4" s="134">
        <v>-0.39122666666666667</v>
      </c>
      <c r="AI4" s="134">
        <v>-0.42582758620689654</v>
      </c>
    </row>
    <row r="5" spans="1:66">
      <c r="A5" s="102" t="str">
        <f>_xll.MKV("EUR.CM_INSTRUMENT.PXE."&amp;$AA5, A$2)</f>
        <v>BTPS</v>
      </c>
      <c r="B5" s="102">
        <f>_xll.MKV("EUR.CM_INSTRUMENT.PXE."&amp;$AA5, B$2)</f>
        <v>4</v>
      </c>
      <c r="C5" s="103">
        <f>VLOOKUP(AA5,DB!$C$5:$S$236,2,FALSE)</f>
        <v>42767</v>
      </c>
      <c r="D5" s="104">
        <f>_xll.MKV($AA$1&amp;$AA5, D$2)</f>
        <v>101.319</v>
      </c>
      <c r="E5" s="104">
        <f>_xll.MKV($AA$1&amp;$AA5, E$2)</f>
        <v>-0.40200000000000002</v>
      </c>
      <c r="F5" s="268">
        <f>VLOOKUP(AA5,DB!$C$5:$S$236,3,FALSE)</f>
        <v>-8.7000000000000028</v>
      </c>
      <c r="G5" s="269">
        <f>VLOOKUP($AA5,DB!$C$5:$S$236,4,FALSE)</f>
        <v>-13.600000000000001</v>
      </c>
      <c r="H5" s="270">
        <f>VLOOKUP($AA5,DB!$C$5:$S$236,5,FALSE)</f>
        <v>-25.1</v>
      </c>
      <c r="I5" s="105" t="str">
        <f t="shared" si="0"/>
        <v/>
      </c>
      <c r="J5" s="105"/>
      <c r="K5" s="106" t="e">
        <f ca="1">(E5-X5)*100</f>
        <v>#VALUE!</v>
      </c>
      <c r="L5" s="271">
        <f t="shared" si="3"/>
        <v>21.291666666666643</v>
      </c>
      <c r="M5" s="272"/>
      <c r="N5" s="273"/>
      <c r="O5" s="271" t="e">
        <f t="shared" ca="1" si="4"/>
        <v>#VALUE!</v>
      </c>
      <c r="P5" s="273"/>
      <c r="Q5" s="107">
        <f>_xll.MKV($AA$1&amp;$AA5, Q$2)</f>
        <v>-10.600000000000001</v>
      </c>
      <c r="R5" s="107"/>
      <c r="S5" s="104">
        <f>_xll.MKV($AA$1&amp;$AA5, S$2)</f>
        <v>-11.5</v>
      </c>
      <c r="T5" s="104">
        <f t="shared" si="1"/>
        <v>51</v>
      </c>
      <c r="U5" s="108">
        <f t="shared" si="2"/>
        <v>42767</v>
      </c>
      <c r="V5" s="109">
        <f>IFERROR(_xll.MKV("EUR.CM_DEPTH.VMO_REPO."&amp;AA5&amp;"_SN_Fixed", V$2),4)</f>
        <v>-0.41271186440677965</v>
      </c>
      <c r="W5" s="38">
        <f>_xll.MKV("EUR.PRICERISK.PXE."&amp;AA5, "EffPV1Basis")</f>
        <v>0.30559999999999998</v>
      </c>
      <c r="X5" s="110" t="str">
        <f ca="1">_xll.BCurveInt(SPF!$B$14,$X$2,TEXT(C5,"YYYYMMDD"),"Frequency=Annual","DayCount=D30_360_EOMC")</f>
        <v>#N/A Invalid object ID</v>
      </c>
      <c r="Y5" s="111">
        <f>DATEVALUE(_xll.BDP($AA5&amp;$C$1,Y$2))</f>
        <v>39084</v>
      </c>
      <c r="Z5" s="112">
        <f>_xll.BDP($AA5&amp;$C$1,Z$2)/1000000000</f>
        <v>24.39706</v>
      </c>
      <c r="AA5" s="137" t="s">
        <v>502</v>
      </c>
      <c r="AB5" s="255"/>
      <c r="AC5" s="134">
        <v>-0.41917379855167874</v>
      </c>
      <c r="AD5" s="134">
        <v>-0.41504290171606867</v>
      </c>
      <c r="AE5" s="134">
        <v>-0.41458421052631572</v>
      </c>
      <c r="AF5" s="134">
        <v>-0.42029117379435849</v>
      </c>
      <c r="AG5" s="134">
        <v>-0.41847493627867455</v>
      </c>
      <c r="AH5" s="134">
        <v>-0.44326086956521743</v>
      </c>
      <c r="AI5" s="134">
        <v>-0.40500000000000003</v>
      </c>
    </row>
    <row r="6" spans="1:66">
      <c r="A6" s="102" t="str">
        <f>_xll.MKV("EUR.CM_INSTRUMENT.PXE."&amp;$AA6, A$2)</f>
        <v>BTPS</v>
      </c>
      <c r="B6" s="102">
        <f>_xll.MKV("EUR.CM_INSTRUMENT.PXE."&amp;$AA6, B$2)</f>
        <v>4.75</v>
      </c>
      <c r="C6" s="103">
        <f>VLOOKUP(AA6,DB!$C$5:$S$236,2,FALSE)</f>
        <v>42856</v>
      </c>
      <c r="D6" s="104">
        <f>_xll.MKV($AA$1&amp;$AA6, D$2)</f>
        <v>102.79900000000001</v>
      </c>
      <c r="E6" s="104">
        <f>_xll.MKV($AA$1&amp;$AA6, E$2)</f>
        <v>-0.33700000000000002</v>
      </c>
      <c r="F6" s="268">
        <f>VLOOKUP(AA6,DB!$C$5:$S$236,3,FALSE)</f>
        <v>-5.2000000000000046</v>
      </c>
      <c r="G6" s="269">
        <f>VLOOKUP($AA6,DB!$C$5:$S$236,4,FALSE)</f>
        <v>-5.8999999999999995</v>
      </c>
      <c r="H6" s="270">
        <f>VLOOKUP($AA6,DB!$C$5:$S$236,5,FALSE)</f>
        <v>-18.600000000000001</v>
      </c>
      <c r="I6" s="105" t="str">
        <f t="shared" si="0"/>
        <v/>
      </c>
      <c r="J6" s="105"/>
      <c r="K6" s="106" t="e">
        <f t="shared" ref="K6:K73" ca="1" si="5">(E6-X6)*100</f>
        <v>#VALUE!</v>
      </c>
      <c r="L6" s="271">
        <f t="shared" si="3"/>
        <v>26.657303370786519</v>
      </c>
      <c r="M6" s="272"/>
      <c r="N6" s="273"/>
      <c r="O6" s="271" t="e">
        <f t="shared" ca="1" si="4"/>
        <v>#VALUE!</v>
      </c>
      <c r="P6" s="273"/>
      <c r="Q6" s="107">
        <f>_xll.MKV($AA$1&amp;$AA6, Q$2)</f>
        <v>-14.5</v>
      </c>
      <c r="R6" s="107"/>
      <c r="S6" s="104">
        <f>_xll.MKV($AA$1&amp;$AA6, S$2)</f>
        <v>-14.700000000000001</v>
      </c>
      <c r="T6" s="104">
        <f t="shared" si="1"/>
        <v>19</v>
      </c>
      <c r="U6" s="108">
        <f t="shared" si="2"/>
        <v>42856</v>
      </c>
      <c r="V6" s="109">
        <f>IFERROR(_xll.MKV("EUR.CM_DEPTH.VMO_REPO."&amp;AA6&amp;"_SN_Fixed", V$2),4)</f>
        <v>-0.45771398747390402</v>
      </c>
      <c r="W6" s="38">
        <f>_xll.MKV("EUR.PRICERISK.PXE."&amp;AA6, "EffPV1Basis")</f>
        <v>0.56889999999999996</v>
      </c>
      <c r="X6" s="110" t="str">
        <f ca="1">_xll.BCurveInt(SPF!$B$14,$X$2,TEXT(C6,"YYYYMMDD"),"Frequency=Annual","DayCount=D30_360_EOMC")</f>
        <v>#N/A Invalid object ID</v>
      </c>
      <c r="Y6" s="111">
        <f>DATEVALUE(_xll.BDP($AA6&amp;$C$1,Y$2))</f>
        <v>40940</v>
      </c>
      <c r="Z6" s="112">
        <f>_xll.BDP($AA6&amp;$C$1,Z$2)/1000000000</f>
        <v>13.107937</v>
      </c>
      <c r="AA6" s="137" t="s">
        <v>508</v>
      </c>
      <c r="AB6" s="255"/>
      <c r="AC6" s="239">
        <v>-0.46055325034578148</v>
      </c>
      <c r="AD6" s="239">
        <v>-0.44284313725490204</v>
      </c>
      <c r="AE6" s="239">
        <v>-0.4429667519181586</v>
      </c>
      <c r="AF6" s="239">
        <v>-0.50485355648535557</v>
      </c>
      <c r="AG6" s="239">
        <v>-0.56487939698492462</v>
      </c>
      <c r="AH6" s="239">
        <v>-0.40727272727272729</v>
      </c>
      <c r="AI6" s="239">
        <v>-0.42</v>
      </c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  <c r="AZ6" s="74"/>
      <c r="BA6" s="74"/>
      <c r="BB6" s="74"/>
      <c r="BC6" s="74"/>
      <c r="BD6" s="74"/>
      <c r="BE6" s="74"/>
      <c r="BF6" s="74"/>
      <c r="BG6" s="74"/>
      <c r="BH6" s="74"/>
      <c r="BI6" s="74"/>
      <c r="BJ6" s="74"/>
      <c r="BK6" s="74"/>
      <c r="BL6" s="74"/>
      <c r="BM6" s="74"/>
      <c r="BN6" s="74"/>
    </row>
    <row r="7" spans="1:66">
      <c r="A7" s="102" t="str">
        <f>_xll.MKV("EUR.CM_INSTRUMENT.PXE."&amp;$AA7, A$2)</f>
        <v>BTPS</v>
      </c>
      <c r="B7" s="102">
        <f>_xll.MKV("EUR.CM_INSTRUMENT.PXE."&amp;$AA7, B$2)</f>
        <v>1.1499999999999999</v>
      </c>
      <c r="C7" s="103">
        <f>VLOOKUP(AA7,DB!$C$5:$S$236,2,FALSE)</f>
        <v>42870</v>
      </c>
      <c r="D7" s="104">
        <f>_xll.MKV($AA$1&amp;$AA7, D$2)</f>
        <v>100.864</v>
      </c>
      <c r="E7" s="104">
        <f>_xll.MKV($AA$1&amp;$AA7, E$2)</f>
        <v>-0.31900000000000001</v>
      </c>
      <c r="F7" s="268">
        <f>VLOOKUP(AA7,DB!$C$5:$S$236,3,FALSE)</f>
        <v>-2.200000000000002</v>
      </c>
      <c r="G7" s="269">
        <f>VLOOKUP($AA7,DB!$C$5:$S$236,4,FALSE)</f>
        <v>-2.300000000000002</v>
      </c>
      <c r="H7" s="270">
        <f>VLOOKUP($AA7,DB!$C$5:$S$236,5,FALSE)</f>
        <v>-11.200000000000001</v>
      </c>
      <c r="I7" s="105" t="str">
        <f t="shared" si="0"/>
        <v>CAC</v>
      </c>
      <c r="J7" s="105"/>
      <c r="K7" s="106" t="e">
        <f t="shared" ca="1" si="5"/>
        <v>#VALUE!</v>
      </c>
      <c r="L7" s="271">
        <f t="shared" si="3"/>
        <v>46.928571428571466</v>
      </c>
      <c r="M7" s="272">
        <f>(E7-E4)*36500/($C7-$C4)</f>
        <v>26.831125827814567</v>
      </c>
      <c r="N7" s="273"/>
      <c r="O7" s="271" t="e">
        <f t="shared" ca="1" si="4"/>
        <v>#VALUE!</v>
      </c>
      <c r="P7" s="273"/>
      <c r="Q7" s="107">
        <f>_xll.MKV($AA$1&amp;$AA7, Q$2)</f>
        <v>-13.5</v>
      </c>
      <c r="R7" s="107">
        <f>_xll.BDP(AA7&amp;" Corp",R$2, "YAS_BOND_PX",D7)</f>
        <v>4.7303484737162478</v>
      </c>
      <c r="S7" s="104">
        <f>_xll.MKV($AA$1&amp;$AA7, S$2)</f>
        <v>-13.9</v>
      </c>
      <c r="T7" s="104">
        <f t="shared" si="1"/>
        <v>50</v>
      </c>
      <c r="U7" s="108">
        <f t="shared" si="2"/>
        <v>42870</v>
      </c>
      <c r="V7" s="109">
        <f>IFERROR(_xll.MKV("EUR.CM_DEPTH.VMO_REPO."&amp;AA7&amp;"_SN_Fixed", V$2),4)</f>
        <v>-0.41302371541501981</v>
      </c>
      <c r="W7" s="38">
        <f>_xll.MKV("EUR.PRICERISK.PXE."&amp;AA7, "EffPV1Basis")</f>
        <v>0.59379999999999999</v>
      </c>
      <c r="X7" s="110" t="str">
        <f ca="1">_xll.BCurveInt(SPF!$B$14,$X$2,TEXT(C7,"YYYYMMDD"),"Frequency=Annual","DayCount=D30_360_EOMC")</f>
        <v>#N/A Invalid object ID</v>
      </c>
      <c r="Y7" s="111">
        <f>DATEVALUE(_xll.BDP($AA7&amp;$C$1,Y$2))</f>
        <v>41774</v>
      </c>
      <c r="Z7" s="112">
        <f>_xll.BDP($AA7&amp;$C$1,Z$2)/1000000000</f>
        <v>14.401</v>
      </c>
      <c r="AA7" s="137" t="s">
        <v>509</v>
      </c>
      <c r="AB7" s="255"/>
      <c r="AC7" s="239">
        <v>-0.42333333333333339</v>
      </c>
      <c r="AD7" s="239">
        <v>-0.40617549668874181</v>
      </c>
      <c r="AE7" s="239">
        <v>-0.41910142348754448</v>
      </c>
      <c r="AF7" s="239">
        <v>-0.41825737265415552</v>
      </c>
      <c r="AG7" s="239">
        <v>-0.41523809523809529</v>
      </c>
      <c r="AH7" s="239">
        <v>-0.44328888888888895</v>
      </c>
      <c r="AI7" s="239">
        <v>-0.45512820512820512</v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  <c r="AW7" s="74"/>
      <c r="AX7" s="74"/>
      <c r="AY7" s="74"/>
      <c r="AZ7" s="74"/>
      <c r="BA7" s="74"/>
      <c r="BB7" s="74"/>
      <c r="BC7" s="74"/>
      <c r="BD7" s="74"/>
      <c r="BE7" s="74"/>
      <c r="BF7" s="74"/>
      <c r="BG7" s="74"/>
      <c r="BH7" s="74"/>
      <c r="BI7" s="74"/>
      <c r="BJ7" s="74"/>
      <c r="BK7" s="74"/>
      <c r="BL7" s="74"/>
      <c r="BM7" s="74"/>
      <c r="BN7" s="74"/>
    </row>
    <row r="8" spans="1:66">
      <c r="A8" s="102" t="str">
        <f>_xll.MKV("EUR.CM_INSTRUMENT.PXE."&amp;$AA8, A$2)</f>
        <v>BTPS</v>
      </c>
      <c r="B8" s="102">
        <f>_xll.MKV("EUR.CM_INSTRUMENT.PXE."&amp;$AA8, B$2)</f>
        <v>4.75</v>
      </c>
      <c r="C8" s="103">
        <f>VLOOKUP(AA8,DB!$C$5:$S$236,2,FALSE)</f>
        <v>42887</v>
      </c>
      <c r="D8" s="104">
        <f>_xll.MKV($AA$1&amp;$AA8, D$2)</f>
        <v>103.208</v>
      </c>
      <c r="E8" s="104">
        <f>_xll.MKV($AA$1&amp;$AA8, E$2)</f>
        <v>-0.32300000000000001</v>
      </c>
      <c r="F8" s="268">
        <f>VLOOKUP(AA8,DB!$C$5:$S$236,3,FALSE)</f>
        <v>-4.4999999999999982</v>
      </c>
      <c r="G8" s="269">
        <f>VLOOKUP($AA8,DB!$C$5:$S$236,4,FALSE)</f>
        <v>-4.6999999999999984</v>
      </c>
      <c r="H8" s="270">
        <f>VLOOKUP($AA8,DB!$C$5:$S$236,5,FALSE)</f>
        <v>-17</v>
      </c>
      <c r="I8" s="105" t="str">
        <f t="shared" si="0"/>
        <v/>
      </c>
      <c r="J8" s="105"/>
      <c r="K8" s="106" t="e">
        <f t="shared" ca="1" si="5"/>
        <v>#VALUE!</v>
      </c>
      <c r="L8" s="271">
        <f t="shared" si="3"/>
        <v>-8.5882352941176556</v>
      </c>
      <c r="M8" s="272"/>
      <c r="N8" s="273"/>
      <c r="O8" s="271" t="e">
        <f t="shared" ca="1" si="4"/>
        <v>#VALUE!</v>
      </c>
      <c r="P8" s="273"/>
      <c r="Q8" s="107">
        <f>_xll.MKV($AA$1&amp;$AA8, Q$2)</f>
        <v>-15.3</v>
      </c>
      <c r="R8" s="107">
        <f>_xll.BDP(AA8&amp;" Corp",R$2, "YAS_BOND_PX",D8)</f>
        <v>4.7131288061462824</v>
      </c>
      <c r="S8" s="104">
        <f>_xll.MKV($AA$1&amp;$AA8, S$2)</f>
        <v>-15.4</v>
      </c>
      <c r="T8" s="104">
        <f t="shared" si="1"/>
        <v>45</v>
      </c>
      <c r="U8" s="108">
        <f t="shared" si="2"/>
        <v>42887</v>
      </c>
      <c r="V8" s="109">
        <f>IFERROR(_xll.MKV("EUR.CM_DEPTH.VMO_REPO."&amp;AA8&amp;"_SN_Fixed", V$2),4)</f>
        <v>-0.41812396694214876</v>
      </c>
      <c r="W8" s="38">
        <f>_xll.MKV("EUR.PRICERISK.PXE."&amp;AA8, "EffPV1Basis")</f>
        <v>0.65259999999999996</v>
      </c>
      <c r="X8" s="110" t="str">
        <f ca="1">_xll.BCurveInt(SPF!$B$14,$X$2,TEXT(C8,"YYYYMMDD"),"Frequency=Annual","DayCount=D30_360_EOMC")</f>
        <v>#N/A Invalid object ID</v>
      </c>
      <c r="Y8" s="111">
        <f>DATEVALUE(_xll.BDP($AA8&amp;$C$1,Y$2))</f>
        <v>41061</v>
      </c>
      <c r="Z8" s="112">
        <f>_xll.BDP($AA8&amp;$C$1,Z$2)/1000000000</f>
        <v>14.979324999999999</v>
      </c>
      <c r="AA8" s="137" t="s">
        <v>510</v>
      </c>
      <c r="AB8" s="255"/>
      <c r="AC8" s="239">
        <v>-0.41275210084033609</v>
      </c>
      <c r="AD8" s="239">
        <v>-0.41559701492537321</v>
      </c>
      <c r="AE8" s="239">
        <v>-0.4173848684210526</v>
      </c>
      <c r="AF8" s="239">
        <v>-0.44554225352112675</v>
      </c>
      <c r="AG8" s="239">
        <v>-0.48088685259938835</v>
      </c>
      <c r="AH8" s="239">
        <v>-0.40173202614379083</v>
      </c>
      <c r="AI8" s="239">
        <v>-0.44621100917431189</v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  <c r="AW8" s="74"/>
      <c r="AX8" s="74"/>
      <c r="AY8" s="74"/>
      <c r="AZ8" s="74"/>
      <c r="BA8" s="74"/>
      <c r="BB8" s="74"/>
      <c r="BC8" s="74"/>
      <c r="BD8" s="74"/>
      <c r="BE8" s="74"/>
      <c r="BF8" s="74"/>
      <c r="BG8" s="74"/>
      <c r="BH8" s="74"/>
      <c r="BI8" s="74"/>
      <c r="BJ8" s="74"/>
      <c r="BK8" s="74"/>
      <c r="BL8" s="74"/>
      <c r="BM8" s="74"/>
      <c r="BN8" s="74"/>
    </row>
    <row r="9" spans="1:66">
      <c r="A9" s="102" t="str">
        <f>_xll.MKV("EUR.CM_INSTRUMENT.PXE."&amp;$AA9, A$2)</f>
        <v>BTPS</v>
      </c>
      <c r="B9" s="102">
        <f>_xll.MKV("EUR.CM_INSTRUMENT.PXE."&amp;$AA9, B$2)</f>
        <v>5.25</v>
      </c>
      <c r="C9" s="103">
        <f>VLOOKUP(AA9,DB!$C$5:$S$236,2,FALSE)</f>
        <v>42948</v>
      </c>
      <c r="D9" s="104">
        <f>_xll.MKV($AA$1&amp;$AA9, D$2)</f>
        <v>104.425</v>
      </c>
      <c r="E9" s="104">
        <f>_xll.MKV($AA$1&amp;$AA9, E$2)</f>
        <v>-0.27800000000000002</v>
      </c>
      <c r="F9" s="268">
        <f>VLOOKUP(AA9,DB!$C$5:$S$236,3,FALSE)</f>
        <v>-4.2000000000000037</v>
      </c>
      <c r="G9" s="269">
        <f>VLOOKUP($AA9,DB!$C$5:$S$236,4,FALSE)</f>
        <v>-4.7000000000000011</v>
      </c>
      <c r="H9" s="270">
        <f>VLOOKUP($AA9,DB!$C$5:$S$236,5,FALSE)</f>
        <v>-13.900000000000002</v>
      </c>
      <c r="I9" s="105" t="str">
        <f t="shared" si="0"/>
        <v/>
      </c>
      <c r="J9" s="105"/>
      <c r="K9" s="106" t="e">
        <f t="shared" ca="1" si="5"/>
        <v>#VALUE!</v>
      </c>
      <c r="L9" s="271">
        <f t="shared" si="3"/>
        <v>26.926229508196712</v>
      </c>
      <c r="M9" s="272"/>
      <c r="N9" s="273"/>
      <c r="O9" s="271" t="e">
        <f t="shared" ca="1" si="4"/>
        <v>#VALUE!</v>
      </c>
      <c r="P9" s="273"/>
      <c r="Q9" s="107">
        <f>_xll.MKV($AA$1&amp;$AA9, Q$2)</f>
        <v>-15.600000000000001</v>
      </c>
      <c r="R9" s="107">
        <f>_xll.BDP(AA9&amp;" Corp",R$2, "YAS_BOND_PX",D9)</f>
        <v>9.6457285575029434</v>
      </c>
      <c r="S9" s="104">
        <f>_xll.MKV($AA$1&amp;$AA9, S$2)</f>
        <v>-15.5</v>
      </c>
      <c r="T9" s="104">
        <f t="shared" si="1"/>
        <v>39</v>
      </c>
      <c r="U9" s="108">
        <f t="shared" si="2"/>
        <v>42948</v>
      </c>
      <c r="V9" s="109">
        <f>IFERROR(_xll.MKV("EUR.CM_DEPTH.VMO_REPO."&amp;AA9&amp;"_SN_Fixed", V$2),4)</f>
        <v>-0.42856145251396649</v>
      </c>
      <c r="W9" s="38">
        <f>_xll.MKV("EUR.PRICERISK.PXE."&amp;AA9, "EffPV1Basis")</f>
        <v>0.83189999999999997</v>
      </c>
      <c r="X9" s="110" t="str">
        <f ca="1">_xll.BCurveInt(SPF!$B$14,$X$2,TEXT(C9,"YYYYMMDD"),"Frequency=Annual","DayCount=D30_360_EOMC")</f>
        <v>#N/A Invalid object ID</v>
      </c>
      <c r="Y9" s="111">
        <f>DATEVALUE(_xll.BDP($AA9&amp;$C$1,Y$2))</f>
        <v>37301</v>
      </c>
      <c r="Z9" s="112">
        <f>_xll.BDP($AA9&amp;$C$1,Z$2)/1000000000</f>
        <v>22.249234000000001</v>
      </c>
      <c r="AA9" s="137" t="s">
        <v>514</v>
      </c>
      <c r="AB9" s="255"/>
      <c r="AC9" s="239">
        <v>-0.42724907063197015</v>
      </c>
      <c r="AD9" s="239">
        <v>-0.4157594936708861</v>
      </c>
      <c r="AE9" s="239">
        <v>-0.42577519379844964</v>
      </c>
      <c r="AF9" s="239">
        <v>-0.43490106544901058</v>
      </c>
      <c r="AG9" s="239">
        <v>-0.43708116545265352</v>
      </c>
      <c r="AH9" s="239">
        <v>-0.43776649746192892</v>
      </c>
      <c r="AI9" s="239">
        <v>-0.44117957746478875</v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74"/>
      <c r="BG9" s="74"/>
      <c r="BH9" s="74"/>
      <c r="BI9" s="74"/>
      <c r="BJ9" s="74"/>
      <c r="BK9" s="74"/>
      <c r="BL9" s="74"/>
      <c r="BM9" s="74"/>
      <c r="BN9" s="74"/>
    </row>
    <row r="10" spans="1:66">
      <c r="A10" s="102" t="str">
        <f>_xll.MKV("EUR.CM_INSTRUMENT.PXE."&amp;$AA10, A$2)</f>
        <v>BTPS</v>
      </c>
      <c r="B10" s="102">
        <f>_xll.MKV("EUR.CM_INSTRUMENT.PXE."&amp;$AA10, B$2)</f>
        <v>3.5</v>
      </c>
      <c r="C10" s="103">
        <f>VLOOKUP(AA10,DB!$C$5:$S$236,2,FALSE)</f>
        <v>43040</v>
      </c>
      <c r="D10" s="104">
        <f>_xll.MKV($AA$1&amp;$AA10, D$2)</f>
        <v>103.89400000000001</v>
      </c>
      <c r="E10" s="104">
        <f>_xll.MKV($AA$1&amp;$AA10, E$2)</f>
        <v>-0.20600000000000002</v>
      </c>
      <c r="F10" s="268">
        <f>VLOOKUP(AA10,DB!$C$5:$S$236,3,FALSE)</f>
        <v>-2.5000000000000022</v>
      </c>
      <c r="G10" s="269">
        <f>VLOOKUP($AA10,DB!$C$5:$S$236,4,FALSE)</f>
        <v>-1.3000000000000012</v>
      </c>
      <c r="H10" s="270">
        <f>VLOOKUP($AA10,DB!$C$5:$S$236,5,FALSE)</f>
        <v>-9.5000000000000018</v>
      </c>
      <c r="I10" s="105" t="str">
        <f t="shared" si="0"/>
        <v/>
      </c>
      <c r="J10" s="105"/>
      <c r="K10" s="106" t="e">
        <f t="shared" ca="1" si="5"/>
        <v>#VALUE!</v>
      </c>
      <c r="L10" s="271">
        <f t="shared" si="3"/>
        <v>28.565217391304351</v>
      </c>
      <c r="M10" s="272"/>
      <c r="N10" s="273"/>
      <c r="O10" s="271" t="e">
        <f t="shared" ca="1" si="4"/>
        <v>#VALUE!</v>
      </c>
      <c r="P10" s="273"/>
      <c r="Q10" s="107">
        <f>_xll.MKV($AA$1&amp;$AA10, Q$2)</f>
        <v>-13.200000000000001</v>
      </c>
      <c r="R10" s="107">
        <f>_xll.BDP(AA10&amp;" Corp",R$2, "YAS_BOND_PX",D10)</f>
        <v>18.041181940562939</v>
      </c>
      <c r="S10" s="104">
        <f>_xll.MKV($AA$1&amp;$AA10, S$2)</f>
        <v>-13.3</v>
      </c>
      <c r="T10" s="104">
        <f t="shared" si="1"/>
        <v>63</v>
      </c>
      <c r="U10" s="108">
        <f t="shared" si="2"/>
        <v>43040</v>
      </c>
      <c r="V10" s="109">
        <f>IFERROR(_xll.MKV("EUR.CM_DEPTH.VMO_REPO."&amp;AA10&amp;"_SN_Fixed", V$2),4)</f>
        <v>-0.4062762237762238</v>
      </c>
      <c r="W10" s="38">
        <f>_xll.MKV("EUR.PRICERISK.PXE."&amp;AA10, "EffPV1Basis")</f>
        <v>1.0824</v>
      </c>
      <c r="X10" s="110" t="str">
        <f ca="1">_xll.BCurveInt(SPF!$B$14,$X$2,TEXT(C10,"YYYYMMDD"),"Frequency=Annual","DayCount=D30_360_EOMC")</f>
        <v>#N/A Invalid object ID</v>
      </c>
      <c r="Y10" s="111">
        <f>DATEVALUE(_xll.BDP($AA10&amp;$C$1,Y$2))</f>
        <v>41214</v>
      </c>
      <c r="Z10" s="112">
        <f>_xll.BDP($AA10&amp;$C$1,Z$2)/1000000000</f>
        <v>16.164354000000003</v>
      </c>
      <c r="AA10" s="137" t="s">
        <v>519</v>
      </c>
      <c r="AB10" s="255"/>
      <c r="AC10" s="239">
        <v>-0.4063146997929607</v>
      </c>
      <c r="AD10" s="239">
        <v>-0.40719723183391004</v>
      </c>
      <c r="AE10" s="239">
        <v>-0.40481315396113604</v>
      </c>
      <c r="AF10" s="239">
        <v>-0.41627186009538958</v>
      </c>
      <c r="AG10" s="239">
        <v>-0.41296959826275786</v>
      </c>
      <c r="AH10" s="239">
        <v>-0.39537216828478966</v>
      </c>
      <c r="AI10" s="239">
        <v>-0.42307692307692313</v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74"/>
      <c r="BG10" s="74"/>
      <c r="BH10" s="74"/>
      <c r="BI10" s="74"/>
      <c r="BJ10" s="74"/>
      <c r="BK10" s="74"/>
      <c r="BL10" s="74"/>
      <c r="BM10" s="74"/>
      <c r="BN10" s="74"/>
    </row>
    <row r="11" spans="1:66">
      <c r="A11" s="102" t="str">
        <f>_xll.MKV("EUR.CM_INSTRUMENT.PXE."&amp;$AA11, A$2)</f>
        <v>BTPS</v>
      </c>
      <c r="B11" s="102">
        <f>_xll.MKV("EUR.CM_INSTRUMENT.PXE."&amp;$AA11, B$2)</f>
        <v>0.75</v>
      </c>
      <c r="C11" s="103">
        <f>VLOOKUP(AA11,DB!$C$5:$S$236,2,FALSE)</f>
        <v>43115</v>
      </c>
      <c r="D11" s="104">
        <f>_xll.MKV($AA$1&amp;$AA11, D$2)</f>
        <v>101.134</v>
      </c>
      <c r="E11" s="104">
        <f>_xll.MKV($AA$1&amp;$AA11, E$2)</f>
        <v>-0.154</v>
      </c>
      <c r="F11" s="268">
        <f>VLOOKUP(AA11,DB!$C$5:$S$236,3,FALSE)</f>
        <v>-0.40000000000000036</v>
      </c>
      <c r="G11" s="269">
        <f>VLOOKUP($AA11,DB!$C$5:$S$236,4,FALSE)</f>
        <v>0.30000000000000027</v>
      </c>
      <c r="H11" s="270">
        <f>VLOOKUP($AA11,DB!$C$5:$S$236,5,FALSE)</f>
        <v>-3.6999999999999993</v>
      </c>
      <c r="I11" s="105" t="str">
        <f t="shared" si="0"/>
        <v>CAC</v>
      </c>
      <c r="J11" s="105"/>
      <c r="K11" s="106" t="e">
        <f t="shared" ca="1" si="5"/>
        <v>#VALUE!</v>
      </c>
      <c r="L11" s="271">
        <f t="shared" si="3"/>
        <v>25.306666666666676</v>
      </c>
      <c r="M11" s="272">
        <f>(E11-E7)*36500/($C11-$C7)</f>
        <v>24.581632653061224</v>
      </c>
      <c r="N11" s="273"/>
      <c r="O11" s="271" t="e">
        <f t="shared" ca="1" si="4"/>
        <v>#VALUE!</v>
      </c>
      <c r="P11" s="273"/>
      <c r="Q11" s="107">
        <f>_xll.MKV($AA$1&amp;$AA11, Q$2)</f>
        <v>-5.1000000000000005</v>
      </c>
      <c r="R11" s="107"/>
      <c r="S11" s="104">
        <f>_xll.MKV($AA$1&amp;$AA11, S$2)</f>
        <v>-5.3000000000000007</v>
      </c>
      <c r="T11" s="104">
        <f t="shared" si="1"/>
        <v>70</v>
      </c>
      <c r="U11" s="108">
        <f t="shared" si="2"/>
        <v>43115</v>
      </c>
      <c r="V11" s="109">
        <f>IFERROR(_xll.MKV("EUR.CM_DEPTH.VMO_REPO."&amp;AA11&amp;"_SN_Fixed", V$2),4)</f>
        <v>-0.40020202020202023</v>
      </c>
      <c r="W11" s="38">
        <f>_xll.MKV("EUR.PRICERISK.PXE."&amp;AA11, "EffPV1Basis")</f>
        <v>1.2656000000000001</v>
      </c>
      <c r="X11" s="110" t="str">
        <f ca="1">_xll.BCurveInt(SPF!$B$14,$X$2,TEXT(C11,"YYYYMMDD"),"Frequency=Annual","DayCount=D30_360_EOMC")</f>
        <v>#N/A Invalid object ID</v>
      </c>
      <c r="Y11" s="111">
        <f>DATEVALUE(_xll.BDP($AA11&amp;$C$1,Y$2))</f>
        <v>41927</v>
      </c>
      <c r="Z11" s="112">
        <f>_xll.BDP($AA11&amp;$C$1,Z$2)/1000000000</f>
        <v>15.733746</v>
      </c>
      <c r="AA11" s="137" t="s">
        <v>521</v>
      </c>
      <c r="AB11" s="255"/>
      <c r="AC11" s="239">
        <v>-0.41469033232628394</v>
      </c>
      <c r="AD11" s="239">
        <v>-0.40236040609137058</v>
      </c>
      <c r="AE11" s="239">
        <v>-0.40085648148148151</v>
      </c>
      <c r="AF11" s="239">
        <v>-0.40383882149046796</v>
      </c>
      <c r="AG11" s="239">
        <v>-0.39980204342273312</v>
      </c>
      <c r="AH11" s="239">
        <v>-0.42775342465753413</v>
      </c>
      <c r="AI11" s="239">
        <v>-0.42663561076604545</v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74"/>
      <c r="BG11" s="74"/>
      <c r="BH11" s="74"/>
      <c r="BI11" s="74"/>
      <c r="BJ11" s="74"/>
      <c r="BK11" s="74"/>
      <c r="BL11" s="74"/>
      <c r="BM11" s="74"/>
      <c r="BN11" s="74"/>
    </row>
    <row r="12" spans="1:66" s="74" customFormat="1">
      <c r="A12" s="102" t="str">
        <f>_xll.MKV("EUR.CM_INSTRUMENT.PXE."&amp;$AA12, A$2)</f>
        <v>BTPS</v>
      </c>
      <c r="B12" s="102">
        <f>_xll.MKV("EUR.CM_INSTRUMENT.PXE."&amp;$AA12, B$2)</f>
        <v>4.5</v>
      </c>
      <c r="C12" s="103">
        <f>VLOOKUP(AA12,DB!$C$5:$S$236,2,FALSE)</f>
        <v>43132</v>
      </c>
      <c r="D12" s="104">
        <f>_xll.MKV($AA$1&amp;$AA12, D$2)</f>
        <v>106.036</v>
      </c>
      <c r="E12" s="104">
        <f>_xll.MKV($AA$1&amp;$AA12, E$2)</f>
        <v>-0.14100000000000001</v>
      </c>
      <c r="F12" s="268">
        <f>VLOOKUP(AA12,DB!$C$5:$S$236,3,FALSE)</f>
        <v>-1.8000000000000016</v>
      </c>
      <c r="G12" s="269">
        <f>VLOOKUP($AA12,DB!$C$5:$S$236,4,FALSE)</f>
        <v>-1.6000000000000014</v>
      </c>
      <c r="H12" s="270">
        <f>VLOOKUP($AA12,DB!$C$5:$S$236,5,FALSE)</f>
        <v>-6.1000000000000014</v>
      </c>
      <c r="I12" s="105" t="str">
        <f t="shared" si="0"/>
        <v/>
      </c>
      <c r="J12" s="105"/>
      <c r="K12" s="106" t="e">
        <f t="shared" ca="1" si="5"/>
        <v>#VALUE!</v>
      </c>
      <c r="L12" s="271">
        <f t="shared" si="3"/>
        <v>27.91176470588232</v>
      </c>
      <c r="M12" s="272"/>
      <c r="N12" s="273">
        <f>(E12-E5)*36500/($C12-$C5)</f>
        <v>26.1</v>
      </c>
      <c r="O12" s="271" t="e">
        <f t="shared" ca="1" si="4"/>
        <v>#VALUE!</v>
      </c>
      <c r="P12" s="273"/>
      <c r="Q12" s="107">
        <f>_xll.MKV($AA$1&amp;$AA12, Q$2)</f>
        <v>-3.2</v>
      </c>
      <c r="R12" s="107"/>
      <c r="S12" s="104">
        <f>_xll.MKV($AA$1&amp;$AA12, S$2)</f>
        <v>-3.3000000000000003</v>
      </c>
      <c r="T12" s="104">
        <f t="shared" si="1"/>
        <v>48</v>
      </c>
      <c r="U12" s="108">
        <f t="shared" si="2"/>
        <v>43132</v>
      </c>
      <c r="V12" s="109">
        <f>IFERROR(_xll.MKV("EUR.CM_DEPTH.VMO_REPO."&amp;AA12&amp;"_SN_Fixed", V$2),4)</f>
        <v>-0.41618518518518521</v>
      </c>
      <c r="W12" s="38">
        <f>_xll.MKV("EUR.PRICERISK.PXE."&amp;AA12, "EffPV1Basis")</f>
        <v>1.3572</v>
      </c>
      <c r="X12" s="110" t="str">
        <f ca="1">_xll.BCurveInt(SPF!$B$14,$X$2,TEXT(C12,"YYYYMMDD"),"Frequency=Annual","DayCount=D30_360_EOMC")</f>
        <v>#N/A Invalid object ID</v>
      </c>
      <c r="Y12" s="111">
        <f>DATEVALUE(_xll.BDP($AA12&amp;$C$1,Y$2))</f>
        <v>39328</v>
      </c>
      <c r="Z12" s="112">
        <f>_xll.BDP($AA12&amp;$C$1,Z$2)/1000000000</f>
        <v>22.975933000000001</v>
      </c>
      <c r="AA12" s="137" t="s">
        <v>523</v>
      </c>
      <c r="AB12" s="255"/>
      <c r="AC12" s="239">
        <v>-0.4214893617021277</v>
      </c>
      <c r="AD12" s="239">
        <v>-0.41465250965250966</v>
      </c>
      <c r="AE12" s="239">
        <v>-0.41918604651162789</v>
      </c>
      <c r="AF12" s="239">
        <v>-0.42523628048780487</v>
      </c>
      <c r="AG12" s="239">
        <v>-0.41873660030627874</v>
      </c>
      <c r="AH12" s="239">
        <v>-0.38617283950617287</v>
      </c>
      <c r="AI12" s="239">
        <v>-0.39615384615384619</v>
      </c>
    </row>
    <row r="13" spans="1:66" s="74" customFormat="1">
      <c r="A13" s="102" t="str">
        <f>_xll.MKV("EUR.CM_INSTRUMENT.PXE."&amp;$AA13, A$2)</f>
        <v>BTPS</v>
      </c>
      <c r="B13" s="102">
        <f>_xll.MKV("EUR.CM_INSTRUMENT.PXE."&amp;$AA13, B$2)</f>
        <v>0.25</v>
      </c>
      <c r="C13" s="103">
        <f>VLOOKUP(AA13,DB!$C$5:$S$236,2,FALSE)</f>
        <v>43235</v>
      </c>
      <c r="D13" s="104">
        <f>_xll.MKV($AA$1&amp;$AA13, D$2)</f>
        <v>100.53700000000001</v>
      </c>
      <c r="E13" s="104">
        <f>_xll.MKV($AA$1&amp;$AA13, E$2)</f>
        <v>-8.7999999999999995E-2</v>
      </c>
      <c r="F13" s="268">
        <f>VLOOKUP(AA13,DB!$C$5:$S$236,3,FALSE)</f>
        <v>0</v>
      </c>
      <c r="G13" s="269">
        <f>VLOOKUP($AA13,DB!$C$5:$S$236,4,FALSE)</f>
        <v>2.3000000000000007</v>
      </c>
      <c r="H13" s="270">
        <f>VLOOKUP($AA13,DB!$C$5:$S$236,5,FALSE)</f>
        <v>-0.99999999999999956</v>
      </c>
      <c r="I13" s="105" t="str">
        <f t="shared" si="0"/>
        <v>CAC</v>
      </c>
      <c r="J13" s="105"/>
      <c r="K13" s="106" t="e">
        <f t="shared" ca="1" si="5"/>
        <v>#VALUE!</v>
      </c>
      <c r="L13" s="271">
        <f t="shared" si="3"/>
        <v>18.781553398058261</v>
      </c>
      <c r="M13" s="272">
        <f>(E13-E11)*36500/($C13-$C11)</f>
        <v>20.074999999999999</v>
      </c>
      <c r="N13" s="273"/>
      <c r="O13" s="271" t="e">
        <f t="shared" ca="1" si="4"/>
        <v>#VALUE!</v>
      </c>
      <c r="P13" s="273"/>
      <c r="Q13" s="107">
        <f>_xll.MKV($AA$1&amp;$AA13, Q$2)</f>
        <v>5.8000000000000007</v>
      </c>
      <c r="R13" s="107"/>
      <c r="S13" s="104">
        <f>_xll.MKV($AA$1&amp;$AA13, S$2)</f>
        <v>5.7</v>
      </c>
      <c r="T13" s="104">
        <f t="shared" si="1"/>
        <v>24</v>
      </c>
      <c r="U13" s="108">
        <f t="shared" si="2"/>
        <v>43235</v>
      </c>
      <c r="V13" s="109">
        <f>IFERROR(_xll.MKV("EUR.CM_DEPTH.VMO_REPO."&amp;AA13&amp;"_SN_Fixed", V$2),4)</f>
        <v>-0.44418871252204584</v>
      </c>
      <c r="W13" s="38">
        <f>_xll.MKV("EUR.PRICERISK.PXE."&amp;AA13, "EffPV1Basis")</f>
        <v>1.5947</v>
      </c>
      <c r="X13" s="110" t="str">
        <f ca="1">_xll.BCurveInt(SPF!$B$14,$X$2,TEXT(C13,"YYYYMMDD"),"Frequency=Annual","DayCount=D30_360_EOMC")</f>
        <v>#N/A Invalid object ID</v>
      </c>
      <c r="Y13" s="111">
        <f>DATEVALUE(_xll.BDP($AA13&amp;$C$1,Y$2))</f>
        <v>42109</v>
      </c>
      <c r="Z13" s="112">
        <f>_xll.BDP($AA13&amp;$C$1,Z$2)/1000000000</f>
        <v>13.607659</v>
      </c>
      <c r="AA13" s="137" t="s">
        <v>529</v>
      </c>
      <c r="AB13" s="255"/>
      <c r="AC13" s="239">
        <v>-0.43477941176470586</v>
      </c>
      <c r="AD13" s="239">
        <v>-0.42372781065088755</v>
      </c>
      <c r="AE13" s="239">
        <v>-0.47311752988047812</v>
      </c>
      <c r="AF13" s="239">
        <v>-0.4374479166666666</v>
      </c>
      <c r="AG13" s="239">
        <v>-0.45293319415448852</v>
      </c>
      <c r="AH13" s="239">
        <v>-0.51257201646090533</v>
      </c>
      <c r="AI13" s="239">
        <v>-0.45808873720136528</v>
      </c>
    </row>
    <row r="14" spans="1:66" s="74" customFormat="1">
      <c r="A14" s="102" t="str">
        <f>_xll.MKV("EUR.CM_INSTRUMENT.PXE."&amp;$AA14, A$2)</f>
        <v>BTPS</v>
      </c>
      <c r="B14" s="102">
        <f>_xll.MKV("EUR.CM_INSTRUMENT.PXE."&amp;$AA14, B$2)</f>
        <v>3.5</v>
      </c>
      <c r="C14" s="103">
        <f>VLOOKUP(AA14,DB!$C$5:$S$236,2,FALSE)</f>
        <v>43252</v>
      </c>
      <c r="D14" s="104">
        <f>_xll.MKV($AA$1&amp;$AA14, D$2)</f>
        <v>105.81100000000001</v>
      </c>
      <c r="E14" s="104">
        <f>_xll.MKV($AA$1&amp;$AA14, E$2)</f>
        <v>-0.06</v>
      </c>
      <c r="F14" s="268">
        <f>VLOOKUP(AA14,DB!$C$5:$S$236,3,FALSE)</f>
        <v>-0.49999999999999978</v>
      </c>
      <c r="G14" s="269">
        <f>VLOOKUP($AA14,DB!$C$5:$S$236,4,FALSE)</f>
        <v>1.6</v>
      </c>
      <c r="H14" s="270">
        <f>VLOOKUP($AA14,DB!$C$5:$S$236,5,FALSE)</f>
        <v>-2.6999999999999997</v>
      </c>
      <c r="I14" s="105" t="str">
        <f t="shared" si="0"/>
        <v>CAC</v>
      </c>
      <c r="J14" s="105"/>
      <c r="K14" s="106" t="e">
        <f ca="1">(E14-X14)*100</f>
        <v>#VALUE!</v>
      </c>
      <c r="L14" s="271">
        <f t="shared" si="3"/>
        <v>60.117647058823522</v>
      </c>
      <c r="M14" s="272"/>
      <c r="N14" s="273"/>
      <c r="O14" s="271" t="e">
        <f t="shared" ca="1" si="4"/>
        <v>#VALUE!</v>
      </c>
      <c r="P14" s="273"/>
      <c r="Q14" s="107">
        <f>_xll.MKV($AA$1&amp;$AA14, Q$2)</f>
        <v>9.5</v>
      </c>
      <c r="R14" s="107"/>
      <c r="S14" s="104">
        <f>_xll.MKV($AA$1&amp;$AA14, S$2)</f>
        <v>9.1</v>
      </c>
      <c r="T14" s="104">
        <f t="shared" si="1"/>
        <v>68</v>
      </c>
      <c r="U14" s="108">
        <f t="shared" si="2"/>
        <v>43252</v>
      </c>
      <c r="V14" s="109">
        <f>IFERROR(_xll.MKV("EUR.CM_DEPTH.VMO_REPO."&amp;AA14&amp;"_SN_Fixed", V$2),4)</f>
        <v>-0.40341726618705037</v>
      </c>
      <c r="W14" s="38">
        <f>_xll.MKV("EUR.PRICERISK.PXE."&amp;AA14, "EffPV1Basis")</f>
        <v>1.6955</v>
      </c>
      <c r="X14" s="110" t="str">
        <f ca="1">_xll.BCurveInt(SPF!$B$14,$X$2,TEXT(C14,"YYYYMMDD"),"Frequency=Annual","DayCount=D30_360_EOMC")</f>
        <v>#N/A Invalid object ID</v>
      </c>
      <c r="Y14" s="111">
        <f>DATEVALUE(_xll.BDP($AA14&amp;$C$1,Y$2))</f>
        <v>41366</v>
      </c>
      <c r="Z14" s="112">
        <f>_xll.BDP($AA14&amp;$C$1,Z$2)/1000000000</f>
        <v>19.388580000000001</v>
      </c>
      <c r="AA14" s="137" t="s">
        <v>436</v>
      </c>
      <c r="AB14" s="255"/>
      <c r="AC14" s="239">
        <v>-0.40590909090909089</v>
      </c>
      <c r="AD14" s="239">
        <v>-0.40849009900990102</v>
      </c>
      <c r="AE14" s="239">
        <v>-0.40056497175141248</v>
      </c>
      <c r="AF14" s="239">
        <v>-0.40828125000000004</v>
      </c>
      <c r="AG14" s="239">
        <v>-0.40070731707317075</v>
      </c>
      <c r="AH14" s="239">
        <v>-0.39876470588235297</v>
      </c>
      <c r="AI14" s="239">
        <v>-0.41444751381215472</v>
      </c>
    </row>
    <row r="15" spans="1:66" s="74" customFormat="1">
      <c r="A15" s="102" t="str">
        <f>_xll.MKV("EUR.CM_INSTRUMENT.PXE."&amp;$AA15, A$2)</f>
        <v>BTPS</v>
      </c>
      <c r="B15" s="102">
        <f>_xll.MKV("EUR.CM_INSTRUMENT.PXE."&amp;$AA15, B$2)</f>
        <v>4.5</v>
      </c>
      <c r="C15" s="103">
        <f>VLOOKUP(AA15,DB!$C$5:$S$236,2,FALSE)</f>
        <v>43313</v>
      </c>
      <c r="D15" s="104">
        <f>_xll.MKV($AA$1&amp;$AA15, D$2)</f>
        <v>108.2</v>
      </c>
      <c r="E15" s="104">
        <f>_xll.MKV($AA$1&amp;$AA15, E$2)</f>
        <v>-5.5E-2</v>
      </c>
      <c r="F15" s="268">
        <f>VLOOKUP(AA15,DB!$C$5:$S$236,3,FALSE)</f>
        <v>-1.4</v>
      </c>
      <c r="G15" s="269">
        <f>VLOOKUP($AA15,DB!$C$5:$S$236,4,FALSE)</f>
        <v>0.90000000000000013</v>
      </c>
      <c r="H15" s="270">
        <f>VLOOKUP($AA15,DB!$C$5:$S$236,5,FALSE)</f>
        <v>-4.1000000000000005</v>
      </c>
      <c r="I15" s="105" t="str">
        <f t="shared" si="0"/>
        <v/>
      </c>
      <c r="J15" s="105"/>
      <c r="K15" s="106" t="e">
        <f t="shared" ca="1" si="5"/>
        <v>#VALUE!</v>
      </c>
      <c r="L15" s="271">
        <f t="shared" si="3"/>
        <v>2.9918032786885234</v>
      </c>
      <c r="M15" s="272"/>
      <c r="N15" s="273"/>
      <c r="O15" s="271" t="e">
        <f t="shared" ca="1" si="4"/>
        <v>#VALUE!</v>
      </c>
      <c r="P15" s="273"/>
      <c r="Q15" s="107">
        <f>_xll.MKV($AA$1&amp;$AA15, Q$2)</f>
        <v>12.4</v>
      </c>
      <c r="R15" s="107"/>
      <c r="S15" s="104">
        <f>_xll.MKV($AA$1&amp;$AA15, S$2)</f>
        <v>11.8</v>
      </c>
      <c r="T15" s="104">
        <f t="shared" si="1"/>
        <v>60</v>
      </c>
      <c r="U15" s="108">
        <f t="shared" si="2"/>
        <v>43313</v>
      </c>
      <c r="V15" s="109">
        <f>IFERROR(_xll.MKV("EUR.CM_DEPTH.VMO_REPO."&amp;AA15&amp;"_SN_Fixed", V$2),4)</f>
        <v>-0.40724719101123602</v>
      </c>
      <c r="W15" s="38">
        <f>_xll.MKV("EUR.PRICERISK.PXE."&amp;AA15, "EffPV1Basis")</f>
        <v>1.8962000000000001</v>
      </c>
      <c r="X15" s="110" t="str">
        <f ca="1">_xll.BCurveInt(SPF!$B$14,$X$2,TEXT(C15,"YYYYMMDD"),"Frequency=Annual","DayCount=D30_360_EOMC")</f>
        <v>#N/A Invalid object ID</v>
      </c>
      <c r="Y15" s="111">
        <f>DATEVALUE(_xll.BDP($AA15&amp;$C$1,Y$2))</f>
        <v>39570</v>
      </c>
      <c r="Z15" s="112">
        <f>_xll.BDP($AA15&amp;$C$1,Z$2)/1000000000</f>
        <v>25.499296999999999</v>
      </c>
      <c r="AA15" s="137" t="s">
        <v>437</v>
      </c>
      <c r="AB15" s="255"/>
      <c r="AC15" s="239">
        <v>-0.40696955719557198</v>
      </c>
      <c r="AD15" s="239">
        <v>-0.40463607594936712</v>
      </c>
      <c r="AE15" s="239">
        <v>-0.40307004470938901</v>
      </c>
      <c r="AF15" s="239">
        <v>-0.40187604690117257</v>
      </c>
      <c r="AG15" s="239">
        <v>-0.40094555873925514</v>
      </c>
      <c r="AH15" s="239">
        <v>-0.41790816326530617</v>
      </c>
      <c r="AI15" s="239">
        <v>-0.3970911949685535</v>
      </c>
    </row>
    <row r="16" spans="1:66" s="74" customFormat="1">
      <c r="A16" s="102" t="str">
        <f>_xll.MKV("EUR.CM_INSTRUMENT.PXE."&amp;$AA16, A$2)</f>
        <v>BTPS</v>
      </c>
      <c r="B16" s="102">
        <f>_xll.MKV("EUR.CM_INSTRUMENT.PXE."&amp;$AA16, B$2)</f>
        <v>0.3</v>
      </c>
      <c r="C16" s="103">
        <f>VLOOKUP(AA16,DB!$C$5:$S$236,2,FALSE)</f>
        <v>43388</v>
      </c>
      <c r="D16" s="104">
        <f>_xll.MKV($AA$1&amp;$AA16, D$2)</f>
        <v>100.67700000000001</v>
      </c>
      <c r="E16" s="104">
        <f>_xll.MKV($AA$1&amp;$AA16, E$2)</f>
        <v>-3.7999999999999999E-2</v>
      </c>
      <c r="F16" s="268">
        <f>VLOOKUP(AA16,DB!$C$5:$S$236,3,FALSE)</f>
        <v>0.20000000000000018</v>
      </c>
      <c r="G16" s="269">
        <f>VLOOKUP($AA16,DB!$C$5:$S$236,4,FALSE)</f>
        <v>2.4</v>
      </c>
      <c r="H16" s="270">
        <f>VLOOKUP($AA16,DB!$C$5:$S$236,5,FALSE)</f>
        <v>-0.99999999999999989</v>
      </c>
      <c r="I16" s="105" t="s">
        <v>678</v>
      </c>
      <c r="J16" s="105"/>
      <c r="K16" s="106" t="e">
        <f t="shared" ca="1" si="5"/>
        <v>#VALUE!</v>
      </c>
      <c r="L16" s="271">
        <f t="shared" si="3"/>
        <v>8.2733333333333334</v>
      </c>
      <c r="M16" s="272">
        <f>(E16-E14)*36500/($C16-$C14)</f>
        <v>5.9044117647058822</v>
      </c>
      <c r="N16" s="273"/>
      <c r="O16" s="271" t="e">
        <f t="shared" ca="1" si="4"/>
        <v>#VALUE!</v>
      </c>
      <c r="P16" s="273"/>
      <c r="Q16" s="107">
        <f>_xll.MKV($AA$1&amp;$AA16, Q$2)</f>
        <v>16.400000000000002</v>
      </c>
      <c r="R16" s="107"/>
      <c r="S16" s="104">
        <f>_xll.MKV($AA$1&amp;$AA16, S$2)</f>
        <v>16.400000000000002</v>
      </c>
      <c r="T16" s="104">
        <f t="shared" si="1"/>
        <v>65</v>
      </c>
      <c r="U16" s="108">
        <f t="shared" si="2"/>
        <v>43388</v>
      </c>
      <c r="V16" s="109">
        <f>IFERROR(_xll.MKV("EUR.CM_DEPTH.VMO_REPO."&amp;AA16&amp;"_SN_Fixed", V$2),4)</f>
        <v>-0.4053409090909092</v>
      </c>
      <c r="W16" s="38">
        <f>_xll.MKV("EUR.PRICERISK.PXE."&amp;AA16, "EffPV1Basis")</f>
        <v>2.0125999999999999</v>
      </c>
      <c r="X16" s="110" t="str">
        <f ca="1">_xll.BCurveInt(SPF!$B$14,$X$2,TEXT(C16,"YYYYMMDD"),"Frequency=Annual","DayCount=D30_360_EOMC")</f>
        <v>#N/A Invalid object ID</v>
      </c>
      <c r="Y16" s="111">
        <f>DATEVALUE(_xll.BDP($AA16&amp;$C$1,Y$2))</f>
        <v>42292</v>
      </c>
      <c r="Z16" s="112">
        <f>_xll.BDP($AA16&amp;$C$1,Z$2)/1000000000</f>
        <v>12.199233</v>
      </c>
      <c r="AA16" s="137" t="s">
        <v>641</v>
      </c>
      <c r="AB16" s="255"/>
      <c r="AC16" s="239">
        <v>-0.41086956521739132</v>
      </c>
      <c r="AD16" s="239">
        <v>-0.41046296296296297</v>
      </c>
      <c r="AE16" s="239">
        <v>-0.40974966170500676</v>
      </c>
      <c r="AF16" s="239">
        <v>-0.40779350104821799</v>
      </c>
      <c r="AG16" s="239">
        <v>-0.41120393120393128</v>
      </c>
      <c r="AH16" s="239">
        <v>-0.41388888888888892</v>
      </c>
      <c r="AI16" s="239">
        <v>-0.42499999999999993</v>
      </c>
    </row>
    <row r="17" spans="1:35" s="74" customFormat="1">
      <c r="A17" s="102" t="str">
        <f>_xll.MKV("EUR.CM_INSTRUMENT.PXE."&amp;$AA17, A$2)</f>
        <v>BTPS</v>
      </c>
      <c r="B17" s="102">
        <f>_xll.MKV("EUR.CM_INSTRUMENT.PXE."&amp;$AA17, B$2)</f>
        <v>3.5</v>
      </c>
      <c r="C17" s="103">
        <f>VLOOKUP(AA17,DB!$C$5:$S$236,2,FALSE)</f>
        <v>43435</v>
      </c>
      <c r="D17" s="104">
        <f>_xll.MKV($AA$1&amp;$AA17, D$2)</f>
        <v>107.57000000000001</v>
      </c>
      <c r="E17" s="104">
        <f>_xll.MKV($AA$1&amp;$AA17, E$2)</f>
        <v>-0.05</v>
      </c>
      <c r="F17" s="268">
        <f>VLOOKUP(AA17,DB!$C$5:$S$236,3,FALSE)</f>
        <v>-0.40000000000000036</v>
      </c>
      <c r="G17" s="269">
        <f>VLOOKUP($AA17,DB!$C$5:$S$236,4,FALSE)</f>
        <v>1.4</v>
      </c>
      <c r="H17" s="270">
        <f>VLOOKUP($AA17,DB!$C$5:$S$236,5,FALSE)</f>
        <v>-3.4000000000000004</v>
      </c>
      <c r="I17" s="105" t="str">
        <f t="shared" si="0"/>
        <v>CAC</v>
      </c>
      <c r="J17" s="105"/>
      <c r="K17" s="106" t="e">
        <f t="shared" ca="1" si="5"/>
        <v>#VALUE!</v>
      </c>
      <c r="L17" s="271">
        <f>(E17-E15)*36500/(C17-C15)</f>
        <v>1.4959016393442617</v>
      </c>
      <c r="M17" s="272">
        <f>(E17-E16)*36500/($C17-$C16)</f>
        <v>-9.3191489361702153</v>
      </c>
      <c r="N17" s="273"/>
      <c r="O17" s="271" t="e">
        <f t="shared" ca="1" si="4"/>
        <v>#VALUE!</v>
      </c>
      <c r="P17" s="273"/>
      <c r="Q17" s="107">
        <f>_xll.MKV($AA$1&amp;$AA17, Q$2)</f>
        <v>15.8</v>
      </c>
      <c r="R17" s="107"/>
      <c r="S17" s="104">
        <f>_xll.MKV($AA$1&amp;$AA17, S$2)</f>
        <v>15.100000000000001</v>
      </c>
      <c r="T17" s="104">
        <f t="shared" si="1"/>
        <v>27</v>
      </c>
      <c r="U17" s="108">
        <f t="shared" si="2"/>
        <v>43435</v>
      </c>
      <c r="V17" s="109">
        <f>IFERROR(_xll.MKV("EUR.CM_DEPTH.VMO_REPO."&amp;AA17&amp;"_SN_Fixed", V$2),4)</f>
        <v>-0.43736199575371543</v>
      </c>
      <c r="W17" s="38">
        <f>_xll.MKV("EUR.PRICERISK.PXE."&amp;AA17, "EffPV1Basis")</f>
        <v>2.2391999999999999</v>
      </c>
      <c r="X17" s="110" t="str">
        <f ca="1">_xll.BCurveInt(SPF!$B$14,$X$2,TEXT(C17,"YYYYMMDD"),"Frequency=Annual","DayCount=D30_360_EOMC")</f>
        <v>#N/A Invalid object ID</v>
      </c>
      <c r="Y17" s="111">
        <f>DATEVALUE(_xll.BDP($AA17&amp;$C$1,Y$2))</f>
        <v>41519</v>
      </c>
      <c r="Z17" s="112">
        <f>_xll.BDP($AA17&amp;$C$1,Z$2)/1000000000</f>
        <v>19.858640000000001</v>
      </c>
      <c r="AA17" s="137" t="s">
        <v>438</v>
      </c>
      <c r="AB17" s="255"/>
      <c r="AC17" s="239">
        <v>-0.43822819314641742</v>
      </c>
      <c r="AD17" s="239">
        <v>-0.43811850814814812</v>
      </c>
      <c r="AE17" s="239">
        <v>-0.4466515495086924</v>
      </c>
      <c r="AF17" s="239">
        <v>-0.45542001460920373</v>
      </c>
      <c r="AG17" s="239">
        <v>-0.49725123152709355</v>
      </c>
      <c r="AH17" s="239">
        <v>-0.44025691699604746</v>
      </c>
      <c r="AI17" s="239">
        <v>-0.44770408163265307</v>
      </c>
    </row>
    <row r="18" spans="1:35" s="74" customFormat="1">
      <c r="A18" s="102" t="str">
        <f>_xll.MKV("EUR.CM_INSTRUMENT.PXE."&amp;$AA18, A$2)</f>
        <v>BTPS</v>
      </c>
      <c r="B18" s="102">
        <f>_xll.MKV("EUR.CM_INSTRUMENT.PXE."&amp;$AA18, B$2)</f>
        <v>4.25</v>
      </c>
      <c r="C18" s="103">
        <f>VLOOKUP(AA18,DB!$C$5:$S$236,2,FALSE)</f>
        <v>43497</v>
      </c>
      <c r="D18" s="104">
        <f>_xll.MKV($AA$1&amp;$AA18, D$2)</f>
        <v>109.76900000000001</v>
      </c>
      <c r="E18" s="104">
        <f>_xll.MKV($AA$1&amp;$AA18, E$2)</f>
        <v>1E-3</v>
      </c>
      <c r="F18" s="268">
        <f>VLOOKUP(AA18,DB!$C$5:$S$236,3,FALSE)</f>
        <v>-0.3</v>
      </c>
      <c r="G18" s="269">
        <f>VLOOKUP($AA18,DB!$C$5:$S$236,4,FALSE)</f>
        <v>2.2999999999999998</v>
      </c>
      <c r="H18" s="270">
        <f>VLOOKUP($AA18,DB!$C$5:$S$236,5,FALSE)</f>
        <v>-0.4</v>
      </c>
      <c r="I18" s="105" t="str">
        <f t="shared" si="0"/>
        <v/>
      </c>
      <c r="J18" s="105"/>
      <c r="K18" s="106" t="e">
        <f t="shared" ca="1" si="5"/>
        <v>#VALUE!</v>
      </c>
      <c r="L18" s="271">
        <f t="shared" ref="L18:L30" si="6">(E18-E17)*36500/(C18-C17)</f>
        <v>30.0241935483871</v>
      </c>
      <c r="M18" s="272"/>
      <c r="N18" s="273"/>
      <c r="O18" s="271" t="e">
        <f t="shared" ca="1" si="4"/>
        <v>#VALUE!</v>
      </c>
      <c r="P18" s="273"/>
      <c r="Q18" s="107">
        <f>_xll.MKV($AA$1&amp;$AA18, Q$2)</f>
        <v>21.200000000000003</v>
      </c>
      <c r="R18" s="107"/>
      <c r="S18" s="104">
        <f>_xll.MKV($AA$1&amp;$AA18, S$2)</f>
        <v>20.200000000000003</v>
      </c>
      <c r="T18" s="104">
        <f t="shared" si="1"/>
        <v>40</v>
      </c>
      <c r="U18" s="108">
        <f t="shared" si="2"/>
        <v>43497</v>
      </c>
      <c r="V18" s="109">
        <f>IFERROR(_xll.MKV("EUR.CM_DEPTH.VMO_REPO."&amp;AA18&amp;"_SN_Fixed", V$2),4)</f>
        <v>-0.42774299835255353</v>
      </c>
      <c r="W18" s="38">
        <f>_xll.MKV("EUR.PRICERISK.PXE."&amp;AA18, "EffPV1Basis")</f>
        <v>2.4369000000000001</v>
      </c>
      <c r="X18" s="110" t="str">
        <f ca="1">_xll.BCurveInt(SPF!$B$14,$X$2,TEXT(C18,"YYYYMMDD"),"Frequency=Annual","DayCount=D30_360_EOMC")</f>
        <v>#N/A Invalid object ID</v>
      </c>
      <c r="Y18" s="111">
        <f>DATEVALUE(_xll.BDP($AA18&amp;$C$1,Y$2))</f>
        <v>37797</v>
      </c>
      <c r="Z18" s="112">
        <f>_xll.BDP($AA18&amp;$C$1,Z$2)/1000000000</f>
        <v>24.629574000000002</v>
      </c>
      <c r="AA18" s="137" t="s">
        <v>439</v>
      </c>
      <c r="AB18" s="255"/>
      <c r="AC18" s="239">
        <v>-0.42809451219512196</v>
      </c>
      <c r="AD18" s="239">
        <v>-0.43436842105263146</v>
      </c>
      <c r="AE18" s="239">
        <v>-0.43176931690929443</v>
      </c>
      <c r="AF18" s="239">
        <v>-0.43853219696969692</v>
      </c>
      <c r="AG18" s="239">
        <v>-0.45696759259259251</v>
      </c>
      <c r="AH18" s="239">
        <v>-0.44884848484848489</v>
      </c>
      <c r="AI18" s="239">
        <v>-0.44295634920634919</v>
      </c>
    </row>
    <row r="19" spans="1:35" s="74" customFormat="1">
      <c r="A19" s="102" t="str">
        <f>_xll.MKV("EUR.CM_INSTRUMENT.PXE."&amp;$AA19, A$2)</f>
        <v>BTPS</v>
      </c>
      <c r="B19" s="102">
        <f>_xll.MKV("EUR.CM_INSTRUMENT.PXE."&amp;$AA19, B$2)</f>
        <v>4.5</v>
      </c>
      <c r="C19" s="103">
        <f>VLOOKUP(AA19,DB!$C$5:$S$236,2,FALSE)</f>
        <v>43525</v>
      </c>
      <c r="D19" s="104">
        <f>_xll.MKV($AA$1&amp;$AA19, D$2)</f>
        <v>110.73100000000001</v>
      </c>
      <c r="E19" s="104">
        <f>_xll.MKV($AA$1&amp;$AA19, E$2)</f>
        <v>-6.0000000000000001E-3</v>
      </c>
      <c r="F19" s="268">
        <f>VLOOKUP(AA19,DB!$C$5:$S$236,3,FALSE)</f>
        <v>-0.5</v>
      </c>
      <c r="G19" s="269">
        <f>VLOOKUP($AA19,DB!$C$5:$S$236,4,FALSE)</f>
        <v>1.7000000000000002</v>
      </c>
      <c r="H19" s="270">
        <f>VLOOKUP($AA19,DB!$C$5:$S$236,5,FALSE)</f>
        <v>-1.5</v>
      </c>
      <c r="I19" s="105" t="str">
        <f t="shared" ref="I19:I70" si="7">IF(Y19&gt;$Y$1,"CAC", "")</f>
        <v/>
      </c>
      <c r="J19" s="105"/>
      <c r="K19" s="106" t="e">
        <f t="shared" ca="1" si="5"/>
        <v>#VALUE!</v>
      </c>
      <c r="L19" s="271">
        <f t="shared" si="6"/>
        <v>-9.125</v>
      </c>
      <c r="M19" s="272"/>
      <c r="N19" s="273">
        <f>(E19-E12)*36500/($C19-$C12)</f>
        <v>12.538167938931299</v>
      </c>
      <c r="O19" s="271" t="e">
        <f t="shared" ca="1" si="4"/>
        <v>#VALUE!</v>
      </c>
      <c r="P19" s="273"/>
      <c r="Q19" s="107">
        <f>_xll.MKV($AA$1&amp;$AA19, Q$2)</f>
        <v>20.6</v>
      </c>
      <c r="R19" s="107"/>
      <c r="S19" s="104">
        <f>_xll.MKV($AA$1&amp;$AA19, S$2)</f>
        <v>19.5</v>
      </c>
      <c r="T19" s="104">
        <f t="shared" si="1"/>
        <v>29</v>
      </c>
      <c r="U19" s="108">
        <f t="shared" si="2"/>
        <v>43525</v>
      </c>
      <c r="V19" s="109">
        <f>IFERROR(_xll.MKV("EUR.CM_DEPTH.VMO_REPO."&amp;AA19&amp;"_SN_Fixed", V$2),4)</f>
        <v>-0.43589080459770113</v>
      </c>
      <c r="W19" s="38">
        <f>_xll.MKV("EUR.PRICERISK.PXE."&amp;AA19, "EffPV1Basis")</f>
        <v>2.5373000000000001</v>
      </c>
      <c r="X19" s="110" t="str">
        <f ca="1">_xll.BCurveInt(SPF!$B$14,$X$2,TEXT(C19,"YYYYMMDD"),"Frequency=Annual","DayCount=D30_360_EOMC")</f>
        <v>#N/A Invalid object ID</v>
      </c>
      <c r="Y19" s="111">
        <f>DATEVALUE(_xll.BDP($AA19&amp;$C$1,Y$2))</f>
        <v>39755</v>
      </c>
      <c r="Z19" s="112">
        <f>_xll.BDP($AA19&amp;$C$1,Z$2)/1000000000</f>
        <v>24.149228000000004</v>
      </c>
      <c r="AA19" s="137" t="s">
        <v>440</v>
      </c>
      <c r="AB19" s="255"/>
      <c r="AC19" s="239">
        <v>-0.44730337078651677</v>
      </c>
      <c r="AD19" s="239">
        <v>-0.43752342704149938</v>
      </c>
      <c r="AE19" s="239">
        <v>-0.43975490196078432</v>
      </c>
      <c r="AF19" s="239">
        <v>-0.43342042755344423</v>
      </c>
      <c r="AG19" s="239">
        <v>-0.46382789317507411</v>
      </c>
      <c r="AH19" s="239">
        <v>-0.44730769230769235</v>
      </c>
      <c r="AI19" s="239">
        <v>-0.46808333333333341</v>
      </c>
    </row>
    <row r="20" spans="1:35" s="74" customFormat="1">
      <c r="A20" s="277" t="str">
        <f>_xll.MKV("EUR.CM_INSTRUMENT.PXE."&amp;$AA20, A$2)</f>
        <v>BTPS</v>
      </c>
      <c r="B20" s="277">
        <f>_xll.MKV("EUR.CM_INSTRUMENT.PXE."&amp;$AA20, B$2)</f>
        <v>0.1</v>
      </c>
      <c r="C20" s="278">
        <f>VLOOKUP(AA20,DB!$C$5:$S$236,2,FALSE)</f>
        <v>43570</v>
      </c>
      <c r="D20" s="279">
        <f>_xll.MKV($AA$1&amp;$AA20, D$2)</f>
        <v>100.16500000000001</v>
      </c>
      <c r="E20" s="279">
        <f>_xll.MKV($AA$1&amp;$AA20, E$2)</f>
        <v>3.4000000000000002E-2</v>
      </c>
      <c r="F20" s="132">
        <f>VLOOKUP(AA20,DB!$C$5:$S$236,3,FALSE)</f>
        <v>0.40000000000000036</v>
      </c>
      <c r="G20" s="131">
        <f>VLOOKUP($AA20,DB!$C$5:$S$236,4,FALSE)</f>
        <v>3.3000000000000003</v>
      </c>
      <c r="H20" s="133">
        <f>VLOOKUP($AA20,DB!$C$5:$S$236,5,FALSE)</f>
        <v>1.6000000000000003</v>
      </c>
      <c r="I20" s="280" t="str">
        <f>IF(Y20&gt;$Y$1,"CAC", "")</f>
        <v>CAC</v>
      </c>
      <c r="J20" s="280"/>
      <c r="K20" s="281" t="e">
        <f ca="1">(E20-X20)*100</f>
        <v>#VALUE!</v>
      </c>
      <c r="L20" s="113">
        <f>(E20-E19)*36500/(C20-C19)</f>
        <v>32.444444444444443</v>
      </c>
      <c r="M20" s="114">
        <f>(E20-E13)*36500/($C20-$C13)</f>
        <v>13.292537313432836</v>
      </c>
      <c r="N20" s="115">
        <f>(E20-E13)*36500/($C20-$C13)</f>
        <v>13.292537313432836</v>
      </c>
      <c r="O20" s="113" t="e">
        <f ca="1">(K20-K19)*365/(C20-C19)</f>
        <v>#VALUE!</v>
      </c>
      <c r="P20" s="115"/>
      <c r="Q20" s="131">
        <f>_xll.MKV($AA$1&amp;$AA20, Q$2)</f>
        <v>23.5</v>
      </c>
      <c r="R20" s="131"/>
      <c r="S20" s="279">
        <f>_xll.MKV($AA$1&amp;$AA20, S$2)</f>
        <v>23.700000000000003</v>
      </c>
      <c r="T20" s="279">
        <f t="shared" si="1"/>
        <v>64</v>
      </c>
      <c r="U20" s="282">
        <f>C20</f>
        <v>43570</v>
      </c>
      <c r="V20" s="283">
        <f>IFERROR(_xll.MKV("EUR.CM_DEPTH.VMO_REPO."&amp;AA20&amp;"_SN_Fixed", V$2),4)</f>
        <v>-0.40561307901907362</v>
      </c>
      <c r="W20" s="284">
        <f>_xll.MKV("EUR.PRICERISK.PXE."&amp;AA20, "EffPV1Basis")</f>
        <v>2.5034999999999998</v>
      </c>
      <c r="X20" s="285" t="str">
        <f ca="1">_xll.BCurveInt(SPF!$B$14,$X$2,TEXT(C20,"YYYYMMDD"),"Frequency=Annual","DayCount=D30_360_EOMC")</f>
        <v>#N/A Invalid object ID</v>
      </c>
      <c r="Y20" s="286">
        <f>DATEVALUE(_xll.BDP($AA20&amp;$C$1,Y$2))</f>
        <v>42475</v>
      </c>
      <c r="Z20" s="287">
        <f>_xll.BDP($AA20&amp;$C$1,Z$2)/1000000000</f>
        <v>12.1175</v>
      </c>
      <c r="AA20" s="288" t="s">
        <v>718</v>
      </c>
      <c r="AB20" s="255"/>
      <c r="AC20" s="239">
        <v>-0.40605633802816904</v>
      </c>
      <c r="AD20" s="239">
        <v>-0.40422829581993569</v>
      </c>
      <c r="AE20" s="239">
        <v>-0.40344492440604762</v>
      </c>
      <c r="AF20" s="239">
        <v>-0.40625000000000006</v>
      </c>
      <c r="AG20" s="239">
        <v>-0.41316568047337277</v>
      </c>
      <c r="AH20" s="239">
        <v>-0.40362132352941177</v>
      </c>
      <c r="AI20" s="239">
        <v>-0.41244019138755983</v>
      </c>
    </row>
    <row r="21" spans="1:35" s="74" customFormat="1">
      <c r="A21" s="102" t="str">
        <f>_xll.MKV("EUR.CM_INSTRUMENT.PXE."&amp;$AA21, A$2)</f>
        <v>BTPS</v>
      </c>
      <c r="B21" s="102">
        <f>_xll.MKV("EUR.CM_INSTRUMENT.PXE."&amp;$AA21, B$2)</f>
        <v>2.5</v>
      </c>
      <c r="C21" s="103">
        <f>VLOOKUP(AA21,DB!$C$5:$S$236,2,FALSE)</f>
        <v>43586</v>
      </c>
      <c r="D21" s="104">
        <f>_xll.MKV($AA$1&amp;$AA21, D$2)</f>
        <v>106.26600000000001</v>
      </c>
      <c r="E21" s="104">
        <f>_xll.MKV($AA$1&amp;$AA21, E$2)</f>
        <v>0.04</v>
      </c>
      <c r="F21" s="268">
        <f>VLOOKUP(AA21,DB!$C$5:$S$236,3,FALSE)</f>
        <v>-0.10000000000000009</v>
      </c>
      <c r="G21" s="269">
        <f>VLOOKUP($AA21,DB!$C$5:$S$236,4,FALSE)</f>
        <v>2.9000000000000004</v>
      </c>
      <c r="H21" s="270">
        <f>VLOOKUP($AA21,DB!$C$5:$S$236,5,FALSE)</f>
        <v>0.10000000000000009</v>
      </c>
      <c r="I21" s="105" t="str">
        <f t="shared" si="7"/>
        <v>CAC</v>
      </c>
      <c r="J21" s="105"/>
      <c r="K21" s="106" t="e">
        <f t="shared" ca="1" si="5"/>
        <v>#VALUE!</v>
      </c>
      <c r="L21" s="271">
        <f>(E21-E19)*36500/(C21-C19)</f>
        <v>27.524590163934427</v>
      </c>
      <c r="M21" s="272">
        <f>(E21-E17)*36500/($C21-$C17)</f>
        <v>21.754966887417218</v>
      </c>
      <c r="N21" s="273"/>
      <c r="O21" s="271" t="e">
        <f ca="1">(K21-K19)*365/(C21-C19)</f>
        <v>#VALUE!</v>
      </c>
      <c r="P21" s="273"/>
      <c r="Q21" s="107">
        <f>_xll.MKV($AA$1&amp;$AA21, Q$2)</f>
        <v>24.900000000000002</v>
      </c>
      <c r="R21" s="107"/>
      <c r="S21" s="104">
        <f>_xll.MKV($AA$1&amp;$AA21, S$2)</f>
        <v>24.200000000000003</v>
      </c>
      <c r="T21" s="104">
        <f t="shared" si="1"/>
        <v>42</v>
      </c>
      <c r="U21" s="108">
        <f t="shared" si="2"/>
        <v>43586</v>
      </c>
      <c r="V21" s="109">
        <f>IFERROR(_xll.MKV("EUR.CM_DEPTH.VMO_REPO."&amp;AA21&amp;"_SN_Fixed", V$2),4)</f>
        <v>-0.42694560669456061</v>
      </c>
      <c r="W21" s="38">
        <f>_xll.MKV("EUR.PRICERISK.PXE."&amp;AA21, "EffPV1Basis")</f>
        <v>2.6454</v>
      </c>
      <c r="X21" s="110" t="str">
        <f ca="1">_xll.BCurveInt(SPF!$B$14,$X$2,TEXT(C21,"YYYYMMDD"),"Frequency=Annual","DayCount=D30_360_EOMC")</f>
        <v>#N/A Invalid object ID</v>
      </c>
      <c r="Y21" s="111">
        <f>DATEVALUE(_xll.BDP($AA21&amp;$C$1,Y$2))</f>
        <v>41673</v>
      </c>
      <c r="Z21" s="112">
        <f>_xll.BDP($AA21&amp;$C$1,Z$2)/1000000000</f>
        <v>18.316158000000001</v>
      </c>
      <c r="AA21" s="137" t="s">
        <v>441</v>
      </c>
      <c r="AB21" s="255"/>
      <c r="AC21" s="239">
        <v>-0.42003759398496238</v>
      </c>
      <c r="AD21" s="239">
        <v>-0.40581039755351689</v>
      </c>
      <c r="AE21" s="239">
        <v>-0.41770673322932922</v>
      </c>
      <c r="AF21" s="239">
        <v>-0.40952380952380951</v>
      </c>
      <c r="AG21" s="239">
        <v>-0.41092964824120604</v>
      </c>
      <c r="AH21" s="239">
        <v>-0.41259259259259262</v>
      </c>
      <c r="AI21" s="239">
        <v>-0.40145348837209299</v>
      </c>
    </row>
    <row r="22" spans="1:35" s="74" customFormat="1">
      <c r="A22" s="102" t="str">
        <f>_xll.MKV("EUR.CM_INSTRUMENT.PXE."&amp;$AA22, A$2)</f>
        <v>BTPS</v>
      </c>
      <c r="B22" s="102">
        <f>_xll.MKV("EUR.CM_INSTRUMENT.PXE."&amp;$AA22, B$2)</f>
        <v>1.5</v>
      </c>
      <c r="C22" s="103">
        <f>VLOOKUP(AA22,DB!$C$5:$S$236,2,FALSE)</f>
        <v>43678</v>
      </c>
      <c r="D22" s="104">
        <f>_xll.MKV($AA$1&amp;$AA22, D$2)</f>
        <v>104.056</v>
      </c>
      <c r="E22" s="104">
        <f>_xll.MKV($AA$1&amp;$AA22, E$2)</f>
        <v>0.05</v>
      </c>
      <c r="F22" s="268">
        <f>VLOOKUP(AA22,DB!$C$5:$S$236,3,FALSE)</f>
        <v>0.20000000000000018</v>
      </c>
      <c r="G22" s="269">
        <f>VLOOKUP($AA22,DB!$C$5:$S$236,4,FALSE)</f>
        <v>3.6000000000000005</v>
      </c>
      <c r="H22" s="270">
        <f>VLOOKUP($AA22,DB!$C$5:$S$236,5,FALSE)</f>
        <v>1.2000000000000004</v>
      </c>
      <c r="I22" s="105" t="str">
        <f t="shared" si="7"/>
        <v>CAC</v>
      </c>
      <c r="J22" s="105"/>
      <c r="K22" s="106" t="e">
        <f t="shared" ca="1" si="5"/>
        <v>#VALUE!</v>
      </c>
      <c r="L22" s="271">
        <f t="shared" si="6"/>
        <v>3.9673913043478266</v>
      </c>
      <c r="M22" s="272">
        <f>(E22-E21)*36500/($C22-$C21)</f>
        <v>3.9673913043478266</v>
      </c>
      <c r="N22" s="273"/>
      <c r="O22" s="271" t="e">
        <f t="shared" ca="1" si="4"/>
        <v>#VALUE!</v>
      </c>
      <c r="P22" s="273"/>
      <c r="Q22" s="107">
        <f>_xll.MKV($AA$1&amp;$AA22, Q$2)</f>
        <v>25.6</v>
      </c>
      <c r="R22" s="107"/>
      <c r="S22" s="104">
        <f>_xll.MKV($AA$1&amp;$AA22, S$2)</f>
        <v>25.200000000000003</v>
      </c>
      <c r="T22" s="104">
        <f t="shared" si="1"/>
        <v>21</v>
      </c>
      <c r="U22" s="108">
        <f t="shared" si="2"/>
        <v>43678</v>
      </c>
      <c r="V22" s="109">
        <f>IFERROR(_xll.MKV("EUR.CM_DEPTH.VMO_REPO."&amp;AA22&amp;"_SN_Fixed", V$2),4)</f>
        <v>-0.44763860369609854</v>
      </c>
      <c r="W22" s="38">
        <f>_xll.MKV("EUR.PRICERISK.PXE."&amp;AA22, "EffPV1Basis")</f>
        <v>2.8633000000000002</v>
      </c>
      <c r="X22" s="110" t="str">
        <f ca="1">_xll.BCurveInt(SPF!$B$14,$X$2,TEXT(C22,"YYYYMMDD"),"Frequency=Annual","DayCount=D30_360_EOMC")</f>
        <v>#N/A Invalid object ID</v>
      </c>
      <c r="Y22" s="111">
        <f>DATEVALUE(_xll.BDP($AA22&amp;$C$1,Y$2))</f>
        <v>41821</v>
      </c>
      <c r="Z22" s="112">
        <f>_xll.BDP($AA22&amp;$C$1,Z$2)/1000000000</f>
        <v>16.393155999999998</v>
      </c>
      <c r="AA22" s="137" t="s">
        <v>442</v>
      </c>
      <c r="AB22" s="255"/>
      <c r="AC22" s="239">
        <v>-0.45362847222222236</v>
      </c>
      <c r="AD22" s="239">
        <v>-0.44792452830188684</v>
      </c>
      <c r="AE22" s="239">
        <v>-0.4575501113585746</v>
      </c>
      <c r="AF22" s="239">
        <v>-0.43083732057416269</v>
      </c>
      <c r="AG22" s="239">
        <v>-0.4381382113821139</v>
      </c>
      <c r="AH22" s="239">
        <v>-0.45550000000000007</v>
      </c>
      <c r="AI22" s="239">
        <v>-0.4568103448275862</v>
      </c>
    </row>
    <row r="23" spans="1:35" s="74" customFormat="1">
      <c r="A23" s="102" t="str">
        <f>_xll.MKV("EUR.CM_INSTRUMENT.PXE."&amp;$AA23, A$2)</f>
        <v>BTPS</v>
      </c>
      <c r="B23" s="102">
        <f>_xll.MKV("EUR.CM_INSTRUMENT.PXE."&amp;$AA23, B$2)</f>
        <v>4.25</v>
      </c>
      <c r="C23" s="103">
        <f>VLOOKUP(AA23,DB!$C$5:$S$236,2,FALSE)</f>
        <v>43709</v>
      </c>
      <c r="D23" s="104">
        <f>_xll.MKV($AA$1&amp;$AA23, D$2)</f>
        <v>112.081</v>
      </c>
      <c r="E23" s="104">
        <f>_xll.MKV($AA$1&amp;$AA23, E$2)</f>
        <v>5.2999999999999999E-2</v>
      </c>
      <c r="F23" s="268">
        <f>VLOOKUP(AA23,DB!$C$5:$S$236,3,FALSE)</f>
        <v>-0.20000000000000018</v>
      </c>
      <c r="G23" s="269">
        <f>VLOOKUP($AA23,DB!$C$5:$S$236,4,FALSE)</f>
        <v>3.4000000000000004</v>
      </c>
      <c r="H23" s="270">
        <f>VLOOKUP($AA23,DB!$C$5:$S$236,5,FALSE)</f>
        <v>-0.90000000000000013</v>
      </c>
      <c r="I23" s="105" t="str">
        <f t="shared" si="7"/>
        <v/>
      </c>
      <c r="J23" s="105"/>
      <c r="K23" s="106" t="e">
        <f t="shared" ca="1" si="5"/>
        <v>#VALUE!</v>
      </c>
      <c r="L23" s="271">
        <f t="shared" si="6"/>
        <v>3.5322580645161241</v>
      </c>
      <c r="M23" s="272"/>
      <c r="N23" s="273"/>
      <c r="O23" s="271" t="e">
        <f t="shared" ca="1" si="4"/>
        <v>#VALUE!</v>
      </c>
      <c r="P23" s="273"/>
      <c r="Q23" s="107">
        <f>_xll.MKV($AA$1&amp;$AA23, Q$2)</f>
        <v>27</v>
      </c>
      <c r="R23" s="107"/>
      <c r="S23" s="104">
        <f>_xll.MKV($AA$1&amp;$AA23, S$2)</f>
        <v>25.5</v>
      </c>
      <c r="T23" s="104">
        <f t="shared" si="1"/>
        <v>28</v>
      </c>
      <c r="U23" s="108">
        <f t="shared" si="2"/>
        <v>43709</v>
      </c>
      <c r="V23" s="109">
        <f>IFERROR(_xll.MKV("EUR.CM_DEPTH.VMO_REPO."&amp;AA23&amp;"_SN_Fixed", V$2),4)</f>
        <v>-0.43646616541353378</v>
      </c>
      <c r="W23" s="38">
        <f>_xll.MKV("EUR.PRICERISK.PXE."&amp;AA23, "EffPV1Basis")</f>
        <v>3.0859000000000001</v>
      </c>
      <c r="X23" s="110" t="str">
        <f ca="1">_xll.BCurveInt(SPF!$B$14,$X$2,TEXT(C23,"YYYYMMDD"),"Frequency=Annual","DayCount=D30_360_EOMC")</f>
        <v>#N/A Invalid object ID</v>
      </c>
      <c r="Y23" s="111">
        <f>DATEVALUE(_xll.BDP($AA23&amp;$C$1,Y$2))</f>
        <v>39937</v>
      </c>
      <c r="Z23" s="112">
        <f>_xll.BDP($AA23&amp;$C$1,Z$2)/1000000000</f>
        <v>25.012074999999999</v>
      </c>
      <c r="AA23" s="137" t="s">
        <v>443</v>
      </c>
      <c r="AB23" s="255"/>
      <c r="AC23" s="239">
        <v>-0.44902427637721753</v>
      </c>
      <c r="AD23" s="239">
        <v>-0.43680373831775704</v>
      </c>
      <c r="AE23" s="239">
        <v>-0.42759694477085791</v>
      </c>
      <c r="AF23" s="239">
        <v>-0.4469499417927823</v>
      </c>
      <c r="AG23" s="239">
        <v>-0.4810074231177095</v>
      </c>
      <c r="AH23" s="239">
        <v>-0.41592592592592598</v>
      </c>
      <c r="AI23" s="239">
        <v>-0.44024096385542166</v>
      </c>
    </row>
    <row r="24" spans="1:35" s="74" customFormat="1">
      <c r="A24" s="102" t="str">
        <f>_xll.MKV("EUR.CM_INSTRUMENT.PXE."&amp;$AA24, A$2)</f>
        <v>BTPS</v>
      </c>
      <c r="B24" s="102">
        <f>_xll.MKV("EUR.CM_INSTRUMENT.PXE."&amp;$AA24, B$2)</f>
        <v>0.05</v>
      </c>
      <c r="C24" s="103">
        <f>VLOOKUP(AA24,DB!$C$5:$S$236,2,FALSE)</f>
        <v>43753</v>
      </c>
      <c r="D24" s="104">
        <f>_xll.MKV($AA$1&amp;$AA24, D$2)</f>
        <v>99.935000000000002</v>
      </c>
      <c r="E24" s="104">
        <f>_xll.MKV($AA$1&amp;$AA24, E$2)</f>
        <v>7.2000000000000008E-2</v>
      </c>
      <c r="F24" s="268" t="str">
        <f>VLOOKUP(AA24,DB!$C$5:$S$236,3,FALSE)</f>
        <v>99</v>
      </c>
      <c r="G24" s="269" t="str">
        <f>VLOOKUP($AA24,DB!$C$5:$S$236,4,FALSE)</f>
        <v>99</v>
      </c>
      <c r="H24" s="270" t="str">
        <f>VLOOKUP($AA24,DB!$C$5:$S$236,5,FALSE)</f>
        <v>99</v>
      </c>
      <c r="I24" s="105" t="str">
        <f t="shared" ref="I24" si="8">IF(Y24&gt;$Y$1,"CAC", "")</f>
        <v>CAC</v>
      </c>
      <c r="J24" s="105"/>
      <c r="K24" s="106" t="e">
        <f t="shared" ref="K24" ca="1" si="9">(E24-X24)*100</f>
        <v>#VALUE!</v>
      </c>
      <c r="L24" s="271">
        <f t="shared" ref="L24" si="10">(E24-E23)*36500/(C24-C23)</f>
        <v>15.761363636363644</v>
      </c>
      <c r="M24" s="272"/>
      <c r="N24" s="273"/>
      <c r="O24" s="271" t="e">
        <f t="shared" ref="O24" ca="1" si="11">(K24-K23)*365/(C24-C23)</f>
        <v>#VALUE!</v>
      </c>
      <c r="P24" s="273"/>
      <c r="Q24" s="107">
        <f>_xll.MKV($AA$1&amp;$AA24, Q$2)</f>
        <v>27.200000000000003</v>
      </c>
      <c r="R24" s="107"/>
      <c r="S24" s="104">
        <f>_xll.MKV($AA$1&amp;$AA24, S$2)</f>
        <v>27.5</v>
      </c>
      <c r="T24" s="104">
        <f t="shared" si="1"/>
        <v>71</v>
      </c>
      <c r="U24" s="108">
        <f t="shared" ref="U24" si="12">C24</f>
        <v>43753</v>
      </c>
      <c r="V24" s="109">
        <f>IFERROR(_xll.MKV("EUR.CM_DEPTH.VMO_REPO."&amp;AA24&amp;"_SN_Fixed", V$2),4)</f>
        <v>4</v>
      </c>
      <c r="W24" s="38">
        <f>_xll.MKV("EUR.PRICERISK.PXE."&amp;AA24, "EffPV1Basis")</f>
        <v>2.9885999999999999</v>
      </c>
      <c r="X24" s="110" t="str">
        <f ca="1">_xll.BCurveInt(SPF!$B$14,$X$2,TEXT(C24,"YYYYMMDD"),"Frequency=Annual","DayCount=D30_360_EOMC")</f>
        <v>#N/A Invalid object ID</v>
      </c>
      <c r="Y24" s="111">
        <f>DATEVALUE(_xll.BDP($AA24&amp;$C$1,Y$2))</f>
        <v>42660</v>
      </c>
      <c r="Z24" s="112">
        <f>_xll.BDP($AA24&amp;$C$1,Z$2)/1000000000</f>
        <v>0</v>
      </c>
      <c r="AA24" s="137" t="s">
        <v>761</v>
      </c>
      <c r="AB24" s="255"/>
      <c r="AC24" s="239">
        <v>4</v>
      </c>
      <c r="AD24" s="239"/>
      <c r="AE24" s="239"/>
      <c r="AF24" s="239"/>
      <c r="AG24" s="239"/>
      <c r="AH24" s="239"/>
      <c r="AI24" s="239"/>
    </row>
    <row r="25" spans="1:35" s="74" customFormat="1">
      <c r="A25" s="102" t="str">
        <f>_xll.MKV("EUR.CM_INSTRUMENT.PXE."&amp;$AA25, A$2)</f>
        <v>BTPS</v>
      </c>
      <c r="B25" s="102">
        <f>_xll.MKV("EUR.CM_INSTRUMENT.PXE."&amp;$AA25, B$2)</f>
        <v>1.05</v>
      </c>
      <c r="C25" s="103">
        <f>VLOOKUP(AA25,DB!$C$5:$S$236,2,FALSE)</f>
        <v>43800</v>
      </c>
      <c r="D25" s="104">
        <f>_xll.MKV($AA$1&amp;$AA25, D$2)</f>
        <v>103.062</v>
      </c>
      <c r="E25" s="104">
        <f>_xll.MKV($AA$1&amp;$AA25, E$2)</f>
        <v>7.1000000000000008E-2</v>
      </c>
      <c r="F25" s="268">
        <f>VLOOKUP(AA25,DB!$C$5:$S$236,3,FALSE)</f>
        <v>0.50000000000000044</v>
      </c>
      <c r="G25" s="269">
        <f>VLOOKUP($AA25,DB!$C$5:$S$236,4,FALSE)</f>
        <v>4.4000000000000012</v>
      </c>
      <c r="H25" s="270">
        <f>VLOOKUP($AA25,DB!$C$5:$S$236,5,FALSE)</f>
        <v>1.6000000000000008</v>
      </c>
      <c r="I25" s="105" t="str">
        <f t="shared" si="7"/>
        <v>CAC</v>
      </c>
      <c r="J25" s="105"/>
      <c r="K25" s="106" t="e">
        <f t="shared" ca="1" si="5"/>
        <v>#VALUE!</v>
      </c>
      <c r="L25" s="271">
        <f>(E25-E23)*36500/(C25-C23)</f>
        <v>7.2197802197802234</v>
      </c>
      <c r="M25" s="272">
        <f>(E25-E22)*36500/($C25-$C22)</f>
        <v>6.2827868852459039</v>
      </c>
      <c r="N25" s="273"/>
      <c r="O25" s="271" t="e">
        <f ca="1">(K25-K23)*365/(C25-C23)</f>
        <v>#VALUE!</v>
      </c>
      <c r="P25" s="273" t="e">
        <f ca="1">(K25-K21)*365/(C25-C21)</f>
        <v>#VALUE!</v>
      </c>
      <c r="Q25" s="107">
        <f>_xll.MKV($AA$1&amp;$AA25, Q$2)</f>
        <v>26.700000000000003</v>
      </c>
      <c r="R25" s="107"/>
      <c r="S25" s="104">
        <f>_xll.MKV($AA$1&amp;$AA25, S$2)</f>
        <v>26.6</v>
      </c>
      <c r="T25" s="104">
        <f t="shared" si="1"/>
        <v>44</v>
      </c>
      <c r="U25" s="108">
        <f t="shared" si="2"/>
        <v>43800</v>
      </c>
      <c r="V25" s="109">
        <f>IFERROR(_xll.MKV("EUR.CM_DEPTH.VMO_REPO."&amp;AA25&amp;"_SN_Fixed", V$2),4)</f>
        <v>-0.42071570576540757</v>
      </c>
      <c r="W25" s="38">
        <f>_xll.MKV("EUR.PRICERISK.PXE."&amp;AA25, "EffPV1Basis")</f>
        <v>3.1846000000000001</v>
      </c>
      <c r="X25" s="110" t="str">
        <f ca="1">_xll.BCurveInt(SPF!$B$14,$X$2,TEXT(C25,"YYYYMMDD"),"Frequency=Annual","DayCount=D30_360_EOMC")</f>
        <v>#N/A Invalid object ID</v>
      </c>
      <c r="Y25" s="111">
        <f>DATEVALUE(_xll.BDP($AA25&amp;$C$1,Y$2))</f>
        <v>41974</v>
      </c>
      <c r="Z25" s="112">
        <f>_xll.BDP($AA25&amp;$C$1,Z$2)/1000000000</f>
        <v>15.470969</v>
      </c>
      <c r="AA25" s="137" t="s">
        <v>444</v>
      </c>
      <c r="AB25" s="255"/>
      <c r="AC25" s="239">
        <v>-0.43459890610756613</v>
      </c>
      <c r="AD25" s="239">
        <v>-0.42350235849056594</v>
      </c>
      <c r="AE25" s="239">
        <v>-0.4399825783972125</v>
      </c>
      <c r="AF25" s="239">
        <v>-0.44986702127659572</v>
      </c>
      <c r="AG25" s="239">
        <v>-0.48354685212298687</v>
      </c>
      <c r="AH25" s="239">
        <v>-0.4726162790697675</v>
      </c>
      <c r="AI25" s="239">
        <v>-0.49527472527472521</v>
      </c>
    </row>
    <row r="26" spans="1:35" s="74" customFormat="1">
      <c r="A26" s="102" t="str">
        <f>_xll.MKV("EUR.CM_INSTRUMENT.PXE."&amp;$AA26, A$2)</f>
        <v>BTPS</v>
      </c>
      <c r="B26" s="102">
        <f>_xll.MKV("EUR.CM_INSTRUMENT.PXE."&amp;$AA26, B$2)</f>
        <v>4.5</v>
      </c>
      <c r="C26" s="103">
        <f>VLOOKUP(AA26,DB!$C$5:$S$236,2,FALSE)</f>
        <v>43862</v>
      </c>
      <c r="D26" s="104">
        <f>_xll.MKV($AA$1&amp;$AA26, D$2)</f>
        <v>114.43900000000001</v>
      </c>
      <c r="E26" s="104">
        <f>_xll.MKV($AA$1&amp;$AA26, E$2)</f>
        <v>0.113</v>
      </c>
      <c r="F26" s="268">
        <f>VLOOKUP(AA26,DB!$C$5:$S$236,3,FALSE)</f>
        <v>0</v>
      </c>
      <c r="G26" s="269">
        <f>VLOOKUP($AA26,DB!$C$5:$S$236,4,FALSE)</f>
        <v>4.0000000000000009</v>
      </c>
      <c r="H26" s="270">
        <f>VLOOKUP($AA26,DB!$C$5:$S$236,5,FALSE)</f>
        <v>1.1999999999999997</v>
      </c>
      <c r="I26" s="105" t="str">
        <f t="shared" si="7"/>
        <v/>
      </c>
      <c r="J26" s="105"/>
      <c r="K26" s="106" t="e">
        <f t="shared" ca="1" si="5"/>
        <v>#VALUE!</v>
      </c>
      <c r="L26" s="271">
        <f t="shared" si="6"/>
        <v>24.7258064516129</v>
      </c>
      <c r="M26" s="272"/>
      <c r="N26" s="273" t="s">
        <v>756</v>
      </c>
      <c r="O26" s="271" t="e">
        <f t="shared" ca="1" si="4"/>
        <v>#VALUE!</v>
      </c>
      <c r="P26" s="273"/>
      <c r="Q26" s="107">
        <f>_xll.MKV($AA$1&amp;$AA26, Q$2)</f>
        <v>31.8</v>
      </c>
      <c r="R26" s="107"/>
      <c r="S26" s="104">
        <f>_xll.MKV($AA$1&amp;$AA26, S$2)</f>
        <v>29.700000000000003</v>
      </c>
      <c r="T26" s="104">
        <f t="shared" si="1"/>
        <v>38</v>
      </c>
      <c r="U26" s="108">
        <f t="shared" si="2"/>
        <v>43862</v>
      </c>
      <c r="V26" s="109">
        <f>IFERROR(_xll.MKV("EUR.CM_DEPTH.VMO_REPO."&amp;AA26&amp;"_SN_Fixed", V$2),4)</f>
        <v>-0.42857020547945202</v>
      </c>
      <c r="W26" s="38">
        <f>_xll.MKV("EUR.PRICERISK.PXE."&amp;AA26, "EffPV1Basis")</f>
        <v>3.5707</v>
      </c>
      <c r="X26" s="110" t="str">
        <f ca="1">_xll.BCurveInt(SPF!$B$14,$X$2,TEXT(C26,"YYYYMMDD"),"Frequency=Annual","DayCount=D30_360_EOMC")</f>
        <v>#N/A Invalid object ID</v>
      </c>
      <c r="Y26" s="111">
        <f>DATEVALUE(_xll.BDP($AA26&amp;$C$1,Y$2))</f>
        <v>38070</v>
      </c>
      <c r="Z26" s="112">
        <f>_xll.BDP($AA26&amp;$C$1,Z$2)/1000000000</f>
        <v>22.659649999999999</v>
      </c>
      <c r="AA26" s="137" t="s">
        <v>445</v>
      </c>
      <c r="AB26" s="255"/>
      <c r="AC26" s="239">
        <v>-0.42681644359464627</v>
      </c>
      <c r="AD26" s="239">
        <v>-0.43486111111111114</v>
      </c>
      <c r="AE26" s="239">
        <v>-0.43315734989648036</v>
      </c>
      <c r="AF26" s="239">
        <v>-0.43005252100840335</v>
      </c>
      <c r="AG26" s="239">
        <v>-0.43667338709677422</v>
      </c>
      <c r="AH26" s="239">
        <v>-0.43</v>
      </c>
      <c r="AI26" s="239">
        <v>-0.42687500000000006</v>
      </c>
    </row>
    <row r="27" spans="1:35" s="74" customFormat="1">
      <c r="A27" s="102" t="str">
        <f>_xll.MKV("EUR.CM_INSTRUMENT.PXE."&amp;$AA27, A$2)</f>
        <v>BTPS</v>
      </c>
      <c r="B27" s="102">
        <f>_xll.MKV("EUR.CM_INSTRUMENT.PXE."&amp;$AA27, B$2)</f>
        <v>4.25</v>
      </c>
      <c r="C27" s="103">
        <f>VLOOKUP(AA27,DB!$C$5:$S$236,2,FALSE)</f>
        <v>43891</v>
      </c>
      <c r="D27" s="104">
        <f>_xll.MKV($AA$1&amp;$AA27, D$2)</f>
        <v>113.944</v>
      </c>
      <c r="E27" s="104">
        <f>_xll.MKV($AA$1&amp;$AA27, E$2)</f>
        <v>0.11700000000000001</v>
      </c>
      <c r="F27" s="268">
        <f>VLOOKUP(AA27,DB!$C$5:$S$236,3,FALSE)</f>
        <v>0.10000000000000009</v>
      </c>
      <c r="G27" s="269">
        <f>VLOOKUP($AA27,DB!$C$5:$S$236,4,FALSE)</f>
        <v>4.5000000000000009</v>
      </c>
      <c r="H27" s="270">
        <f>VLOOKUP($AA27,DB!$C$5:$S$236,5,FALSE)</f>
        <v>1.4000000000000012</v>
      </c>
      <c r="I27" s="105" t="str">
        <f t="shared" si="7"/>
        <v/>
      </c>
      <c r="J27" s="105"/>
      <c r="K27" s="106" t="e">
        <f t="shared" ca="1" si="5"/>
        <v>#VALUE!</v>
      </c>
      <c r="L27" s="271">
        <f t="shared" si="6"/>
        <v>5.0344827586206948</v>
      </c>
      <c r="M27" s="272"/>
      <c r="N27" s="273">
        <f>(E27-E19)*36500/($C27-$C19)</f>
        <v>12.266393442622951</v>
      </c>
      <c r="O27" s="271" t="e">
        <f t="shared" ca="1" si="4"/>
        <v>#VALUE!</v>
      </c>
      <c r="P27" s="273"/>
      <c r="Q27" s="107">
        <f>_xll.MKV($AA$1&amp;$AA27, Q$2)</f>
        <v>31.6</v>
      </c>
      <c r="R27" s="107"/>
      <c r="S27" s="104">
        <f>_xll.MKV($AA$1&amp;$AA27, S$2)</f>
        <v>29.5</v>
      </c>
      <c r="T27" s="104">
        <f t="shared" si="1"/>
        <v>53</v>
      </c>
      <c r="U27" s="108">
        <f t="shared" si="2"/>
        <v>43891</v>
      </c>
      <c r="V27" s="109">
        <f>IFERROR(_xll.MKV("EUR.CM_DEPTH.VMO_REPO."&amp;AA27&amp;"_SN_Fixed", V$2),4)</f>
        <v>-0.41248026315789477</v>
      </c>
      <c r="W27" s="38">
        <f>_xll.MKV("EUR.PRICERISK.PXE."&amp;AA27, "EffPV1Basis")</f>
        <v>3.6457000000000002</v>
      </c>
      <c r="X27" s="110" t="str">
        <f ca="1">_xll.BCurveInt(SPF!$B$14,$X$2,TEXT(C27,"YYYYMMDD"),"Frequency=Annual","DayCount=D30_360_EOMC")</f>
        <v>#N/A Invalid object ID</v>
      </c>
      <c r="Y27" s="111">
        <f>DATEVALUE(_xll.BDP($AA27&amp;$C$1,Y$2))</f>
        <v>40087</v>
      </c>
      <c r="Z27" s="112">
        <f>_xll.BDP($AA27&amp;$C$1,Z$2)/1000000000</f>
        <v>24.330808000000001</v>
      </c>
      <c r="AA27" s="137" t="s">
        <v>446</v>
      </c>
      <c r="AB27" s="255"/>
      <c r="AC27" s="239">
        <v>-0.41217199558985679</v>
      </c>
      <c r="AD27" s="239">
        <v>-0.42020127118644074</v>
      </c>
      <c r="AE27" s="239">
        <v>-0.42775216666666671</v>
      </c>
      <c r="AF27" s="239">
        <v>-0.43003667481662594</v>
      </c>
      <c r="AG27" s="239">
        <v>-0.42616923076923086</v>
      </c>
      <c r="AH27" s="239">
        <v>-0.41588888888888886</v>
      </c>
      <c r="AI27" s="239">
        <v>-0.42622950819672129</v>
      </c>
    </row>
    <row r="28" spans="1:35" s="74" customFormat="1">
      <c r="A28" s="102" t="str">
        <f>_xll.MKV("EUR.CM_INSTRUMENT.PXE."&amp;$AA28, A$2)</f>
        <v>BTPS</v>
      </c>
      <c r="B28" s="102">
        <f>_xll.MKV("EUR.CM_INSTRUMENT.PXE."&amp;$AA28, B$2)</f>
        <v>0.7</v>
      </c>
      <c r="C28" s="103">
        <f>VLOOKUP(AA28,DB!$C$5:$S$236,2,FALSE)</f>
        <v>43952</v>
      </c>
      <c r="D28" s="104">
        <f>_xll.MKV($AA$1&amp;$AA28, D$2)</f>
        <v>102.054</v>
      </c>
      <c r="E28" s="104">
        <f>_xll.MKV($AA$1&amp;$AA28, E$2)</f>
        <v>0.12</v>
      </c>
      <c r="F28" s="268">
        <f>VLOOKUP(AA28,DB!$C$5:$S$236,3,FALSE)</f>
        <v>0.49999999999999906</v>
      </c>
      <c r="G28" s="269">
        <f>VLOOKUP($AA28,DB!$C$5:$S$236,4,FALSE)</f>
        <v>5.3999999999999995</v>
      </c>
      <c r="H28" s="270">
        <f>VLOOKUP($AA28,DB!$C$5:$S$236,5,FALSE)</f>
        <v>2.5999999999999996</v>
      </c>
      <c r="I28" s="105" t="str">
        <f t="shared" si="7"/>
        <v>CAC</v>
      </c>
      <c r="J28" s="105"/>
      <c r="K28" s="106" t="e">
        <f t="shared" ca="1" si="5"/>
        <v>#VALUE!</v>
      </c>
      <c r="L28" s="271">
        <f t="shared" si="6"/>
        <v>1.795081967213108</v>
      </c>
      <c r="M28" s="272">
        <f>(E28-E25)*36500/($C28-$C25)</f>
        <v>11.76644736842105</v>
      </c>
      <c r="N28" s="273"/>
      <c r="O28" s="271" t="e">
        <f t="shared" ca="1" si="4"/>
        <v>#VALUE!</v>
      </c>
      <c r="P28" s="273" t="e">
        <f ca="1">(K28-K25)*365/(C28-C25)</f>
        <v>#VALUE!</v>
      </c>
      <c r="Q28" s="107">
        <f>_xll.MKV($AA$1&amp;$AA28, Q$2)</f>
        <v>28.700000000000003</v>
      </c>
      <c r="R28" s="107"/>
      <c r="S28" s="104">
        <f>_xll.MKV($AA$1&amp;$AA28, S$2)</f>
        <v>28.700000000000003</v>
      </c>
      <c r="T28" s="104">
        <f t="shared" si="1"/>
        <v>8</v>
      </c>
      <c r="U28" s="108">
        <f t="shared" si="2"/>
        <v>43952</v>
      </c>
      <c r="V28" s="109">
        <f>IFERROR(_xll.MKV("EUR.CM_DEPTH.VMO_REPO."&amp;AA28&amp;"_SN_Fixed", V$2),4)</f>
        <v>-0.50809834420471667</v>
      </c>
      <c r="W28" s="38">
        <f>_xll.MKV("EUR.PRICERISK.PXE."&amp;AA28, "EffPV1Basis")</f>
        <v>3.5880000000000001</v>
      </c>
      <c r="X28" s="110" t="str">
        <f ca="1">_xll.BCurveInt(SPF!$B$14,$X$2,TEXT(C28,"YYYYMMDD"),"Frequency=Annual","DayCount=D30_360_EOMC")</f>
        <v>#N/A Invalid object ID</v>
      </c>
      <c r="Y28" s="111">
        <f>DATEVALUE(_xll.BDP($AA28&amp;$C$1,Y$2))</f>
        <v>42128</v>
      </c>
      <c r="Z28" s="112">
        <f>_xll.BDP($AA28&amp;$C$1,Z$2)/1000000000</f>
        <v>15.308149999999999</v>
      </c>
      <c r="AA28" s="137" t="s">
        <v>447</v>
      </c>
      <c r="AB28" s="255"/>
      <c r="AC28" s="239">
        <v>-0.49013684570646593</v>
      </c>
      <c r="AD28" s="239">
        <v>-0.51201596806387217</v>
      </c>
      <c r="AE28" s="239">
        <v>-0.58233575248281133</v>
      </c>
      <c r="AF28" s="239">
        <v>-0.82838606674338344</v>
      </c>
      <c r="AG28" s="239">
        <v>-0.81454642475987205</v>
      </c>
      <c r="AH28" s="239">
        <v>-0.45493297587131376</v>
      </c>
      <c r="AI28" s="239">
        <v>-0.48651385927505331</v>
      </c>
    </row>
    <row r="29" spans="1:35" s="74" customFormat="1">
      <c r="A29" s="102" t="str">
        <f>_xll.MKV("EUR.CM_INSTRUMENT.PXE."&amp;$AA29, A$2)</f>
        <v>BTPS</v>
      </c>
      <c r="B29" s="102">
        <f>_xll.MKV("EUR.CM_INSTRUMENT.PXE."&amp;$AA29, B$2)</f>
        <v>4</v>
      </c>
      <c r="C29" s="103">
        <f>VLOOKUP(AA29,DB!$C$5:$S$236,2,FALSE)</f>
        <v>44075</v>
      </c>
      <c r="D29" s="104">
        <f>_xll.MKV($AA$1&amp;$AA29, D$2)</f>
        <v>114.76300000000001</v>
      </c>
      <c r="E29" s="104">
        <f>_xll.MKV($AA$1&amp;$AA29, E$2)</f>
        <v>0.18099999999999999</v>
      </c>
      <c r="F29" s="268">
        <f>VLOOKUP(AA29,DB!$C$5:$S$236,3,FALSE)</f>
        <v>0.20000000000000018</v>
      </c>
      <c r="G29" s="269">
        <f>VLOOKUP($AA29,DB!$C$5:$S$236,4,FALSE)</f>
        <v>5.8999999999999995</v>
      </c>
      <c r="H29" s="270">
        <f>VLOOKUP($AA29,DB!$C$5:$S$236,5,FALSE)</f>
        <v>3.7000000000000006</v>
      </c>
      <c r="I29" s="105" t="str">
        <f t="shared" si="7"/>
        <v/>
      </c>
      <c r="J29" s="105"/>
      <c r="K29" s="106" t="e">
        <f t="shared" ca="1" si="5"/>
        <v>#VALUE!</v>
      </c>
      <c r="L29" s="271">
        <f t="shared" si="6"/>
        <v>18.101626016260163</v>
      </c>
      <c r="M29" s="272"/>
      <c r="N29" s="273"/>
      <c r="O29" s="271" t="e">
        <f t="shared" ca="1" si="4"/>
        <v>#VALUE!</v>
      </c>
      <c r="P29" s="273"/>
      <c r="Q29" s="107">
        <f>_xll.MKV($AA$1&amp;$AA29, Q$2)</f>
        <v>35.300000000000004</v>
      </c>
      <c r="R29" s="107"/>
      <c r="S29" s="104">
        <f>_xll.MKV($AA$1&amp;$AA29, S$2)</f>
        <v>33</v>
      </c>
      <c r="T29" s="104">
        <f t="shared" si="1"/>
        <v>16</v>
      </c>
      <c r="U29" s="108">
        <f t="shared" si="2"/>
        <v>44075</v>
      </c>
      <c r="V29" s="109">
        <f>IFERROR(_xll.MKV("EUR.CM_DEPTH.VMO_REPO."&amp;AA29&amp;"_SN_Fixed", V$2),4)</f>
        <v>-0.46124721603563479</v>
      </c>
      <c r="W29" s="38">
        <f>_xll.MKV("EUR.PRICERISK.PXE."&amp;AA29, "EffPV1Basis")</f>
        <v>4.1859999999999999</v>
      </c>
      <c r="X29" s="110" t="str">
        <f ca="1">_xll.BCurveInt(SPF!$B$14,$X$2,TEXT(C29,"YYYYMMDD"),"Frequency=Annual","DayCount=D30_360_EOMC")</f>
        <v>#N/A Invalid object ID</v>
      </c>
      <c r="Y29" s="111">
        <f>DATEVALUE(_xll.BDP($AA29&amp;$C$1,Y$2))</f>
        <v>40269</v>
      </c>
      <c r="Z29" s="112">
        <f>_xll.BDP($AA29&amp;$C$1,Z$2)/1000000000</f>
        <v>24.922124</v>
      </c>
      <c r="AA29" s="137" t="s">
        <v>448</v>
      </c>
      <c r="AB29" s="255"/>
      <c r="AC29" s="239">
        <v>-0.48660298507462679</v>
      </c>
      <c r="AD29" s="239">
        <v>-0.49871038732394385</v>
      </c>
      <c r="AE29" s="239">
        <v>-0.49852339181286554</v>
      </c>
      <c r="AF29" s="239">
        <v>-0.52905727923627677</v>
      </c>
      <c r="AG29" s="239">
        <v>-0.53273413897280975</v>
      </c>
      <c r="AH29" s="239">
        <v>-0.49467625899280582</v>
      </c>
      <c r="AI29" s="239">
        <v>-0.49731343283582091</v>
      </c>
    </row>
    <row r="30" spans="1:35" s="74" customFormat="1">
      <c r="A30" s="102" t="str">
        <f>_xll.MKV("EUR.CM_INSTRUMENT.PXE."&amp;$AA30, A$2)</f>
        <v>BTPS</v>
      </c>
      <c r="B30" s="102">
        <f>_xll.MKV("EUR.CM_INSTRUMENT.PXE."&amp;$AA30, B$2)</f>
        <v>0.65</v>
      </c>
      <c r="C30" s="103">
        <f>VLOOKUP(AA30,DB!$C$5:$S$236,2,FALSE)</f>
        <v>44136</v>
      </c>
      <c r="D30" s="104">
        <f>_xll.MKV($AA$1&amp;$AA30, D$2)</f>
        <v>101.82900000000001</v>
      </c>
      <c r="E30" s="104">
        <f>_xll.MKV($AA$1&amp;$AA30, E$2)</f>
        <v>0.19600000000000001</v>
      </c>
      <c r="F30" s="268">
        <f>VLOOKUP(AA30,DB!$C$5:$S$236,3,FALSE)</f>
        <v>0.50000000000000044</v>
      </c>
      <c r="G30" s="269">
        <f>VLOOKUP($AA30,DB!$C$5:$S$236,4,FALSE)</f>
        <v>5.8</v>
      </c>
      <c r="H30" s="270">
        <f>VLOOKUP($AA30,DB!$C$5:$S$236,5,FALSE)</f>
        <v>3.9000000000000008</v>
      </c>
      <c r="I30" s="105" t="str">
        <f>IF(Y30&gt;$Y$1,"CAC", "")</f>
        <v>CAC</v>
      </c>
      <c r="J30" s="105"/>
      <c r="K30" s="106" t="e">
        <f t="shared" ca="1" si="5"/>
        <v>#VALUE!</v>
      </c>
      <c r="L30" s="271">
        <f t="shared" si="6"/>
        <v>8.9754098360655821</v>
      </c>
      <c r="M30" s="272">
        <f>(E30-E28)*36500/($C30-$C28)</f>
        <v>15.076086956521742</v>
      </c>
      <c r="N30" s="273"/>
      <c r="O30" s="271" t="e">
        <f t="shared" ca="1" si="4"/>
        <v>#VALUE!</v>
      </c>
      <c r="P30" s="273"/>
      <c r="Q30" s="107">
        <f>_xll.MKV($AA$1&amp;$AA30, Q$2)</f>
        <v>33.1</v>
      </c>
      <c r="R30" s="107"/>
      <c r="S30" s="104">
        <f>_xll.MKV($AA$1&amp;$AA30, S$2)</f>
        <v>33.200000000000003</v>
      </c>
      <c r="T30" s="104">
        <f t="shared" si="1"/>
        <v>7</v>
      </c>
      <c r="U30" s="108">
        <f t="shared" si="2"/>
        <v>44136</v>
      </c>
      <c r="V30" s="109">
        <f>IFERROR(_xll.MKV("EUR.CM_DEPTH.VMO_REPO."&amp;AA30&amp;"_SN_Fixed", V$2),4)</f>
        <v>-0.51504513746409519</v>
      </c>
      <c r="W30" s="38">
        <f>_xll.MKV("EUR.PRICERISK.PXE."&amp;AA30, "EffPV1Basis")</f>
        <v>4.0712999999999999</v>
      </c>
      <c r="X30" s="110" t="str">
        <f ca="1">_xll.BCurveInt(SPF!$B$14,$X$2,TEXT(C30,"YYYYMMDD"),"Frequency=Annual","DayCount=D30_360_EOMC")</f>
        <v>#N/A Invalid object ID</v>
      </c>
      <c r="Y30" s="111">
        <f>DATEVALUE(_xll.BDP($AA30&amp;$C$1,Y$2))</f>
        <v>42310</v>
      </c>
      <c r="Z30" s="116">
        <f>_xll.BDP($AA30&amp;$C$1,Z$2)/1000000000</f>
        <v>14.0687</v>
      </c>
      <c r="AA30" s="138" t="s">
        <v>661</v>
      </c>
      <c r="AB30" s="255"/>
      <c r="AC30" s="239">
        <v>-0.53182732111176789</v>
      </c>
      <c r="AD30" s="239">
        <v>-0.51376324442820598</v>
      </c>
      <c r="AE30" s="239">
        <v>-0.53294077370763437</v>
      </c>
      <c r="AF30" s="239">
        <v>-0.54981317600786639</v>
      </c>
      <c r="AG30" s="239">
        <v>-0.48881228455029768</v>
      </c>
      <c r="AH30" s="239">
        <v>-0.51731259968102072</v>
      </c>
      <c r="AI30" s="239">
        <v>-0.47888733379986009</v>
      </c>
    </row>
    <row r="31" spans="1:35" s="74" customFormat="1">
      <c r="A31" s="102" t="str">
        <f>_xll.MKV("EUR.CM_INSTRUMENT.PXE."&amp;$AA31, A$2)</f>
        <v>BTPS</v>
      </c>
      <c r="B31" s="102">
        <f>_xll.MKV("EUR.CM_INSTRUMENT.PXE."&amp;$AA31, B$2)</f>
        <v>3.75</v>
      </c>
      <c r="C31" s="103">
        <f>VLOOKUP(AA31,DB!$C$5:$S$236,2,FALSE)</f>
        <v>44256</v>
      </c>
      <c r="D31" s="104">
        <f>_xll.MKV($AA$1&amp;$AA31, D$2)</f>
        <v>115.158</v>
      </c>
      <c r="E31" s="104">
        <f>_xll.MKV($AA$1&amp;$AA31, E$2)</f>
        <v>0.26800000000000002</v>
      </c>
      <c r="F31" s="268">
        <f>VLOOKUP(AA31,DB!$C$5:$S$236,3,FALSE)</f>
        <v>0.30000000000000027</v>
      </c>
      <c r="G31" s="269" t="str">
        <f ca="1">VLOOKUP($AA31,DB!$C$5:$S$236,4,FALSE)</f>
        <v>99</v>
      </c>
      <c r="H31" s="270">
        <f>VLOOKUP($AA31,DB!$C$5:$S$236,5,FALSE)</f>
        <v>3.1000000000000028</v>
      </c>
      <c r="I31" s="105" t="str">
        <f t="shared" si="7"/>
        <v/>
      </c>
      <c r="J31" s="105"/>
      <c r="K31" s="106" t="e">
        <f t="shared" ca="1" si="5"/>
        <v>#VALUE!</v>
      </c>
      <c r="L31" s="271">
        <f>(E31-E29)*36500/(C31-C29)</f>
        <v>17.54419889502763</v>
      </c>
      <c r="M31" s="272"/>
      <c r="N31" s="273">
        <f>(E31-E27)*36500/($C31-$C27)</f>
        <v>15.100000000000003</v>
      </c>
      <c r="O31" s="271" t="e">
        <f t="shared" ca="1" si="4"/>
        <v>#VALUE!</v>
      </c>
      <c r="P31" s="273"/>
      <c r="Q31" s="107">
        <f>_xll.MKV($AA$1&amp;$AA31, Q$2)</f>
        <v>41.300000000000004</v>
      </c>
      <c r="R31" s="107"/>
      <c r="S31" s="104">
        <f>_xll.MKV($AA$1&amp;$AA31, S$2)</f>
        <v>38.6</v>
      </c>
      <c r="T31" s="104">
        <f t="shared" si="1"/>
        <v>15</v>
      </c>
      <c r="U31" s="108">
        <f t="shared" si="2"/>
        <v>44256</v>
      </c>
      <c r="V31" s="109">
        <f>IFERROR(_xll.MKV("EUR.CM_DEPTH.VMO_REPO."&amp;AA31&amp;"_SN_Fixed", V$2),4)</f>
        <v>-0.46132269813391874</v>
      </c>
      <c r="W31" s="38">
        <f>_xll.MKV("EUR.PRICERISK.PXE."&amp;AA31, "EffPV1Basis")</f>
        <v>4.7163000000000004</v>
      </c>
      <c r="X31" s="110" t="str">
        <f ca="1">_xll.BCurveInt(SPF!$B$14,$X$2,TEXT(C31,"YYYYMMDD"),"Frequency=Annual","DayCount=D30_360_EOMC")</f>
        <v>#N/A Invalid object ID</v>
      </c>
      <c r="Y31" s="111">
        <f>DATEVALUE(_xll.BDP($AA31&amp;$C$1,Y$2))</f>
        <v>40422</v>
      </c>
      <c r="Z31" s="112">
        <f>_xll.BDP($AA31&amp;$C$1,Z$2)/1000000000</f>
        <v>24.268782000000005</v>
      </c>
      <c r="AA31" s="137" t="s">
        <v>449</v>
      </c>
      <c r="AB31" s="255"/>
      <c r="AC31" s="239">
        <v>-0.46383992094861665</v>
      </c>
      <c r="AD31" s="239">
        <v>-0.43546385017421613</v>
      </c>
      <c r="AE31" s="239">
        <v>-0.43135872014420912</v>
      </c>
      <c r="AF31" s="239">
        <v>-0.42535129424194401</v>
      </c>
      <c r="AG31" s="239">
        <v>-0.43945201744820056</v>
      </c>
      <c r="AH31" s="239">
        <v>-0.4530351906158358</v>
      </c>
      <c r="AI31" s="239">
        <v>-0.51528260869565212</v>
      </c>
    </row>
    <row r="32" spans="1:35" s="74" customFormat="1">
      <c r="A32" s="102" t="str">
        <f>_xll.MKV("EUR.CM_INSTRUMENT.PXE."&amp;$AA32, A$2)</f>
        <v>BTPS</v>
      </c>
      <c r="B32" s="102">
        <f>_xll.MKV("EUR.CM_INSTRUMENT.PXE."&amp;$AA32, B$2)</f>
        <v>3.75</v>
      </c>
      <c r="C32" s="103">
        <f>VLOOKUP(AA32,DB!$C$5:$S$236,2,FALSE)</f>
        <v>44317</v>
      </c>
      <c r="D32" s="104">
        <f>_xll.MKV($AA$1&amp;$AA32, D$2)</f>
        <v>115.36200000000001</v>
      </c>
      <c r="E32" s="104">
        <f>_xll.MKV($AA$1&amp;$AA32, E$2)</f>
        <v>0.34300000000000003</v>
      </c>
      <c r="F32" s="268">
        <f>VLOOKUP(AA32,DB!$C$5:$S$236,3,FALSE)</f>
        <v>0.50000000000000044</v>
      </c>
      <c r="G32" s="269" t="str">
        <f ca="1">VLOOKUP($AA32,DB!$C$5:$S$236,4,FALSE)</f>
        <v>99</v>
      </c>
      <c r="H32" s="270">
        <f>VLOOKUP($AA32,DB!$C$5:$S$236,5,FALSE)</f>
        <v>4.0000000000000036</v>
      </c>
      <c r="I32" s="105" t="str">
        <f t="shared" si="7"/>
        <v>CAC</v>
      </c>
      <c r="J32" s="105"/>
      <c r="K32" s="106" t="e">
        <f t="shared" ca="1" si="5"/>
        <v>#VALUE!</v>
      </c>
      <c r="L32" s="271">
        <f t="shared" ref="L32:L53" si="13">(E32-E31)*36500/(C32-C31)</f>
        <v>44.877049180327873</v>
      </c>
      <c r="M32" s="272">
        <f>(E32-E30)*36500/($C32-$C30)</f>
        <v>29.643646408839786</v>
      </c>
      <c r="N32" s="273"/>
      <c r="O32" s="271" t="e">
        <f t="shared" ca="1" si="4"/>
        <v>#VALUE!</v>
      </c>
      <c r="P32" s="273"/>
      <c r="Q32" s="107">
        <f>_xll.MKV($AA$1&amp;$AA32, Q$2)</f>
        <v>48.300000000000004</v>
      </c>
      <c r="R32" s="107"/>
      <c r="S32" s="104">
        <f>_xll.MKV($AA$1&amp;$AA32, S$2)</f>
        <v>45.1</v>
      </c>
      <c r="T32" s="104">
        <f t="shared" si="1"/>
        <v>49</v>
      </c>
      <c r="U32" s="108">
        <f t="shared" si="2"/>
        <v>44317</v>
      </c>
      <c r="V32" s="109">
        <f>IFERROR(_xll.MKV("EUR.CM_DEPTH.VMO_REPO."&amp;AA32&amp;"_SN_Fixed", V$2),4)</f>
        <v>-0.41539617486338803</v>
      </c>
      <c r="W32" s="38">
        <f>_xll.MKV("EUR.PRICERISK.PXE."&amp;AA32, "EffPV1Basis")</f>
        <v>4.8937999999999997</v>
      </c>
      <c r="X32" s="110" t="str">
        <f ca="1">_xll.BCurveInt(SPF!$B$14,$X$2,TEXT(C32,"YYYYMMDD"),"Frequency=Annual","DayCount=D30_360_EOMC")</f>
        <v>#N/A Invalid object ID</v>
      </c>
      <c r="Y32" s="111">
        <f>DATEVALUE(_xll.BDP($AA32&amp;$C$1,Y$2))</f>
        <v>41563</v>
      </c>
      <c r="Z32" s="112">
        <f>_xll.BDP($AA32&amp;$C$1,Z$2)/1000000000</f>
        <v>18.397552999999998</v>
      </c>
      <c r="AA32" s="137" t="s">
        <v>450</v>
      </c>
      <c r="AB32" s="255"/>
      <c r="AC32" s="239">
        <v>-0.41524419089900111</v>
      </c>
      <c r="AD32" s="239">
        <v>-0.42145604395604397</v>
      </c>
      <c r="AE32" s="239">
        <v>-0.42184051724137933</v>
      </c>
      <c r="AF32" s="239">
        <v>-0.4240953947368421</v>
      </c>
      <c r="AG32" s="239">
        <v>-0.43139489194499026</v>
      </c>
      <c r="AH32" s="239">
        <v>-0.40544117647058825</v>
      </c>
      <c r="AI32" s="239">
        <v>-0.41500000000000004</v>
      </c>
    </row>
    <row r="33" spans="1:35" s="74" customFormat="1">
      <c r="A33" s="102" t="str">
        <f>_xll.MKV("EUR.CM_INSTRUMENT.PXE."&amp;$AA33, A$2)</f>
        <v>BTPS</v>
      </c>
      <c r="B33" s="102">
        <f>_xll.MKV("EUR.CM_INSTRUMENT.PXE."&amp;$AA33, B$2)</f>
        <v>0.45</v>
      </c>
      <c r="C33" s="103">
        <f>VLOOKUP(AA33,DB!$C$5:$S$236,2,FALSE)</f>
        <v>44348</v>
      </c>
      <c r="D33" s="104">
        <f>_xll.MKV($AA$1&amp;$AA33, D$2)</f>
        <v>100.43</v>
      </c>
      <c r="E33" s="104">
        <f>_xll.MKV($AA$1&amp;$AA33, E$2)</f>
        <v>0.35699999999999998</v>
      </c>
      <c r="F33" s="268">
        <f>VLOOKUP(AA33,DB!$C$5:$S$236,3,FALSE)</f>
        <v>0.9000000000000008</v>
      </c>
      <c r="G33" s="269" t="str">
        <f ca="1">VLOOKUP($AA33,DB!$C$5:$S$236,4,FALSE)</f>
        <v>99</v>
      </c>
      <c r="H33" s="270">
        <f>VLOOKUP($AA33,DB!$C$5:$S$236,5,FALSE)</f>
        <v>5.1999999999999993</v>
      </c>
      <c r="I33" s="105" t="str">
        <f>IF(Y33&gt;$Y$1,"CAC", "")</f>
        <v>CAC</v>
      </c>
      <c r="J33" s="105"/>
      <c r="K33" s="106" t="e">
        <f ca="1">(E33-X33)*100</f>
        <v>#VALUE!</v>
      </c>
      <c r="L33" s="271">
        <f>(E33-E32)*36500/(C33-C32)</f>
        <v>16.483870967741883</v>
      </c>
      <c r="M33" s="272">
        <f>(E33-E31)*36500/($C33-$C31)</f>
        <v>35.309782608695635</v>
      </c>
      <c r="N33" s="273"/>
      <c r="O33" s="271" t="e">
        <f ca="1">(K33-K32)*365/(C33-C32)</f>
        <v>#VALUE!</v>
      </c>
      <c r="P33" s="273"/>
      <c r="Q33" s="107">
        <f>_xll.MKV($AA$1&amp;$AA33, Q$2)</f>
        <v>45</v>
      </c>
      <c r="R33" s="107"/>
      <c r="S33" s="104">
        <f>_xll.MKV($AA$1&amp;$AA33, S$2)</f>
        <v>45.5</v>
      </c>
      <c r="T33" s="104">
        <f t="shared" si="1"/>
        <v>54</v>
      </c>
      <c r="U33" s="108">
        <f>C33</f>
        <v>44348</v>
      </c>
      <c r="V33" s="109">
        <f>IFERROR(_xll.MKV("EUR.CM_DEPTH.VMO_REPO."&amp;AA33&amp;"_SN_Fixed", V$2),4)</f>
        <v>-0.41158888888888889</v>
      </c>
      <c r="W33" s="38">
        <f>_xll.MKV("EUR.PRICERISK.PXE."&amp;AA33, "EffPV1Basis")</f>
        <v>4.5919999999999996</v>
      </c>
      <c r="X33" s="110" t="str">
        <f ca="1">_xll.BCurveInt(SPF!$B$14,$X$2,TEXT(C33,"YYYYMMDD"),"Frequency=Annual","DayCount=D30_360_EOMC")</f>
        <v>#N/A Invalid object ID</v>
      </c>
      <c r="Y33" s="111">
        <f>DATEVALUE(_xll.BDP($AA33&amp;$C$1,Y$2))</f>
        <v>42461</v>
      </c>
      <c r="Z33" s="112">
        <f>_xll.BDP($AA33&amp;$C$1,Z$2)/1000000000</f>
        <v>17.183296000000002</v>
      </c>
      <c r="AA33" s="137" t="s">
        <v>717</v>
      </c>
      <c r="AB33" s="255"/>
      <c r="AC33" s="239">
        <v>-0.41117424242424255</v>
      </c>
      <c r="AD33" s="239">
        <v>-0.41252112676056341</v>
      </c>
      <c r="AE33" s="239">
        <v>-0.42606106408706168</v>
      </c>
      <c r="AF33" s="239">
        <v>-0.41329613733905579</v>
      </c>
      <c r="AG33" s="239">
        <v>-0.42041090909090906</v>
      </c>
      <c r="AH33" s="239">
        <v>-0.41070224719101128</v>
      </c>
      <c r="AI33" s="239">
        <v>-0.40903508771929814</v>
      </c>
    </row>
    <row r="34" spans="1:35" s="74" customFormat="1">
      <c r="A34" s="102" t="str">
        <f>_xll.MKV("EUR.CM_INSTRUMENT.PXE."&amp;$AA34, A$2)</f>
        <v>BTPS</v>
      </c>
      <c r="B34" s="102">
        <f>_xll.MKV("EUR.CM_INSTRUMENT.PXE."&amp;$AA34, B$2)</f>
        <v>3.75</v>
      </c>
      <c r="C34" s="103">
        <f>VLOOKUP(AA34,DB!$C$5:$S$236,2,FALSE)</f>
        <v>44409</v>
      </c>
      <c r="D34" s="104">
        <f>_xll.MKV($AA$1&amp;$AA34, D$2)</f>
        <v>116.07900000000001</v>
      </c>
      <c r="E34" s="104">
        <f>_xll.MKV($AA$1&amp;$AA34, E$2)</f>
        <v>0.36699999999999999</v>
      </c>
      <c r="F34" s="268">
        <f>VLOOKUP(AA34,DB!$C$5:$S$236,3,FALSE)</f>
        <v>0.60000000000000053</v>
      </c>
      <c r="G34" s="269" t="str">
        <f ca="1">VLOOKUP($AA34,DB!$C$5:$S$236,4,FALSE)</f>
        <v>99</v>
      </c>
      <c r="H34" s="270">
        <f>VLOOKUP($AA34,DB!$C$5:$S$236,5,FALSE)</f>
        <v>5.6</v>
      </c>
      <c r="I34" s="105" t="str">
        <f>IF(Y34&gt;$Y$1,"CAC", "")</f>
        <v/>
      </c>
      <c r="J34" s="105"/>
      <c r="K34" s="106" t="e">
        <f ca="1">(E34-X34)*100</f>
        <v>#VALUE!</v>
      </c>
      <c r="L34" s="271">
        <f>(E34-E33)*36500/(C34-C33)</f>
        <v>5.9836065573770547</v>
      </c>
      <c r="M34" s="272">
        <f>(E34-E32)*36500/($C34-$C32)</f>
        <v>9.5217391304347689</v>
      </c>
      <c r="N34" s="273"/>
      <c r="O34" s="271" t="e">
        <f ca="1">(K34-K33)*365/(C34-C33)</f>
        <v>#VALUE!</v>
      </c>
      <c r="P34" s="273"/>
      <c r="Q34" s="107">
        <f>_xll.MKV($AA$1&amp;$AA34, Q$2)</f>
        <v>49.300000000000004</v>
      </c>
      <c r="R34" s="107"/>
      <c r="S34" s="104">
        <f>_xll.MKV($AA$1&amp;$AA34, S$2)</f>
        <v>46</v>
      </c>
      <c r="T34" s="104">
        <f t="shared" si="1"/>
        <v>36</v>
      </c>
      <c r="U34" s="108">
        <f>C34</f>
        <v>44409</v>
      </c>
      <c r="V34" s="109">
        <f>IFERROR(_xll.MKV("EUR.CM_DEPTH.VMO_REPO."&amp;AA34&amp;"_SN_Fixed", V$2),4)</f>
        <v>-0.42940699534883719</v>
      </c>
      <c r="W34" s="38">
        <f>_xll.MKV("EUR.PRICERISK.PXE."&amp;AA34, "EffPV1Basis")</f>
        <v>5.1712999999999996</v>
      </c>
      <c r="X34" s="110" t="str">
        <f ca="1">_xll.BCurveInt(SPF!$B$14,$X$2,TEXT(C34,"YYYYMMDD"),"Frequency=Annual","DayCount=D30_360_EOMC")</f>
        <v>#N/A Invalid object ID</v>
      </c>
      <c r="Y34" s="111">
        <f>DATEVALUE(_xll.BDP($AA34&amp;$C$1,Y$2))</f>
        <v>38749</v>
      </c>
      <c r="Z34" s="112">
        <f>_xll.BDP($AA34&amp;$C$1,Z$2)/1000000000</f>
        <v>28.148325</v>
      </c>
      <c r="AA34" s="139" t="s">
        <v>451</v>
      </c>
      <c r="AB34" s="275"/>
      <c r="AC34" s="239">
        <v>-0.42515451895043732</v>
      </c>
      <c r="AD34" s="239">
        <v>-0.4237820091923834</v>
      </c>
      <c r="AE34" s="239">
        <v>-0.41913907947019874</v>
      </c>
      <c r="AF34" s="239">
        <v>-0.42984863281250002</v>
      </c>
      <c r="AG34" s="239">
        <v>-0.43997913021702839</v>
      </c>
      <c r="AH34" s="239">
        <v>-0.41081395348837207</v>
      </c>
      <c r="AI34" s="239">
        <v>-0.4356779661016949</v>
      </c>
    </row>
    <row r="35" spans="1:35" s="74" customFormat="1">
      <c r="A35" s="102" t="str">
        <f>_xll.MKV("EUR.CM_INSTRUMENT.PXE."&amp;$AA35, A$2)</f>
        <v>BTPS</v>
      </c>
      <c r="B35" s="102">
        <f>_xll.MKV("EUR.CM_INSTRUMENT.PXE."&amp;$AA35, B$2)</f>
        <v>4.75</v>
      </c>
      <c r="C35" s="103">
        <f>VLOOKUP(AA35,DB!$C$5:$S$236,2,FALSE)</f>
        <v>44440</v>
      </c>
      <c r="D35" s="104">
        <f>_xll.MKV($AA$1&amp;$AA35, D$2)</f>
        <v>121.042</v>
      </c>
      <c r="E35" s="104">
        <f>_xll.MKV($AA$1&amp;$AA35, E$2)</f>
        <v>0.39400000000000002</v>
      </c>
      <c r="F35" s="268">
        <f>VLOOKUP(AA35,DB!$C$5:$S$236,3,FALSE)</f>
        <v>0.40000000000000036</v>
      </c>
      <c r="G35" s="269" t="str">
        <f ca="1">VLOOKUP($AA35,DB!$C$5:$S$236,4,FALSE)</f>
        <v>99</v>
      </c>
      <c r="H35" s="270">
        <f>VLOOKUP($AA35,DB!$C$5:$S$236,5,FALSE)</f>
        <v>5.2999999999999989</v>
      </c>
      <c r="I35" s="105" t="str">
        <f t="shared" si="7"/>
        <v/>
      </c>
      <c r="J35" s="105"/>
      <c r="K35" s="106" t="e">
        <f t="shared" ca="1" si="5"/>
        <v>#VALUE!</v>
      </c>
      <c r="L35" s="271">
        <f t="shared" si="13"/>
        <v>31.790322580645192</v>
      </c>
      <c r="M35" s="272"/>
      <c r="N35" s="273"/>
      <c r="O35" s="271" t="e">
        <f t="shared" ca="1" si="4"/>
        <v>#VALUE!</v>
      </c>
      <c r="P35" s="273"/>
      <c r="Q35" s="107">
        <f>_xll.MKV($AA$1&amp;$AA35, Q$2)</f>
        <v>53.1</v>
      </c>
      <c r="R35" s="107"/>
      <c r="S35" s="104">
        <f>_xll.MKV($AA$1&amp;$AA35, S$2)</f>
        <v>48.300000000000004</v>
      </c>
      <c r="T35" s="104">
        <f t="shared" ref="T35:T67" si="14">_xlfn.RANK.EQ(V35,$V$3:$V$73,1)</f>
        <v>32</v>
      </c>
      <c r="U35" s="108">
        <f t="shared" ref="U35:U73" si="15">C35</f>
        <v>44440</v>
      </c>
      <c r="V35" s="109">
        <f>IFERROR(_xll.MKV("EUR.CM_DEPTH.VMO_REPO."&amp;AA35&amp;"_SN_Fixed", V$2),4)</f>
        <v>-0.4310949963741843</v>
      </c>
      <c r="W35" s="38">
        <f>_xll.MKV("EUR.PRICERISK.PXE."&amp;AA35, "EffPV1Basis")</f>
        <v>5.3841000000000001</v>
      </c>
      <c r="X35" s="110" t="str">
        <f ca="1">_xll.BCurveInt(SPF!$B$14,$X$2,TEXT(C35,"YYYYMMDD"),"Frequency=Annual","DayCount=D30_360_EOMC")</f>
        <v>#N/A Invalid object ID</v>
      </c>
      <c r="Y35" s="111">
        <f>DATEVALUE(_xll.BDP($AA35&amp;$C$1,Y$2))</f>
        <v>40603</v>
      </c>
      <c r="Z35" s="112">
        <f>_xll.BDP($AA35&amp;$C$1,Z$2)/1000000000</f>
        <v>24.986367999999999</v>
      </c>
      <c r="AA35" s="137" t="s">
        <v>452</v>
      </c>
      <c r="AB35" s="255"/>
      <c r="AC35" s="239">
        <v>-0.43309366754617418</v>
      </c>
      <c r="AD35" s="239">
        <v>-0.4095344827586207</v>
      </c>
      <c r="AE35" s="239">
        <v>-0.41530337078651686</v>
      </c>
      <c r="AF35" s="239">
        <v>-0.42349168646080765</v>
      </c>
      <c r="AG35" s="239">
        <v>-0.41701801801801808</v>
      </c>
      <c r="AH35" s="239">
        <v>-0.40925531914893615</v>
      </c>
      <c r="AI35" s="239">
        <v>-0.42176470588235287</v>
      </c>
    </row>
    <row r="36" spans="1:35" s="74" customFormat="1">
      <c r="A36" s="277" t="str">
        <f>_xll.MKV("EUR.CM_INSTRUMENT.PXE."&amp;$AA36, A$2)</f>
        <v>BTPS</v>
      </c>
      <c r="B36" s="277">
        <f>_xll.MKV("EUR.CM_INSTRUMENT.PXE."&amp;$AA36, B$2)</f>
        <v>0.35</v>
      </c>
      <c r="C36" s="278">
        <f>VLOOKUP(AA36,DB!$C$5:$S$236,2,FALSE)</f>
        <v>44501</v>
      </c>
      <c r="D36" s="279">
        <f>_xll.MKV($AA$1&amp;$AA36, D$2)</f>
        <v>99.558000000000007</v>
      </c>
      <c r="E36" s="279">
        <f>_xll.MKV($AA$1&amp;$AA36, E$2)</f>
        <v>0.439</v>
      </c>
      <c r="F36" s="132">
        <f>VLOOKUP(AA36,DB!$C$5:$S$236,3,FALSE)</f>
        <v>0.80000000000000071</v>
      </c>
      <c r="G36" s="131" t="str">
        <f ca="1">VLOOKUP($AA36,DB!$C$5:$S$236,4,FALSE)</f>
        <v>99</v>
      </c>
      <c r="H36" s="133" t="str">
        <f>VLOOKUP($AA36,DB!$C$5:$S$236,5,FALSE)</f>
        <v>99</v>
      </c>
      <c r="I36" s="280" t="str">
        <f t="shared" ref="I36" si="16">IF(Y36&gt;$Y$1,"CAC", "")</f>
        <v>CAC</v>
      </c>
      <c r="J36" s="280"/>
      <c r="K36" s="281" t="e">
        <f t="shared" ref="K36" ca="1" si="17">(E36-X36)*100</f>
        <v>#VALUE!</v>
      </c>
      <c r="L36" s="113">
        <f t="shared" ref="L36" si="18">(E36-E35)*36500/(C36-C35)</f>
        <v>26.926229508196712</v>
      </c>
      <c r="M36" s="114">
        <f>(E36-E33)*36500/($C36-$C33)</f>
        <v>19.562091503267975</v>
      </c>
      <c r="N36" s="115"/>
      <c r="O36" s="113" t="e">
        <f t="shared" ref="O36" ca="1" si="19">(K36-K35)*365/(C36-C35)</f>
        <v>#VALUE!</v>
      </c>
      <c r="P36" s="115"/>
      <c r="Q36" s="131">
        <f>_xll.MKV($AA$1&amp;$AA36, Q$2)</f>
        <v>50.1</v>
      </c>
      <c r="R36" s="131"/>
      <c r="S36" s="279">
        <f>_xll.MKV($AA$1&amp;$AA36, S$2)</f>
        <v>51</v>
      </c>
      <c r="T36" s="279">
        <f t="shared" si="14"/>
        <v>14</v>
      </c>
      <c r="U36" s="282">
        <f t="shared" ref="U36" si="20">C36</f>
        <v>44501</v>
      </c>
      <c r="V36" s="283">
        <f>IFERROR(_xll.MKV("EUR.CM_DEPTH.VMO_REPO."&amp;AA36&amp;"_SN_Fixed", V$2),4)</f>
        <v>-0.46434267241379318</v>
      </c>
      <c r="W36" s="284">
        <f>_xll.MKV("EUR.PRICERISK.PXE."&amp;AA36, "EffPV1Basis")</f>
        <v>4.9649999999999999</v>
      </c>
      <c r="X36" s="285" t="str">
        <f ca="1">_xll.BCurveInt(SPF!$B$14,$X$2,TEXT(C36,"YYYYMMDD"),"Frequency=Annual","DayCount=D30_360_EOMC")</f>
        <v>#N/A Invalid object ID</v>
      </c>
      <c r="Y36" s="286">
        <f>DATEVALUE(_xll.BDP($AA36&amp;$C$1,Y$2))</f>
        <v>42646</v>
      </c>
      <c r="Z36" s="112">
        <f>_xll.BDP($AA36&amp;$C$1,Z$2)/1000000000</f>
        <v>4.0010000000000003</v>
      </c>
      <c r="AA36" s="288" t="s">
        <v>758</v>
      </c>
      <c r="AB36" s="255"/>
      <c r="AC36" s="239">
        <v>-0.42423322683706072</v>
      </c>
      <c r="AD36" s="239">
        <v>-0.41547379032258069</v>
      </c>
      <c r="AE36" s="239">
        <v>-0.41105882352941181</v>
      </c>
      <c r="AF36" s="239">
        <v>-0.42519047619047617</v>
      </c>
      <c r="AG36" s="239">
        <v>-0.52910994764397901</v>
      </c>
      <c r="AH36" s="239"/>
      <c r="AI36" s="239"/>
    </row>
    <row r="37" spans="1:35" s="74" customFormat="1">
      <c r="A37" s="102" t="str">
        <f>_xll.MKV("EUR.CM_INSTRUMENT.PXE."&amp;$AA37, A$2)</f>
        <v>BTPS</v>
      </c>
      <c r="B37" s="102">
        <f>_xll.MKV("EUR.CM_INSTRUMENT.PXE."&amp;$AA37, B$2)</f>
        <v>2.15</v>
      </c>
      <c r="C37" s="103">
        <f>VLOOKUP(AA37,DB!$C$5:$S$236,2,FALSE)</f>
        <v>44545</v>
      </c>
      <c r="D37" s="104">
        <f>_xll.MKV($AA$1&amp;$AA37, D$2)</f>
        <v>108.57300000000001</v>
      </c>
      <c r="E37" s="104">
        <f>_xll.MKV($AA$1&amp;$AA37, E$2)</f>
        <v>0.47000000000000003</v>
      </c>
      <c r="F37" s="268">
        <f>VLOOKUP(AA37,DB!$C$5:$S$236,3,FALSE)</f>
        <v>0.70000000000000062</v>
      </c>
      <c r="G37" s="269" t="str">
        <f ca="1">VLOOKUP($AA37,DB!$C$5:$S$236,4,FALSE)</f>
        <v>99</v>
      </c>
      <c r="H37" s="270">
        <f>VLOOKUP($AA37,DB!$C$5:$S$236,5,FALSE)</f>
        <v>5.7000000000000046</v>
      </c>
      <c r="I37" s="105" t="str">
        <f t="shared" si="7"/>
        <v>CAC</v>
      </c>
      <c r="J37" s="105"/>
      <c r="K37" s="106" t="e">
        <f t="shared" ca="1" si="5"/>
        <v>#VALUE!</v>
      </c>
      <c r="L37" s="271">
        <f>(E37-E35)*36500/(C37-C35)</f>
        <v>26.419047619047625</v>
      </c>
      <c r="M37" s="272">
        <f>(E37-E32)*36500/($C37-$C32)</f>
        <v>20.331140350877192</v>
      </c>
      <c r="N37" s="273"/>
      <c r="O37" s="271" t="e">
        <f ca="1">(K37-K35)*365/(C37-C35)</f>
        <v>#VALUE!</v>
      </c>
      <c r="P37" s="273"/>
      <c r="Q37" s="107">
        <f>_xll.MKV($AA$1&amp;$AA37, Q$2)</f>
        <v>55.1</v>
      </c>
      <c r="R37" s="107"/>
      <c r="S37" s="104">
        <f>_xll.MKV($AA$1&amp;$AA37, S$2)</f>
        <v>53.400000000000006</v>
      </c>
      <c r="T37" s="104">
        <f t="shared" si="14"/>
        <v>57</v>
      </c>
      <c r="U37" s="108">
        <f t="shared" si="15"/>
        <v>44545</v>
      </c>
      <c r="V37" s="109">
        <f>IFERROR(_xll.MKV("EUR.CM_DEPTH.VMO_REPO."&amp;AA37&amp;"_SN_Fixed", V$2),4)</f>
        <v>-0.40926573426573426</v>
      </c>
      <c r="W37" s="38">
        <f>_xll.MKV("EUR.PRICERISK.PXE."&amp;AA37, "EffPV1Basis")</f>
        <v>5.3311000000000002</v>
      </c>
      <c r="X37" s="110" t="str">
        <f ca="1">_xll.BCurveInt(SPF!$B$14,$X$2,TEXT(C37,"YYYYMMDD"),"Frequency=Annual","DayCount=D30_360_EOMC")</f>
        <v>#N/A Invalid object ID</v>
      </c>
      <c r="Y37" s="111">
        <f>DATEVALUE(_xll.BDP($AA37&amp;$C$1,Y$2))</f>
        <v>41806</v>
      </c>
      <c r="Z37" s="112">
        <f>_xll.BDP($AA37&amp;$C$1,Z$2)/1000000000</f>
        <v>17.657876999999999</v>
      </c>
      <c r="AA37" s="137" t="s">
        <v>453</v>
      </c>
      <c r="AB37" s="255"/>
      <c r="AC37" s="239">
        <v>-0.4122769230769231</v>
      </c>
      <c r="AD37" s="239">
        <v>-0.41127131782945736</v>
      </c>
      <c r="AE37" s="239">
        <v>-0.40914089347079036</v>
      </c>
      <c r="AF37" s="239">
        <v>-0.40760752688172042</v>
      </c>
      <c r="AG37" s="239">
        <v>-0.4216553595658073</v>
      </c>
      <c r="AH37" s="239">
        <v>-0.42916289592760176</v>
      </c>
      <c r="AI37" s="239">
        <v>-0.43984313725490193</v>
      </c>
    </row>
    <row r="38" spans="1:35" s="74" customFormat="1">
      <c r="A38" s="102" t="str">
        <f>_xll.MKV("EUR.CM_INSTRUMENT.PXE."&amp;$AA38, A$2)</f>
        <v>BTPS</v>
      </c>
      <c r="B38" s="102">
        <f>_xll.MKV("EUR.CM_INSTRUMENT.PXE."&amp;$AA38, B$2)</f>
        <v>5</v>
      </c>
      <c r="C38" s="103">
        <f>VLOOKUP(AA38,DB!$C$5:$S$236,2,FALSE)</f>
        <v>44621</v>
      </c>
      <c r="D38" s="104">
        <f>_xll.MKV($AA$1&amp;$AA38, D$2)</f>
        <v>123.62400000000001</v>
      </c>
      <c r="E38" s="104">
        <f>_xll.MKV($AA$1&amp;$AA38, E$2)</f>
        <v>0.54100000000000004</v>
      </c>
      <c r="F38" s="268">
        <f>VLOOKUP(AA38,DB!$C$5:$S$236,3,FALSE)</f>
        <v>0.70000000000000062</v>
      </c>
      <c r="G38" s="269" t="str">
        <f ca="1">VLOOKUP($AA38,DB!$C$5:$S$236,4,FALSE)</f>
        <v>99</v>
      </c>
      <c r="H38" s="270">
        <f>VLOOKUP($AA38,DB!$C$5:$S$236,5,FALSE)</f>
        <v>6.0000000000000053</v>
      </c>
      <c r="I38" s="105" t="str">
        <f t="shared" si="7"/>
        <v/>
      </c>
      <c r="J38" s="105"/>
      <c r="K38" s="106" t="e">
        <f t="shared" ca="1" si="5"/>
        <v>#VALUE!</v>
      </c>
      <c r="L38" s="271">
        <f t="shared" si="13"/>
        <v>34.098684210526322</v>
      </c>
      <c r="M38" s="272"/>
      <c r="N38" s="273">
        <f>(E38-E31)*36500/($C38-$C31)</f>
        <v>27.3</v>
      </c>
      <c r="O38" s="271" t="e">
        <f t="shared" ca="1" si="4"/>
        <v>#VALUE!</v>
      </c>
      <c r="P38" s="273"/>
      <c r="Q38" s="107">
        <f>_xll.MKV($AA$1&amp;$AA38, Q$2)</f>
        <v>66.100000000000009</v>
      </c>
      <c r="R38" s="107"/>
      <c r="S38" s="104">
        <f>_xll.MKV($AA$1&amp;$AA38, S$2)</f>
        <v>59.400000000000006</v>
      </c>
      <c r="T38" s="104">
        <f t="shared" si="14"/>
        <v>59</v>
      </c>
      <c r="U38" s="108">
        <f t="shared" si="15"/>
        <v>44621</v>
      </c>
      <c r="V38" s="109">
        <f>IFERROR(_xll.MKV("EUR.CM_DEPTH.VMO_REPO."&amp;AA38&amp;"_SN_Fixed", V$2),4)</f>
        <v>-0.40728522336769762</v>
      </c>
      <c r="W38" s="38">
        <f>_xll.MKV("EUR.PRICERISK.PXE."&amp;AA38, "EffPV1Basis")</f>
        <v>5.9718999999999998</v>
      </c>
      <c r="X38" s="110" t="str">
        <f ca="1">_xll.BCurveInt(SPF!$B$14,$X$2,TEXT(C38,"YYYYMMDD"),"Frequency=Annual","DayCount=D30_360_EOMC")</f>
        <v>#N/A Invalid object ID</v>
      </c>
      <c r="Y38" s="111">
        <f>DATEVALUE(_xll.BDP($AA38&amp;$C$1,Y$2))</f>
        <v>40787</v>
      </c>
      <c r="Z38" s="112">
        <f>_xll.BDP($AA38&amp;$C$1,Z$2)/1000000000</f>
        <v>20.635579</v>
      </c>
      <c r="AA38" s="137" t="s">
        <v>454</v>
      </c>
      <c r="AB38" s="255"/>
      <c r="AC38" s="239">
        <v>-0.40987584650112868</v>
      </c>
      <c r="AD38" s="239">
        <v>-0.42180722891566264</v>
      </c>
      <c r="AE38" s="239">
        <v>-0.41152439024390247</v>
      </c>
      <c r="AF38" s="239">
        <v>-0.41332512315270942</v>
      </c>
      <c r="AG38" s="239">
        <v>-0.40836170212765954</v>
      </c>
      <c r="AH38" s="239">
        <v>-0.40490825688073395</v>
      </c>
      <c r="AI38" s="239">
        <v>-0.4</v>
      </c>
    </row>
    <row r="39" spans="1:35" s="74" customFormat="1">
      <c r="A39" s="102" t="str">
        <f>_xll.MKV("EUR.CM_INSTRUMENT.PXE."&amp;$AA39, A$2)</f>
        <v>BTPS</v>
      </c>
      <c r="B39" s="102">
        <f>_xll.MKV("EUR.CM_INSTRUMENT.PXE."&amp;$AA39, B$2)</f>
        <v>1.35</v>
      </c>
      <c r="C39" s="103">
        <f>VLOOKUP(AA39,DB!$C$5:$S$236,2,FALSE)</f>
        <v>44666</v>
      </c>
      <c r="D39" s="104">
        <f>_xll.MKV($AA$1&amp;$AA39, D$2)</f>
        <v>104.288</v>
      </c>
      <c r="E39" s="104">
        <f>_xll.MKV($AA$1&amp;$AA39, E$2)</f>
        <v>0.55700000000000005</v>
      </c>
      <c r="F39" s="268">
        <f>VLOOKUP(AA39,DB!$C$5:$S$236,3,FALSE)</f>
        <v>0.80000000000000071</v>
      </c>
      <c r="G39" s="269" t="str">
        <f ca="1">VLOOKUP($AA39,DB!$C$5:$S$236,4,FALSE)</f>
        <v>99</v>
      </c>
      <c r="H39" s="270">
        <f>VLOOKUP($AA39,DB!$C$5:$S$236,5,FALSE)</f>
        <v>7.300000000000006</v>
      </c>
      <c r="I39" s="105" t="str">
        <f t="shared" si="7"/>
        <v>CAC</v>
      </c>
      <c r="J39" s="105"/>
      <c r="K39" s="106" t="e">
        <f t="shared" ca="1" si="5"/>
        <v>#VALUE!</v>
      </c>
      <c r="L39" s="271">
        <f t="shared" si="13"/>
        <v>12.97777777777779</v>
      </c>
      <c r="M39" s="272">
        <f>(E39-E37)*36500/($C39-$C37)</f>
        <v>26.243801652892568</v>
      </c>
      <c r="N39" s="273"/>
      <c r="O39" s="271" t="e">
        <f t="shared" ca="1" si="4"/>
        <v>#VALUE!</v>
      </c>
      <c r="P39" s="273"/>
      <c r="Q39" s="107">
        <f>_xll.MKV($AA$1&amp;$AA39, Q$2)</f>
        <v>59.6</v>
      </c>
      <c r="R39" s="107"/>
      <c r="S39" s="104">
        <f>_xll.MKV($AA$1&amp;$AA39, S$2)</f>
        <v>59.2</v>
      </c>
      <c r="T39" s="104">
        <f t="shared" si="14"/>
        <v>61</v>
      </c>
      <c r="U39" s="108">
        <f t="shared" si="15"/>
        <v>44666</v>
      </c>
      <c r="V39" s="109">
        <f>IFERROR(_xll.MKV("EUR.CM_DEPTH.VMO_REPO."&amp;AA39&amp;"_SN_Fixed", V$2),4)</f>
        <v>-0.40714285714285714</v>
      </c>
      <c r="W39" s="38">
        <f>_xll.MKV("EUR.PRICERISK.PXE."&amp;AA39, "EffPV1Basis")</f>
        <v>5.5349000000000004</v>
      </c>
      <c r="X39" s="110" t="str">
        <f ca="1">_xll.BCurveInt(SPF!$B$14,$X$2,TEXT(C39,"YYYYMMDD"),"Frequency=Annual","DayCount=D30_360_EOMC")</f>
        <v>#N/A Invalid object ID</v>
      </c>
      <c r="Y39" s="111">
        <f>DATEVALUE(_xll.BDP($AA39&amp;$C$1,Y$2))</f>
        <v>42051</v>
      </c>
      <c r="Z39" s="112">
        <f>_xll.BDP($AA39&amp;$C$1,Z$2)/1000000000</f>
        <v>17.784500000000001</v>
      </c>
      <c r="AA39" s="137" t="s">
        <v>455</v>
      </c>
      <c r="AB39" s="255"/>
      <c r="AC39" s="239">
        <v>-0.410378590078329</v>
      </c>
      <c r="AD39" s="239">
        <v>-0.41965277777777793</v>
      </c>
      <c r="AE39" s="239">
        <v>-0.42284482758620695</v>
      </c>
      <c r="AF39" s="239">
        <v>-0.40648745519713264</v>
      </c>
      <c r="AG39" s="239">
        <v>-0.42474390243902443</v>
      </c>
      <c r="AH39" s="239">
        <v>-0.44307017543859645</v>
      </c>
      <c r="AI39" s="239">
        <v>-0.40500000000000003</v>
      </c>
    </row>
    <row r="40" spans="1:35" s="74" customFormat="1">
      <c r="A40" s="102" t="str">
        <f>_xll.MKV("EUR.CM_INSTRUMENT.PXE."&amp;$AA40, A$2)</f>
        <v>BTPS</v>
      </c>
      <c r="B40" s="102">
        <f>_xll.MKV("EUR.CM_INSTRUMENT.PXE."&amp;$AA40, B$2)</f>
        <v>5.5</v>
      </c>
      <c r="C40" s="103">
        <f>VLOOKUP(AA40,DB!$C$5:$S$236,2,FALSE)</f>
        <v>44805</v>
      </c>
      <c r="D40" s="104">
        <f>_xll.MKV($AA$1&amp;$AA40, D$2)</f>
        <v>128.16800000000001</v>
      </c>
      <c r="E40" s="104">
        <f>_xll.MKV($AA$1&amp;$AA40, E$2)</f>
        <v>0.61699999999999999</v>
      </c>
      <c r="F40" s="268">
        <f>VLOOKUP(AA40,DB!$C$5:$S$236,3,FALSE)</f>
        <v>0.60000000000000053</v>
      </c>
      <c r="G40" s="269" t="str">
        <f ca="1">VLOOKUP($AA40,DB!$C$5:$S$236,4,FALSE)</f>
        <v>99</v>
      </c>
      <c r="H40" s="270">
        <f>VLOOKUP($AA40,DB!$C$5:$S$236,5,FALSE)</f>
        <v>6.5999999999999943</v>
      </c>
      <c r="I40" s="105" t="str">
        <f t="shared" si="7"/>
        <v/>
      </c>
      <c r="J40" s="105"/>
      <c r="K40" s="106" t="e">
        <f t="shared" ca="1" si="5"/>
        <v>#VALUE!</v>
      </c>
      <c r="L40" s="271">
        <f t="shared" si="13"/>
        <v>15.755395683453221</v>
      </c>
      <c r="M40" s="272"/>
      <c r="N40" s="273"/>
      <c r="O40" s="271" t="e">
        <f t="shared" ca="1" si="4"/>
        <v>#VALUE!</v>
      </c>
      <c r="P40" s="273"/>
      <c r="Q40" s="107">
        <f>_xll.MKV($AA$1&amp;$AA40, Q$2)</f>
        <v>71.7</v>
      </c>
      <c r="R40" s="107"/>
      <c r="S40" s="104">
        <f>_xll.MKV($AA$1&amp;$AA40, S$2)</f>
        <v>63.2</v>
      </c>
      <c r="T40" s="104">
        <f t="shared" si="14"/>
        <v>22</v>
      </c>
      <c r="U40" s="108">
        <f t="shared" si="15"/>
        <v>44805</v>
      </c>
      <c r="V40" s="109">
        <f>IFERROR(_xll.MKV("EUR.CM_DEPTH.VMO_REPO."&amp;AA40&amp;"_SN_Fixed", V$2),4)</f>
        <v>-0.44700692041522494</v>
      </c>
      <c r="W40" s="38">
        <f>_xll.MKV("EUR.PRICERISK.PXE."&amp;AA40, "EffPV1Basis")</f>
        <v>6.6395</v>
      </c>
      <c r="X40" s="110" t="str">
        <f ca="1">_xll.BCurveInt(SPF!$B$14,$X$2,TEXT(C40,"YYYYMMDD"),"Frequency=Annual","DayCount=D30_360_EOMC")</f>
        <v>#N/A Invalid object ID</v>
      </c>
      <c r="Y40" s="111">
        <f>DATEVALUE(_xll.BDP($AA40&amp;$C$1,Y$2))</f>
        <v>40969</v>
      </c>
      <c r="Z40" s="112">
        <f>_xll.BDP($AA40&amp;$C$1,Z$2)/1000000000</f>
        <v>19.586031999999999</v>
      </c>
      <c r="AA40" s="137" t="s">
        <v>456</v>
      </c>
      <c r="AB40" s="255"/>
      <c r="AC40" s="239">
        <v>-0.44006127450980398</v>
      </c>
      <c r="AD40" s="239">
        <v>-0.44988408037094291</v>
      </c>
      <c r="AE40" s="239">
        <v>-0.46874434389140268</v>
      </c>
      <c r="AF40" s="239">
        <v>-0.46644067796610172</v>
      </c>
      <c r="AG40" s="239">
        <v>-0.44966431095406367</v>
      </c>
      <c r="AH40" s="239">
        <v>-0.41143939393939394</v>
      </c>
      <c r="AI40" s="239">
        <v>-0.43210526315789477</v>
      </c>
    </row>
    <row r="41" spans="1:35" s="74" customFormat="1">
      <c r="A41" s="102" t="str">
        <f>_xll.MKV("EUR.CM_INSTRUMENT.PXE."&amp;$AA41, A$2)</f>
        <v>BTPS</v>
      </c>
      <c r="B41" s="102">
        <f>_xll.MKV("EUR.CM_INSTRUMENT.PXE."&amp;$AA41, B$2)</f>
        <v>1.45</v>
      </c>
      <c r="C41" s="103">
        <f>VLOOKUP(AA41,DB!$C$5:$S$236,2,FALSE)</f>
        <v>44819</v>
      </c>
      <c r="D41" s="104">
        <f>_xll.MKV($AA$1&amp;$AA41, D$2)</f>
        <v>104.709</v>
      </c>
      <c r="E41" s="104">
        <f>_xll.MKV($AA$1&amp;$AA41, E$2)</f>
        <v>0.63900000000000001</v>
      </c>
      <c r="F41" s="268">
        <f>VLOOKUP(AA41,DB!$C$5:$S$236,3,FALSE)</f>
        <v>0.9000000000000008</v>
      </c>
      <c r="G41" s="269" t="str">
        <f ca="1">VLOOKUP($AA41,DB!$C$5:$S$236,4,FALSE)</f>
        <v>99</v>
      </c>
      <c r="H41" s="270">
        <f>VLOOKUP($AA41,DB!$C$5:$S$236,5,FALSE)</f>
        <v>7.6999999999999957</v>
      </c>
      <c r="I41" s="105" t="str">
        <f>IF(Y41&gt;$Y$1,"CAC", "")</f>
        <v>CAC</v>
      </c>
      <c r="J41" s="105"/>
      <c r="K41" s="106" t="e">
        <f t="shared" ca="1" si="5"/>
        <v>#VALUE!</v>
      </c>
      <c r="L41" s="271">
        <f t="shared" si="13"/>
        <v>57.357142857142904</v>
      </c>
      <c r="M41" s="272">
        <f>(E41-E39)*36500/($C41-$C39)</f>
        <v>19.562091503267965</v>
      </c>
      <c r="N41" s="273"/>
      <c r="O41" s="271" t="e">
        <f t="shared" ca="1" si="4"/>
        <v>#VALUE!</v>
      </c>
      <c r="P41" s="273"/>
      <c r="Q41" s="107">
        <f>_xll.MKV($AA$1&amp;$AA41, Q$2)</f>
        <v>64.5</v>
      </c>
      <c r="R41" s="107"/>
      <c r="S41" s="104">
        <f>_xll.MKV($AA$1&amp;$AA41, S$2)</f>
        <v>64</v>
      </c>
      <c r="T41" s="104">
        <f t="shared" si="14"/>
        <v>26</v>
      </c>
      <c r="U41" s="108">
        <f t="shared" si="15"/>
        <v>44819</v>
      </c>
      <c r="V41" s="109">
        <f>IFERROR(_xll.MKV("EUR.CM_DEPTH.VMO_REPO."&amp;AA41&amp;"_SN_Fixed", V$2),4)</f>
        <v>-0.43798722044728433</v>
      </c>
      <c r="W41" s="38">
        <f>_xll.MKV("EUR.PRICERISK.PXE."&amp;AA41, "EffPV1Basis")</f>
        <v>5.9316000000000004</v>
      </c>
      <c r="X41" s="110" t="str">
        <f ca="1">_xll.BCurveInt(SPF!$B$14,$X$2,TEXT(C41,"YYYYMMDD"),"Frequency=Annual","DayCount=D30_360_EOMC")</f>
        <v>#N/A Invalid object ID</v>
      </c>
      <c r="Y41" s="111">
        <f>DATEVALUE(_xll.BDP($AA41&amp;$C$1,Y$2))</f>
        <v>42262</v>
      </c>
      <c r="Z41" s="112">
        <f>_xll.BDP($AA41&amp;$C$1,Z$2)/1000000000</f>
        <v>17.005194000000003</v>
      </c>
      <c r="AA41" s="137" t="s">
        <v>662</v>
      </c>
      <c r="AB41" s="255"/>
      <c r="AC41" s="239">
        <v>-0.44716061185468448</v>
      </c>
      <c r="AD41" s="239">
        <v>-0.45607843137254905</v>
      </c>
      <c r="AE41" s="239">
        <v>-0.47583333333333339</v>
      </c>
      <c r="AF41" s="239">
        <v>-0.47702488687782812</v>
      </c>
      <c r="AG41" s="239">
        <v>-0.58498789346246982</v>
      </c>
      <c r="AH41" s="239">
        <v>-0.44171658986175122</v>
      </c>
      <c r="AI41" s="239">
        <v>-0.4425</v>
      </c>
    </row>
    <row r="42" spans="1:35" s="74" customFormat="1">
      <c r="A42" s="102" t="str">
        <f>_xll.MKV("EUR.CM_INSTRUMENT.PXE."&amp;$AA42, A$2)</f>
        <v>BTPS</v>
      </c>
      <c r="B42" s="102">
        <f>_xll.MKV("EUR.CM_INSTRUMENT.PXE."&amp;$AA42, B$2)</f>
        <v>5.5</v>
      </c>
      <c r="C42" s="103">
        <f>VLOOKUP(AA42,DB!$C$5:$S$236,2,FALSE)</f>
        <v>44866</v>
      </c>
      <c r="D42" s="104">
        <f>_xll.MKV($AA$1&amp;$AA42, D$2)</f>
        <v>128.50200000000001</v>
      </c>
      <c r="E42" s="104">
        <f>_xll.MKV($AA$1&amp;$AA42, E$2)</f>
        <v>0.68300000000000005</v>
      </c>
      <c r="F42" s="268">
        <f>VLOOKUP(AA42,DB!$C$5:$S$236,3,FALSE)</f>
        <v>0.50000000000000044</v>
      </c>
      <c r="G42" s="269" t="str">
        <f ca="1">VLOOKUP($AA42,DB!$C$5:$S$236,4,FALSE)</f>
        <v>99</v>
      </c>
      <c r="H42" s="270">
        <f>VLOOKUP($AA42,DB!$C$5:$S$236,5,FALSE)</f>
        <v>8.0000000000000071</v>
      </c>
      <c r="I42" s="105" t="str">
        <f t="shared" si="7"/>
        <v/>
      </c>
      <c r="J42" s="105"/>
      <c r="K42" s="106" t="e">
        <f t="shared" ca="1" si="5"/>
        <v>#VALUE!</v>
      </c>
      <c r="L42" s="271">
        <f t="shared" si="13"/>
        <v>34.170212765957473</v>
      </c>
      <c r="M42" s="272"/>
      <c r="N42" s="273"/>
      <c r="O42" s="271" t="e">
        <f t="shared" ca="1" si="4"/>
        <v>#VALUE!</v>
      </c>
      <c r="P42" s="273"/>
      <c r="Q42" s="107">
        <f>_xll.MKV($AA$1&amp;$AA42, Q$2)</f>
        <v>77.800000000000011</v>
      </c>
      <c r="R42" s="107"/>
      <c r="S42" s="104">
        <f>_xll.MKV($AA$1&amp;$AA42, S$2)</f>
        <v>68.5</v>
      </c>
      <c r="T42" s="104">
        <f t="shared" si="14"/>
        <v>67</v>
      </c>
      <c r="U42" s="108">
        <f t="shared" si="15"/>
        <v>44866</v>
      </c>
      <c r="V42" s="109">
        <f>IFERROR(_xll.MKV("EUR.CM_DEPTH.VMO_REPO."&amp;AA42&amp;"_SN_Fixed", V$2),4)</f>
        <v>-0.40379999999999994</v>
      </c>
      <c r="W42" s="38">
        <f>_xll.MKV("EUR.PRICERISK.PXE."&amp;AA42, "EffPV1Basis")</f>
        <v>6.8182999999999998</v>
      </c>
      <c r="X42" s="110" t="str">
        <f ca="1">_xll.BCurveInt(SPF!$B$14,$X$2,TEXT(C42,"YYYYMMDD"),"Frequency=Annual","DayCount=D30_360_EOMC")</f>
        <v>#N/A Invalid object ID</v>
      </c>
      <c r="Y42" s="111">
        <f>DATEVALUE(_xll.BDP($AA42&amp;$C$1,Y$2))</f>
        <v>41155</v>
      </c>
      <c r="Z42" s="112">
        <f>_xll.BDP($AA42&amp;$C$1,Z$2)/1000000000</f>
        <v>21.378388000000001</v>
      </c>
      <c r="AA42" s="137" t="s">
        <v>457</v>
      </c>
      <c r="AB42" s="255"/>
      <c r="AC42" s="239">
        <v>-0.404472049689441</v>
      </c>
      <c r="AD42" s="239">
        <v>-0.40390417036379778</v>
      </c>
      <c r="AE42" s="239">
        <v>-0.40769363166953532</v>
      </c>
      <c r="AF42" s="239">
        <v>-0.40850806451612903</v>
      </c>
      <c r="AG42" s="239">
        <v>-0.40584841628959278</v>
      </c>
      <c r="AH42" s="239">
        <v>-0.4</v>
      </c>
      <c r="AI42" s="239">
        <v>-0.4095454545454546</v>
      </c>
    </row>
    <row r="43" spans="1:35" s="74" customFormat="1">
      <c r="A43" s="277" t="str">
        <f>_xll.MKV("EUR.CM_INSTRUMENT.PXE."&amp;$AA43, A$2)</f>
        <v>BTPS</v>
      </c>
      <c r="B43" s="277">
        <f>_xll.MKV("EUR.CM_INSTRUMENT.PXE."&amp;$AA43, B$2)</f>
        <v>0.95</v>
      </c>
      <c r="C43" s="278">
        <f>VLOOKUP(AA43,DB!$C$5:$S$236,2,FALSE)</f>
        <v>45000</v>
      </c>
      <c r="D43" s="279">
        <f>_xll.MKV($AA$1&amp;$AA43, D$2)</f>
        <v>101.14100000000001</v>
      </c>
      <c r="E43" s="279">
        <f>_xll.MKV($AA$1&amp;$AA43, E$2)</f>
        <v>0.76900000000000002</v>
      </c>
      <c r="F43" s="132" t="str">
        <f ca="1">VLOOKUP(AA43,DB!$C$5:$S$236,3,FALSE)</f>
        <v>99</v>
      </c>
      <c r="G43" s="131" t="str">
        <f ca="1">VLOOKUP($AA43,DB!$C$5:$S$236,4,FALSE)</f>
        <v>99</v>
      </c>
      <c r="H43" s="133" t="str">
        <f ca="1">VLOOKUP($AA43,DB!$C$5:$S$236,5,FALSE)</f>
        <v>99</v>
      </c>
      <c r="I43" s="280" t="str">
        <f>IF(Y43&gt;$Y$1,"CAC", "")</f>
        <v>CAC</v>
      </c>
      <c r="J43" s="280"/>
      <c r="K43" s="281" t="e">
        <f t="shared" ca="1" si="5"/>
        <v>#VALUE!</v>
      </c>
      <c r="L43" s="113">
        <f>(E43-E42)*36500/(C43-C42)</f>
        <v>23.42537313432835</v>
      </c>
      <c r="M43" s="114"/>
      <c r="N43" s="115"/>
      <c r="O43" s="113" t="e">
        <f ca="1">(K43-K42)*365/(C43-C42)</f>
        <v>#VALUE!</v>
      </c>
      <c r="P43" s="115"/>
      <c r="Q43" s="131">
        <f>_xll.MKV($AA$1&amp;$AA43, Q$2)</f>
        <v>71.600000000000009</v>
      </c>
      <c r="R43" s="131"/>
      <c r="S43" s="279">
        <f>_xll.MKV($AA$1&amp;$AA43, S$2)</f>
        <v>72.400000000000006</v>
      </c>
      <c r="T43" s="279">
        <f t="shared" si="14"/>
        <v>41</v>
      </c>
      <c r="U43" s="282">
        <f>C43</f>
        <v>45000</v>
      </c>
      <c r="V43" s="283">
        <f>IFERROR(_xll.MKV("EUR.CM_DEPTH.VMO_REPO."&amp;AA43&amp;"_SN_Fixed", V$2),4)</f>
        <v>-0.42733524355300867</v>
      </c>
      <c r="W43" s="284">
        <f>_xll.MKV("EUR.PRICERISK.PXE."&amp;AA43, "EffPV1Basis")</f>
        <v>6.2678000000000003</v>
      </c>
      <c r="X43" s="285" t="str">
        <f ca="1">_xll.BCurveInt(SPF!$B$14,$X$2,TEXT(C43,"YYYYMMDD"),"Frequency=Annual","DayCount=D30_360_EOMC")</f>
        <v>#N/A Invalid object ID</v>
      </c>
      <c r="Y43" s="286">
        <f>DATEVALUE(_xll.BDP($AA43&amp;$C$1,Y$2))</f>
        <v>42444</v>
      </c>
      <c r="Z43" s="287">
        <f>_xll.BDP($AA43&amp;$C$1,Z$2)/1000000000</f>
        <v>16.247</v>
      </c>
      <c r="AA43" s="288" t="s">
        <v>707</v>
      </c>
      <c r="AB43" s="255"/>
      <c r="AC43" s="239">
        <v>-0.43919270833333324</v>
      </c>
      <c r="AD43" s="239">
        <v>-0.44292005555555547</v>
      </c>
      <c r="AE43" s="239">
        <v>-0.42807024169184282</v>
      </c>
      <c r="AF43" s="239">
        <v>-0.43278855975485192</v>
      </c>
      <c r="AG43" s="239">
        <v>-0.40987499999999999</v>
      </c>
      <c r="AH43" s="239">
        <v>-0.41155948553054666</v>
      </c>
      <c r="AI43" s="239">
        <v>-0.41147368421052632</v>
      </c>
    </row>
    <row r="44" spans="1:35" s="74" customFormat="1">
      <c r="A44" s="102" t="str">
        <f>_xll.MKV("EUR.CM_INSTRUMENT.PXE."&amp;$AA44, A$2)</f>
        <v>BTPS</v>
      </c>
      <c r="B44" s="102">
        <f>_xll.MKV("EUR.CM_INSTRUMENT.PXE."&amp;$AA44, B$2)</f>
        <v>4.5</v>
      </c>
      <c r="C44" s="103">
        <f>VLOOKUP(AA44,DB!$C$5:$S$236,2,FALSE)</f>
        <v>45047</v>
      </c>
      <c r="D44" s="104">
        <f>_xll.MKV($AA$1&amp;$AA44, D$2)</f>
        <v>123.70700000000001</v>
      </c>
      <c r="E44" s="104">
        <f>_xll.MKV($AA$1&amp;$AA44, E$2)</f>
        <v>0.78100000000000003</v>
      </c>
      <c r="F44" s="268">
        <f>VLOOKUP(AA44,DB!$C$5:$S$236,3,FALSE)</f>
        <v>0.70000000000000062</v>
      </c>
      <c r="G44" s="269" t="str">
        <f ca="1">VLOOKUP($AA44,DB!$C$5:$S$236,4,FALSE)</f>
        <v>99</v>
      </c>
      <c r="H44" s="270">
        <f>VLOOKUP($AA44,DB!$C$5:$S$236,5,FALSE)</f>
        <v>10.099999999999998</v>
      </c>
      <c r="I44" s="105" t="str">
        <f t="shared" si="7"/>
        <v>CAC</v>
      </c>
      <c r="J44" s="105"/>
      <c r="K44" s="106" t="e">
        <f t="shared" ca="1" si="5"/>
        <v>#VALUE!</v>
      </c>
      <c r="L44" s="271">
        <f>(E44-E42)*36500/(C44-C42)</f>
        <v>19.762430939226515</v>
      </c>
      <c r="M44" s="272">
        <f>(E44-E41)*36500/($C44-$C41)</f>
        <v>22.73245614035088</v>
      </c>
      <c r="N44" s="273">
        <f>(E44-E38)*36500/($C44-$C38)</f>
        <v>20.56338028169014</v>
      </c>
      <c r="O44" s="271" t="e">
        <f ca="1">(K44-K42)*365/(C44-C42)</f>
        <v>#VALUE!</v>
      </c>
      <c r="P44" s="273" t="e">
        <f ca="1">(K44-K40)*365/(C44-C40)</f>
        <v>#VALUE!</v>
      </c>
      <c r="Q44" s="107">
        <f>_xll.MKV($AA$1&amp;$AA44, Q$2)</f>
        <v>81.900000000000006</v>
      </c>
      <c r="R44" s="107"/>
      <c r="S44" s="104">
        <f>_xll.MKV($AA$1&amp;$AA44, S$2)</f>
        <v>73.900000000000006</v>
      </c>
      <c r="T44" s="104">
        <f t="shared" si="14"/>
        <v>58</v>
      </c>
      <c r="U44" s="108">
        <f t="shared" si="15"/>
        <v>45047</v>
      </c>
      <c r="V44" s="109">
        <f>IFERROR(_xll.MKV("EUR.CM_DEPTH.VMO_REPO."&amp;AA44&amp;"_SN_Fixed", V$2),4)</f>
        <v>-0.40886711111111118</v>
      </c>
      <c r="W44" s="38">
        <f>_xll.MKV("EUR.PRICERISK.PXE."&amp;AA44, "EffPV1Basis")</f>
        <v>7.1740000000000004</v>
      </c>
      <c r="X44" s="110" t="str">
        <f ca="1">_xll.BCurveInt(SPF!$B$14,$X$2,TEXT(C44,"YYYYMMDD"),"Frequency=Annual","DayCount=D30_360_EOMC")</f>
        <v>#N/A Invalid object ID</v>
      </c>
      <c r="Y44" s="111">
        <f>DATEVALUE(_xll.BDP($AA44&amp;$C$1,Y$2))</f>
        <v>41334</v>
      </c>
      <c r="Z44" s="112">
        <f>_xll.BDP($AA44&amp;$C$1,Z$2)/1000000000</f>
        <v>20.070594</v>
      </c>
      <c r="AA44" s="137" t="s">
        <v>458</v>
      </c>
      <c r="AB44" s="255"/>
      <c r="AC44" s="239">
        <v>-0.41000959692898281</v>
      </c>
      <c r="AD44" s="239">
        <v>-0.40694235588972438</v>
      </c>
      <c r="AE44" s="239">
        <v>-0.41028008298755186</v>
      </c>
      <c r="AF44" s="239">
        <v>-0.40978849407783419</v>
      </c>
      <c r="AG44" s="239">
        <v>-0.41459595959595957</v>
      </c>
      <c r="AH44" s="239">
        <v>-0.41148584905660385</v>
      </c>
      <c r="AI44" s="239">
        <v>-0.44224852071005916</v>
      </c>
    </row>
    <row r="45" spans="1:35" s="74" customFormat="1">
      <c r="A45" s="102" t="str">
        <f>_xll.MKV("EUR.CM_INSTRUMENT.PXE."&amp;$AA45, A$2)</f>
        <v>BTPS</v>
      </c>
      <c r="B45" s="102">
        <f>_xll.MKV("EUR.CM_INSTRUMENT.PXE."&amp;$AA45, B$2)</f>
        <v>4.75</v>
      </c>
      <c r="C45" s="103">
        <f>VLOOKUP(AA45,DB!$C$5:$S$236,2,FALSE)</f>
        <v>45139</v>
      </c>
      <c r="D45" s="104">
        <f>_xll.MKV($AA$1&amp;$AA45, D$2)</f>
        <v>126.158</v>
      </c>
      <c r="E45" s="104">
        <f>_xll.MKV($AA$1&amp;$AA45, E$2)</f>
        <v>0.79200000000000004</v>
      </c>
      <c r="F45" s="268">
        <f>VLOOKUP(AA45,DB!$C$5:$S$236,3,FALSE)</f>
        <v>0.80000000000000071</v>
      </c>
      <c r="G45" s="269" t="str">
        <f ca="1">VLOOKUP($AA45,DB!$C$5:$S$236,4,FALSE)</f>
        <v>99</v>
      </c>
      <c r="H45" s="270">
        <f>VLOOKUP($AA45,DB!$C$5:$S$236,5,FALSE)</f>
        <v>9.6000000000000085</v>
      </c>
      <c r="I45" s="105" t="str">
        <f t="shared" si="7"/>
        <v/>
      </c>
      <c r="J45" s="105"/>
      <c r="K45" s="106" t="e">
        <f t="shared" ca="1" si="5"/>
        <v>#VALUE!</v>
      </c>
      <c r="L45" s="271">
        <f t="shared" si="13"/>
        <v>4.364130434782612</v>
      </c>
      <c r="M45" s="272"/>
      <c r="N45" s="273"/>
      <c r="O45" s="271" t="e">
        <f t="shared" ca="1" si="4"/>
        <v>#VALUE!</v>
      </c>
      <c r="P45" s="273"/>
      <c r="Q45" s="107">
        <f>_xll.MKV($AA$1&amp;$AA45, Q$2)</f>
        <v>81.900000000000006</v>
      </c>
      <c r="R45" s="107"/>
      <c r="S45" s="104">
        <f>_xll.MKV($AA$1&amp;$AA45, S$2)</f>
        <v>73.100000000000009</v>
      </c>
      <c r="T45" s="104">
        <f t="shared" si="14"/>
        <v>10</v>
      </c>
      <c r="U45" s="108">
        <f t="shared" si="15"/>
        <v>45139</v>
      </c>
      <c r="V45" s="109">
        <f>IFERROR(_xll.MKV("EUR.CM_DEPTH.VMO_REPO."&amp;AA45&amp;"_SN_Fixed", V$2),4)</f>
        <v>-0.50424435721295391</v>
      </c>
      <c r="W45" s="38">
        <f>_xll.MKV("EUR.PRICERISK.PXE."&amp;AA45, "EffPV1Basis")</f>
        <v>7.5217999999999998</v>
      </c>
      <c r="X45" s="110" t="str">
        <f ca="1">_xll.BCurveInt(SPF!$B$14,$X$2,TEXT(C45,"YYYYMMDD"),"Frequency=Annual","DayCount=D30_360_EOMC")</f>
        <v>#N/A Invalid object ID</v>
      </c>
      <c r="Y45" s="111">
        <f>DATEVALUE(_xll.BDP($AA45&amp;$C$1,Y$2))</f>
        <v>39554</v>
      </c>
      <c r="Z45" s="112">
        <f>_xll.BDP($AA45&amp;$C$1,Z$2)/1000000000</f>
        <v>24.799151999999999</v>
      </c>
      <c r="AA45" s="137" t="s">
        <v>459</v>
      </c>
      <c r="AB45" s="255"/>
      <c r="AC45" s="239">
        <v>-0.53878854625550654</v>
      </c>
      <c r="AD45" s="239">
        <v>-0.51263407688656859</v>
      </c>
      <c r="AE45" s="239">
        <v>-0.57926073131955469</v>
      </c>
      <c r="AF45" s="239">
        <v>-0.56014061654948621</v>
      </c>
      <c r="AG45" s="239">
        <v>-0.60735811702595666</v>
      </c>
      <c r="AH45" s="239">
        <v>-0.55493470149253743</v>
      </c>
      <c r="AI45" s="239">
        <v>-0.60722405271828661</v>
      </c>
    </row>
    <row r="46" spans="1:35" s="74" customFormat="1">
      <c r="A46" s="102" t="str">
        <f>_xll.MKV("EUR.CM_INSTRUMENT.PXE."&amp;$AA46, A$2)</f>
        <v>BTPS</v>
      </c>
      <c r="B46" s="102">
        <f>_xll.MKV("EUR.CM_INSTRUMENT.PXE."&amp;$AA46, B$2)</f>
        <v>0.65</v>
      </c>
      <c r="C46" s="103">
        <f>VLOOKUP(AA46,DB!$C$5:$S$236,2,FALSE)</f>
        <v>45214</v>
      </c>
      <c r="D46" s="104">
        <f>_xll.MKV($AA$1&amp;$AA46, D$2)</f>
        <v>98.522999999999996</v>
      </c>
      <c r="E46" s="104">
        <f>_xll.MKV($AA$1&amp;$AA46, E$2)</f>
        <v>0.86899999999999999</v>
      </c>
      <c r="F46" s="268">
        <f>VLOOKUP(AA46,DB!$C$5:$S$236,3,FALSE)</f>
        <v>1.100000000000001</v>
      </c>
      <c r="G46" s="269" t="str">
        <f ca="1">VLOOKUP($AA46,DB!$C$5:$S$236,4,FALSE)</f>
        <v>99</v>
      </c>
      <c r="H46" s="270" t="str">
        <f>VLOOKUP($AA46,DB!$C$5:$S$236,5,FALSE)</f>
        <v>99</v>
      </c>
      <c r="I46" s="105" t="str">
        <f t="shared" ref="I46" si="21">IF(Y46&gt;$Y$1,"CAC", "")</f>
        <v>CAC</v>
      </c>
      <c r="J46" s="105"/>
      <c r="K46" s="106" t="e">
        <f t="shared" ref="K46" ca="1" si="22">(E46-X46)*100</f>
        <v>#VALUE!</v>
      </c>
      <c r="L46" s="271">
        <f t="shared" ref="L46" si="23">(E46-E45)*36500/(C46-C45)</f>
        <v>37.473333333333315</v>
      </c>
      <c r="M46" s="272"/>
      <c r="N46" s="273"/>
      <c r="O46" s="271" t="e">
        <f t="shared" ref="O46" ca="1" si="24">(K46-K45)*365/(C46-C45)</f>
        <v>#VALUE!</v>
      </c>
      <c r="P46" s="273"/>
      <c r="Q46" s="107">
        <f>_xll.MKV($AA$1&amp;$AA46, Q$2)</f>
        <v>74.900000000000006</v>
      </c>
      <c r="R46" s="107"/>
      <c r="S46" s="104">
        <f>_xll.MKV($AA$1&amp;$AA46, S$2)</f>
        <v>77.100000000000009</v>
      </c>
      <c r="T46" s="104">
        <f t="shared" si="14"/>
        <v>46</v>
      </c>
      <c r="U46" s="108">
        <f t="shared" ref="U46" si="25">C46</f>
        <v>45214</v>
      </c>
      <c r="V46" s="109">
        <f>IFERROR(_xll.MKV("EUR.CM_DEPTH.VMO_REPO."&amp;AA46&amp;"_SN_Fixed", V$2),4)</f>
        <v>-0.4175419458064516</v>
      </c>
      <c r="W46" s="38">
        <f>_xll.MKV("EUR.PRICERISK.PXE."&amp;AA46, "EffPV1Basis")</f>
        <v>6.6989000000000001</v>
      </c>
      <c r="X46" s="110" t="str">
        <f ca="1">_xll.BCurveInt(SPF!$B$14,$X$2,TEXT(C46,"YYYYMMDD"),"Frequency=Annual","DayCount=D30_360_EOMC")</f>
        <v>#N/A Invalid object ID</v>
      </c>
      <c r="Y46" s="111">
        <f>DATEVALUE(_xll.BDP($AA46&amp;$C$1,Y$2))</f>
        <v>42628</v>
      </c>
      <c r="Z46" s="112">
        <f>_xll.BDP($AA46&amp;$C$1,Z$2)/1000000000</f>
        <v>4</v>
      </c>
      <c r="AA46" s="137" t="s">
        <v>757</v>
      </c>
      <c r="AB46" s="255"/>
      <c r="AC46" s="239">
        <v>-0.42516052318668252</v>
      </c>
      <c r="AD46" s="239">
        <v>-0.42326675257731955</v>
      </c>
      <c r="AE46" s="239">
        <v>-0.40744695898161243</v>
      </c>
      <c r="AF46" s="239">
        <v>-0.41890604890604893</v>
      </c>
      <c r="AG46" s="239">
        <v>-0.42219648562300321</v>
      </c>
      <c r="AH46" s="239">
        <v>-0.4273353293413174</v>
      </c>
      <c r="AI46" s="239">
        <v>-0.4022841726618705</v>
      </c>
    </row>
    <row r="47" spans="1:35" s="74" customFormat="1">
      <c r="A47" s="102" t="str">
        <f>_xll.MKV("EUR.CM_INSTRUMENT.PXE."&amp;$AA47, A$2)</f>
        <v>BTPS</v>
      </c>
      <c r="B47" s="102">
        <f>_xll.MKV("EUR.CM_INSTRUMENT.PXE."&amp;$AA47, B$2)</f>
        <v>9</v>
      </c>
      <c r="C47" s="103">
        <f>VLOOKUP(AA47,DB!$C$5:$S$236,2,FALSE)</f>
        <v>45231</v>
      </c>
      <c r="D47" s="104">
        <f>_xll.MKV($AA$1&amp;$AA47, D$2)</f>
        <v>155.458</v>
      </c>
      <c r="E47" s="104">
        <f>_xll.MKV($AA$1&amp;$AA47, E$2)</f>
        <v>0.86299999999999999</v>
      </c>
      <c r="F47" s="268">
        <f>VLOOKUP(AA47,DB!$C$5:$S$236,3,FALSE)</f>
        <v>0.40000000000000036</v>
      </c>
      <c r="G47" s="269" t="str">
        <f ca="1">VLOOKUP($AA47,DB!$C$5:$S$236,4,FALSE)</f>
        <v>99</v>
      </c>
      <c r="H47" s="270">
        <f>VLOOKUP($AA47,DB!$C$5:$S$236,5,FALSE)</f>
        <v>6.5999999999999943</v>
      </c>
      <c r="I47" s="105" t="str">
        <f t="shared" si="7"/>
        <v/>
      </c>
      <c r="J47" s="105"/>
      <c r="K47" s="106" t="e">
        <f t="shared" ca="1" si="5"/>
        <v>#VALUE!</v>
      </c>
      <c r="L47" s="271">
        <f>(E47-E45)*36500/(C47-C45)</f>
        <v>28.168478260869545</v>
      </c>
      <c r="M47" s="272"/>
      <c r="N47" s="273"/>
      <c r="O47" s="271" t="e">
        <f ca="1">(K47-K45)*365/(C47-C45)</f>
        <v>#VALUE!</v>
      </c>
      <c r="P47" s="273"/>
      <c r="Q47" s="107">
        <f>_xll.MKV($AA$1&amp;$AA47, Q$2)</f>
        <v>101.7</v>
      </c>
      <c r="R47" s="107"/>
      <c r="S47" s="104">
        <f>_xll.MKV($AA$1&amp;$AA47, S$2)</f>
        <v>79.7</v>
      </c>
      <c r="T47" s="104">
        <f t="shared" si="14"/>
        <v>30</v>
      </c>
      <c r="U47" s="108">
        <f t="shared" si="15"/>
        <v>45231</v>
      </c>
      <c r="V47" s="109">
        <f>IFERROR(_xll.MKV("EUR.CM_DEPTH.VMO_REPO."&amp;AA47&amp;"_SN_Fixed", V$2),4)</f>
        <v>-0.43385068762278978</v>
      </c>
      <c r="W47" s="38">
        <f>_xll.MKV("EUR.PRICERISK.PXE."&amp;AA47, "EffPV1Basis")</f>
        <v>8.8510000000000009</v>
      </c>
      <c r="X47" s="110" t="str">
        <f ca="1">_xll.BCurveInt(SPF!$B$14,$X$2,TEXT(C47,"YYYYMMDD"),"Frequency=Annual","DayCount=D30_360_EOMC")</f>
        <v>#N/A Invalid object ID</v>
      </c>
      <c r="Y47" s="111">
        <f>DATEVALUE(_xll.BDP($AA47&amp;$C$1,Y$2))</f>
        <v>34291</v>
      </c>
      <c r="Z47" s="112">
        <f>_xll.BDP($AA47&amp;$C$1,Z$2)/1000000000</f>
        <v>12.226155008999999</v>
      </c>
      <c r="AA47" s="137" t="s">
        <v>460</v>
      </c>
      <c r="AB47" s="255"/>
      <c r="AC47" s="239">
        <v>-0.43048323471400396</v>
      </c>
      <c r="AD47" s="239">
        <v>-0.42774752475247535</v>
      </c>
      <c r="AE47" s="239">
        <v>-0.41318696883852696</v>
      </c>
      <c r="AF47" s="239">
        <v>-0.42826219512195124</v>
      </c>
      <c r="AG47" s="239">
        <v>-0.41659016393442622</v>
      </c>
      <c r="AH47" s="239">
        <v>-0.43619047619047618</v>
      </c>
      <c r="AI47" s="239">
        <v>-0.42478571428571427</v>
      </c>
    </row>
    <row r="48" spans="1:35" s="74" customFormat="1">
      <c r="A48" s="102" t="str">
        <f>_xll.MKV("EUR.CM_INSTRUMENT.PXE."&amp;$AA48, A$2)</f>
        <v>BTPS</v>
      </c>
      <c r="B48" s="102">
        <f>_xll.MKV("EUR.CM_INSTRUMENT.PXE."&amp;$AA48, B$2)</f>
        <v>4.5</v>
      </c>
      <c r="C48" s="103">
        <f>VLOOKUP(AA48,DB!$C$5:$S$236,2,FALSE)</f>
        <v>45352</v>
      </c>
      <c r="D48" s="104">
        <f>_xll.MKV($AA$1&amp;$AA48, D$2)</f>
        <v>124.961</v>
      </c>
      <c r="E48" s="104">
        <f>_xll.MKV($AA$1&amp;$AA48, E$2)</f>
        <v>0.98799999999999999</v>
      </c>
      <c r="F48" s="268">
        <f>VLOOKUP(AA48,DB!$C$5:$S$236,3,FALSE)</f>
        <v>0.80000000000000071</v>
      </c>
      <c r="G48" s="269" t="str">
        <f ca="1">VLOOKUP($AA48,DB!$C$5:$S$236,4,FALSE)</f>
        <v>99</v>
      </c>
      <c r="H48" s="270">
        <f>VLOOKUP($AA48,DB!$C$5:$S$236,5,FALSE)</f>
        <v>10.299999999999997</v>
      </c>
      <c r="I48" s="105" t="str">
        <f t="shared" si="7"/>
        <v>CAC</v>
      </c>
      <c r="J48" s="105"/>
      <c r="K48" s="106" t="e">
        <f t="shared" ca="1" si="5"/>
        <v>#VALUE!</v>
      </c>
      <c r="L48" s="271">
        <f t="shared" si="13"/>
        <v>37.706611570247937</v>
      </c>
      <c r="M48" s="272">
        <f>(E48-E44)*36500/($C48-$C44)</f>
        <v>24.772131147540978</v>
      </c>
      <c r="N48" s="273">
        <f>(E48-E44)*36500/($C48-$C44)</f>
        <v>24.772131147540978</v>
      </c>
      <c r="O48" s="271" t="e">
        <f t="shared" ca="1" si="4"/>
        <v>#VALUE!</v>
      </c>
      <c r="P48" s="273" t="e">
        <f ca="1">(K48-K44)*365/(C48-C44)</f>
        <v>#VALUE!</v>
      </c>
      <c r="Q48" s="107">
        <f>_xll.MKV($AA$1&amp;$AA48, Q$2)</f>
        <v>97</v>
      </c>
      <c r="R48" s="107"/>
      <c r="S48" s="104">
        <f>_xll.MKV($AA$1&amp;$AA48, S$2)</f>
        <v>87.2</v>
      </c>
      <c r="T48" s="104">
        <f t="shared" si="14"/>
        <v>31</v>
      </c>
      <c r="U48" s="108">
        <f t="shared" si="15"/>
        <v>45352</v>
      </c>
      <c r="V48" s="109">
        <f>IFERROR(_xll.MKV("EUR.CM_DEPTH.VMO_REPO."&amp;AA48&amp;"_SN_Fixed", V$2),4)</f>
        <v>-0.43188926940639272</v>
      </c>
      <c r="W48" s="38">
        <f>_xll.MKV("EUR.PRICERISK.PXE."&amp;AA48, "EffPV1Basis")</f>
        <v>8.0318000000000005</v>
      </c>
      <c r="X48" s="110" t="str">
        <f ca="1">_xll.BCurveInt(SPF!$B$14,$X$2,TEXT(C48,"YYYYMMDD"),"Frequency=Annual","DayCount=D30_360_EOMC")</f>
        <v>#N/A Invalid object ID</v>
      </c>
      <c r="Y48" s="111">
        <f>DATEVALUE(_xll.BDP($AA48&amp;$C$1,Y$2))</f>
        <v>41487</v>
      </c>
      <c r="Z48" s="112">
        <f>_xll.BDP($AA48&amp;$C$1,Z$2)/1000000000</f>
        <v>23.264571</v>
      </c>
      <c r="AA48" s="137" t="s">
        <v>461</v>
      </c>
      <c r="AB48" s="255"/>
      <c r="AC48" s="239">
        <v>-0.4270837209302325</v>
      </c>
      <c r="AD48" s="239">
        <v>-0.42348837209302326</v>
      </c>
      <c r="AE48" s="239">
        <v>-0.41398741085271318</v>
      </c>
      <c r="AF48" s="239">
        <v>-0.42374050632911398</v>
      </c>
      <c r="AG48" s="239">
        <v>-0.41913086913086917</v>
      </c>
      <c r="AH48" s="239">
        <v>-0.43407407407407411</v>
      </c>
      <c r="AI48" s="239">
        <v>-0.41188679245283016</v>
      </c>
    </row>
    <row r="49" spans="1:35" s="74" customFormat="1">
      <c r="A49" s="102" t="str">
        <f>_xll.MKV("EUR.CM_INSTRUMENT.PXE."&amp;$AA49, A$2)</f>
        <v>BTPS</v>
      </c>
      <c r="B49" s="102">
        <f>_xll.MKV("EUR.CM_INSTRUMENT.PXE."&amp;$AA49, B$2)</f>
        <v>3.75</v>
      </c>
      <c r="C49" s="103">
        <f>VLOOKUP(AA49,DB!$C$5:$S$236,2,FALSE)</f>
        <v>45536</v>
      </c>
      <c r="D49" s="104">
        <f>_xll.MKV($AA$1&amp;$AA49, D$2)</f>
        <v>119.994</v>
      </c>
      <c r="E49" s="104">
        <f>_xll.MKV($AA$1&amp;$AA49, E$2)</f>
        <v>1.0980000000000001</v>
      </c>
      <c r="F49" s="268">
        <f>VLOOKUP(AA49,DB!$C$5:$S$236,3,FALSE)</f>
        <v>0.9000000000000119</v>
      </c>
      <c r="G49" s="269" t="str">
        <f ca="1">VLOOKUP($AA49,DB!$C$5:$S$236,4,FALSE)</f>
        <v>99</v>
      </c>
      <c r="H49" s="270">
        <f>VLOOKUP($AA49,DB!$C$5:$S$236,5,FALSE)</f>
        <v>11.000000000000011</v>
      </c>
      <c r="I49" s="105" t="str">
        <f t="shared" si="7"/>
        <v>CAC</v>
      </c>
      <c r="J49" s="105"/>
      <c r="K49" s="106" t="e">
        <f t="shared" ca="1" si="5"/>
        <v>#VALUE!</v>
      </c>
      <c r="L49" s="271">
        <f t="shared" si="13"/>
        <v>21.820652173913064</v>
      </c>
      <c r="M49" s="272">
        <f>(E49-E48)*36500/($C49-$C48)</f>
        <v>21.820652173913064</v>
      </c>
      <c r="N49" s="273"/>
      <c r="O49" s="271" t="e">
        <f t="shared" ca="1" si="4"/>
        <v>#VALUE!</v>
      </c>
      <c r="P49" s="273"/>
      <c r="Q49" s="107">
        <f>_xll.MKV($AA$1&amp;$AA49, Q$2)</f>
        <v>100.7</v>
      </c>
      <c r="R49" s="107"/>
      <c r="S49" s="104">
        <f>_xll.MKV($AA$1&amp;$AA49, S$2)</f>
        <v>93</v>
      </c>
      <c r="T49" s="104">
        <f t="shared" si="14"/>
        <v>56</v>
      </c>
      <c r="U49" s="108">
        <f t="shared" si="15"/>
        <v>45536</v>
      </c>
      <c r="V49" s="109">
        <f>IFERROR(_xll.MKV("EUR.CM_DEPTH.VMO_REPO."&amp;AA49&amp;"_SN_Fixed", V$2),4)</f>
        <v>-0.40979591836734697</v>
      </c>
      <c r="W49" s="38">
        <f>_xll.MKV("EUR.PRICERISK.PXE."&amp;AA49, "EffPV1Basis")</f>
        <v>8.3112999999999992</v>
      </c>
      <c r="X49" s="110" t="str">
        <f ca="1">_xll.BCurveInt(SPF!$B$14,$X$2,TEXT(C49,"YYYYMMDD"),"Frequency=Annual","DayCount=D30_360_EOMC")</f>
        <v>#N/A Invalid object ID</v>
      </c>
      <c r="Y49" s="111">
        <f>DATEVALUE(_xll.BDP($AA49&amp;$C$1,Y$2))</f>
        <v>41701</v>
      </c>
      <c r="Z49" s="112">
        <f>_xll.BDP($AA49&amp;$C$1,Z$2)/1000000000</f>
        <v>19.826000000000001</v>
      </c>
      <c r="AA49" s="137" t="s">
        <v>462</v>
      </c>
      <c r="AB49" s="255"/>
      <c r="AC49" s="239">
        <v>-0.41124117053481335</v>
      </c>
      <c r="AD49" s="239">
        <v>-0.40643821391484947</v>
      </c>
      <c r="AE49" s="239">
        <v>-0.40818348623853218</v>
      </c>
      <c r="AF49" s="239">
        <v>-0.42541273584905664</v>
      </c>
      <c r="AG49" s="239">
        <v>-0.4324188790560472</v>
      </c>
      <c r="AH49" s="239">
        <v>-0.41125</v>
      </c>
      <c r="AI49" s="239">
        <v>-0.40926395939086296</v>
      </c>
    </row>
    <row r="50" spans="1:35" s="74" customFormat="1">
      <c r="A50" s="102" t="str">
        <f>_xll.MKV("EUR.CM_INSTRUMENT.PXE."&amp;$AA50, A$2)</f>
        <v>BTPS</v>
      </c>
      <c r="B50" s="102">
        <f>_xll.MKV("EUR.CM_INSTRUMENT.PXE."&amp;$AA50, B$2)</f>
        <v>2.5</v>
      </c>
      <c r="C50" s="103">
        <f>VLOOKUP(AA50,DB!$C$5:$S$236,2,FALSE)</f>
        <v>45627</v>
      </c>
      <c r="D50" s="104">
        <f>_xll.MKV($AA$1&amp;$AA50, D$2)</f>
        <v>110.565</v>
      </c>
      <c r="E50" s="104">
        <f>_xll.MKV($AA$1&amp;$AA50, E$2)</f>
        <v>1.139</v>
      </c>
      <c r="F50" s="268">
        <f>VLOOKUP(AA50,DB!$C$5:$S$236,3,FALSE)</f>
        <v>1.3000000000000123</v>
      </c>
      <c r="G50" s="269" t="str">
        <f ca="1">VLOOKUP($AA50,DB!$C$5:$S$236,4,FALSE)</f>
        <v>99</v>
      </c>
      <c r="H50" s="270">
        <f>VLOOKUP($AA50,DB!$C$5:$S$236,5,FALSE)</f>
        <v>12.20000000000001</v>
      </c>
      <c r="I50" s="105" t="str">
        <f t="shared" si="7"/>
        <v>CAC</v>
      </c>
      <c r="J50" s="105"/>
      <c r="K50" s="106" t="e">
        <f t="shared" ca="1" si="5"/>
        <v>#VALUE!</v>
      </c>
      <c r="L50" s="271">
        <f t="shared" si="13"/>
        <v>16.445054945054917</v>
      </c>
      <c r="M50" s="272">
        <f>(E50-E49)*36500/($C50-$C49)</f>
        <v>16.445054945054917</v>
      </c>
      <c r="N50" s="273"/>
      <c r="O50" s="271" t="e">
        <f t="shared" ca="1" si="4"/>
        <v>#VALUE!</v>
      </c>
      <c r="P50" s="273" t="e">
        <f ca="1">(K50-K48)*365/(C50-C48)</f>
        <v>#VALUE!</v>
      </c>
      <c r="Q50" s="107">
        <f>_xll.MKV($AA$1&amp;$AA50, Q$2)</f>
        <v>96.800000000000011</v>
      </c>
      <c r="R50" s="107"/>
      <c r="S50" s="104">
        <f>_xll.MKV($AA$1&amp;$AA50, S$2)</f>
        <v>93.800000000000011</v>
      </c>
      <c r="T50" s="104">
        <f t="shared" si="14"/>
        <v>33</v>
      </c>
      <c r="U50" s="108">
        <f t="shared" si="15"/>
        <v>45627</v>
      </c>
      <c r="V50" s="109">
        <f>IFERROR(_xll.MKV("EUR.CM_DEPTH.VMO_REPO."&amp;AA50&amp;"_SN_Fixed", V$2),4)</f>
        <v>-0.43082397003745321</v>
      </c>
      <c r="W50" s="38">
        <f>_xll.MKV("EUR.PRICERISK.PXE."&amp;AA50, "EffPV1Basis")</f>
        <v>8.1499000000000006</v>
      </c>
      <c r="X50" s="110" t="str">
        <f ca="1">_xll.BCurveInt(SPF!$B$14,$X$2,TEXT(C50,"YYYYMMDD"),"Frequency=Annual","DayCount=D30_360_EOMC")</f>
        <v>#N/A Invalid object ID</v>
      </c>
      <c r="Y50" s="111">
        <f>DATEVALUE(_xll.BDP($AA50&amp;$C$1,Y$2))</f>
        <v>41883</v>
      </c>
      <c r="Z50" s="112">
        <f>_xll.BDP($AA50&amp;$C$1,Z$2)/1000000000</f>
        <v>20.383766999999999</v>
      </c>
      <c r="AA50" s="137" t="s">
        <v>463</v>
      </c>
      <c r="AB50" s="255"/>
      <c r="AC50" s="239">
        <v>-0.41633333333333328</v>
      </c>
      <c r="AD50" s="239">
        <v>-0.41403800475059388</v>
      </c>
      <c r="AE50" s="239">
        <v>-0.41544642857142855</v>
      </c>
      <c r="AF50" s="239">
        <v>-0.42608418367346945</v>
      </c>
      <c r="AG50" s="239">
        <v>-0.42392486010362695</v>
      </c>
      <c r="AH50" s="239">
        <v>-0.43532710280373832</v>
      </c>
      <c r="AI50" s="239">
        <v>-0.42716666666666669</v>
      </c>
    </row>
    <row r="51" spans="1:35" s="74" customFormat="1">
      <c r="A51" s="102" t="str">
        <f>_xll.MKV("EUR.CM_INSTRUMENT.PXE."&amp;$AA51, A$2)</f>
        <v>BTPS</v>
      </c>
      <c r="B51" s="102">
        <f>_xll.MKV("EUR.CM_INSTRUMENT.PXE."&amp;$AA51, B$2)</f>
        <v>5</v>
      </c>
      <c r="C51" s="103">
        <f>VLOOKUP(AA51,DB!$C$5:$S$236,2,FALSE)</f>
        <v>45717</v>
      </c>
      <c r="D51" s="104">
        <f>_xll.MKV($AA$1&amp;$AA51, D$2)</f>
        <v>130.50399999999999</v>
      </c>
      <c r="E51" s="104">
        <f>_xll.MKV($AA$1&amp;$AA51, E$2)</f>
        <v>1.171</v>
      </c>
      <c r="F51" s="268">
        <f>VLOOKUP(AA51,DB!$C$5:$S$236,3,FALSE)</f>
        <v>1.2000000000000011</v>
      </c>
      <c r="G51" s="269" t="str">
        <f ca="1">VLOOKUP($AA51,DB!$C$5:$S$236,4,FALSE)</f>
        <v>99</v>
      </c>
      <c r="H51" s="270">
        <f>VLOOKUP($AA51,DB!$C$5:$S$236,5,FALSE)</f>
        <v>11.20000000000001</v>
      </c>
      <c r="I51" s="105" t="str">
        <f t="shared" si="7"/>
        <v/>
      </c>
      <c r="J51" s="105"/>
      <c r="K51" s="106" t="e">
        <f t="shared" ca="1" si="5"/>
        <v>#VALUE!</v>
      </c>
      <c r="L51" s="271">
        <f t="shared" si="13"/>
        <v>12.97777777777779</v>
      </c>
      <c r="M51" s="272"/>
      <c r="N51" s="273">
        <f>(E51-E48)*36500/($C51-$C48)</f>
        <v>18.300000000000004</v>
      </c>
      <c r="O51" s="271" t="e">
        <f t="shared" ca="1" si="4"/>
        <v>#VALUE!</v>
      </c>
      <c r="P51" s="273"/>
      <c r="Q51" s="107">
        <f>_xll.MKV($AA$1&amp;$AA51, Q$2)</f>
        <v>109.80000000000001</v>
      </c>
      <c r="R51" s="107"/>
      <c r="S51" s="104">
        <f>_xll.MKV($AA$1&amp;$AA51, S$2)</f>
        <v>96.5</v>
      </c>
      <c r="T51" s="104">
        <f t="shared" si="14"/>
        <v>9</v>
      </c>
      <c r="U51" s="108">
        <f t="shared" si="15"/>
        <v>45717</v>
      </c>
      <c r="V51" s="109">
        <f>IFERROR(_xll.MKV("EUR.CM_DEPTH.VMO_REPO."&amp;AA51&amp;"_SN_Fixed", V$2),4)</f>
        <v>-0.50513544668587906</v>
      </c>
      <c r="W51" s="38">
        <f>_xll.MKV("EUR.PRICERISK.PXE."&amp;AA51, "EffPV1Basis")</f>
        <v>9.2403999999999993</v>
      </c>
      <c r="X51" s="110" t="str">
        <f ca="1">_xll.BCurveInt(SPF!$B$14,$X$2,TEXT(C51,"YYYYMMDD"),"Frequency=Annual","DayCount=D30_360_EOMC")</f>
        <v>#N/A Invalid object ID</v>
      </c>
      <c r="Y51" s="111">
        <f>DATEVALUE(_xll.BDP($AA51&amp;$C$1,Y$2))</f>
        <v>40009</v>
      </c>
      <c r="Z51" s="112">
        <f>_xll.BDP($AA51&amp;$C$1,Z$2)/1000000000</f>
        <v>23.868669000000001</v>
      </c>
      <c r="AA51" s="137" t="s">
        <v>464</v>
      </c>
      <c r="AB51" s="255"/>
      <c r="AC51" s="239">
        <v>-0.50244654400795608</v>
      </c>
      <c r="AD51" s="239">
        <v>-0.49879107981220666</v>
      </c>
      <c r="AE51" s="239">
        <v>-0.49631772575250838</v>
      </c>
      <c r="AF51" s="239">
        <v>-0.56029917250159145</v>
      </c>
      <c r="AG51" s="239">
        <v>-0.52455562461155991</v>
      </c>
      <c r="AH51" s="239">
        <v>-0.5502893175074185</v>
      </c>
      <c r="AI51" s="239">
        <v>-0.54743083003952575</v>
      </c>
    </row>
    <row r="52" spans="1:35" s="74" customFormat="1">
      <c r="A52" s="102" t="str">
        <f>_xll.MKV("EUR.CM_INSTRUMENT.PXE."&amp;$AA52, A$2)</f>
        <v>BTPS</v>
      </c>
      <c r="B52" s="102">
        <f>_xll.MKV("EUR.CM_INSTRUMENT.PXE."&amp;$AA52, B$2)</f>
        <v>1.5</v>
      </c>
      <c r="C52" s="103">
        <f>VLOOKUP(AA52,DB!$C$5:$S$236,2,FALSE)</f>
        <v>45809</v>
      </c>
      <c r="D52" s="104">
        <f>_xll.MKV($AA$1&amp;$AA52, D$2)</f>
        <v>102.312</v>
      </c>
      <c r="E52" s="104">
        <f>_xll.MKV($AA$1&amp;$AA52, E$2)</f>
        <v>1.22</v>
      </c>
      <c r="F52" s="268">
        <f>VLOOKUP(AA52,DB!$C$5:$S$236,3,FALSE)</f>
        <v>1.4000000000000012</v>
      </c>
      <c r="G52" s="269" t="str">
        <f ca="1">VLOOKUP($AA52,DB!$C$5:$S$236,4,FALSE)</f>
        <v>99</v>
      </c>
      <c r="H52" s="270">
        <f>VLOOKUP($AA52,DB!$C$5:$S$236,5,FALSE)</f>
        <v>13.3</v>
      </c>
      <c r="I52" s="105" t="str">
        <f t="shared" si="7"/>
        <v>CAC</v>
      </c>
      <c r="J52" s="105"/>
      <c r="K52" s="106" t="e">
        <f t="shared" ca="1" si="5"/>
        <v>#VALUE!</v>
      </c>
      <c r="L52" s="271">
        <f t="shared" si="13"/>
        <v>19.440217391304319</v>
      </c>
      <c r="M52" s="272">
        <f>(E52-E50)*36500/($C52-$C50)</f>
        <v>16.244505494505486</v>
      </c>
      <c r="N52" s="273"/>
      <c r="O52" s="271" t="e">
        <f t="shared" ca="1" si="4"/>
        <v>#VALUE!</v>
      </c>
      <c r="P52" s="273" t="e">
        <f ca="1">(K52-K50)*365/(C52-C50)</f>
        <v>#VALUE!</v>
      </c>
      <c r="Q52" s="107">
        <f>_xll.MKV($AA$1&amp;$AA52, Q$2)</f>
        <v>94.800000000000011</v>
      </c>
      <c r="R52" s="107"/>
      <c r="S52" s="104">
        <f>_xll.MKV($AA$1&amp;$AA52, S$2)</f>
        <v>96</v>
      </c>
      <c r="T52" s="104">
        <f t="shared" si="14"/>
        <v>20</v>
      </c>
      <c r="U52" s="108">
        <f t="shared" si="15"/>
        <v>45809</v>
      </c>
      <c r="V52" s="109">
        <f>IFERROR(_xll.MKV("EUR.CM_DEPTH.VMO_REPO."&amp;AA52&amp;"_SN_Fixed", V$2),4)</f>
        <v>-0.45678983833718245</v>
      </c>
      <c r="W52" s="38">
        <f>_xll.MKV("EUR.PRICERISK.PXE."&amp;AA52, "EffPV1Basis")</f>
        <v>8.2258999999999993</v>
      </c>
      <c r="X52" s="110" t="str">
        <f ca="1">_xll.BCurveInt(SPF!$B$14,$X$2,TEXT(C52,"YYYYMMDD"),"Frequency=Annual","DayCount=D30_360_EOMC")</f>
        <v>#N/A Invalid object ID</v>
      </c>
      <c r="Y52" s="111">
        <f>DATEVALUE(_xll.BDP($AA52&amp;$C$1,Y$2))</f>
        <v>42065</v>
      </c>
      <c r="Z52" s="112">
        <f>_xll.BDP($AA52&amp;$C$1,Z$2)/1000000000</f>
        <v>19.786722999999999</v>
      </c>
      <c r="AA52" s="137" t="s">
        <v>465</v>
      </c>
      <c r="AB52" s="255"/>
      <c r="AC52" s="239">
        <v>-0.43098731884057973</v>
      </c>
      <c r="AD52" s="239">
        <v>-0.43085714285714283</v>
      </c>
      <c r="AE52" s="239">
        <v>-0.43304472477064221</v>
      </c>
      <c r="AF52" s="239">
        <v>-0.45637483787289246</v>
      </c>
      <c r="AG52" s="239">
        <v>-0.52145178197065001</v>
      </c>
      <c r="AH52" s="239">
        <v>-0.41701030927835048</v>
      </c>
      <c r="AI52" s="239">
        <v>-0.40329439252336452</v>
      </c>
    </row>
    <row r="53" spans="1:35" s="74" customFormat="1">
      <c r="A53" s="102" t="str">
        <f>_xll.MKV("EUR.CM_INSTRUMENT.PXE."&amp;$AA53, A$2)</f>
        <v>BTPS</v>
      </c>
      <c r="B53" s="102">
        <f>_xll.MKV("EUR.CM_INSTRUMENT.PXE."&amp;$AA53, B$2)</f>
        <v>2</v>
      </c>
      <c r="C53" s="103">
        <f>VLOOKUP(AA53,DB!$C$5:$S$236,2,FALSE)</f>
        <v>45992</v>
      </c>
      <c r="D53" s="104">
        <f>_xll.MKV($AA$1&amp;$AA53, D$2)</f>
        <v>105.86200000000001</v>
      </c>
      <c r="E53" s="104">
        <f>_xll.MKV($AA$1&amp;$AA53, E$2)</f>
        <v>1.321</v>
      </c>
      <c r="F53" s="268">
        <f>VLOOKUP(AA53,DB!$C$5:$S$236,3,FALSE)</f>
        <v>1.4999999999999902</v>
      </c>
      <c r="G53" s="269" t="str">
        <f ca="1">VLOOKUP($AA53,DB!$C$5:$S$236,4,FALSE)</f>
        <v>99</v>
      </c>
      <c r="H53" s="270">
        <f>VLOOKUP($AA53,DB!$C$5:$S$236,5,FALSE)</f>
        <v>13.999999999999989</v>
      </c>
      <c r="I53" s="105" t="str">
        <f>IF(Y53&gt;$Y$1,"CAC", "")</f>
        <v>CAC</v>
      </c>
      <c r="J53" s="105"/>
      <c r="K53" s="106" t="e">
        <f t="shared" ca="1" si="5"/>
        <v>#VALUE!</v>
      </c>
      <c r="L53" s="271">
        <f t="shared" si="13"/>
        <v>20.144808743169396</v>
      </c>
      <c r="M53" s="272">
        <f>(E53-E50)*36500/($C53-$C50)</f>
        <v>18.199999999999996</v>
      </c>
      <c r="N53" s="273"/>
      <c r="O53" s="271" t="e">
        <f t="shared" ca="1" si="4"/>
        <v>#VALUE!</v>
      </c>
      <c r="P53" s="273" t="e">
        <f ca="1">(K53-K51)*365/(C53-C51)</f>
        <v>#VALUE!</v>
      </c>
      <c r="Q53" s="107">
        <f>_xll.MKV($AA$1&amp;$AA53, Q$2)</f>
        <v>102.10000000000001</v>
      </c>
      <c r="R53" s="107"/>
      <c r="S53" s="104">
        <f>_xll.MKV($AA$1&amp;$AA53, S$2)</f>
        <v>101.60000000000001</v>
      </c>
      <c r="T53" s="104">
        <f t="shared" si="14"/>
        <v>25</v>
      </c>
      <c r="U53" s="108">
        <f t="shared" si="15"/>
        <v>45992</v>
      </c>
      <c r="V53" s="109">
        <f>IFERROR(_xll.MKV("EUR.CM_DEPTH.VMO_REPO."&amp;AA53&amp;"_SN_Fixed", V$2),4)</f>
        <v>-0.44394520547945221</v>
      </c>
      <c r="W53" s="38">
        <f>_xll.MKV("EUR.PRICERISK.PXE."&amp;AA53, "EffPV1Basis")</f>
        <v>8.7950999999999997</v>
      </c>
      <c r="X53" s="110" t="str">
        <f ca="1">_xll.BCurveInt(SPF!$B$14,$X$2,TEXT(C53,"YYYYMMDD"),"Frequency=Annual","DayCount=D30_360_EOMC")</f>
        <v>#N/A Invalid object ID</v>
      </c>
      <c r="Y53" s="111">
        <f>DATEVALUE(_xll.BDP($AA53&amp;$C$1,Y$2))</f>
        <v>42248</v>
      </c>
      <c r="Z53" s="112">
        <f>_xll.BDP($AA53&amp;$C$1,Z$2)/1000000000</f>
        <v>17.829688000000004</v>
      </c>
      <c r="AA53" s="137" t="s">
        <v>676</v>
      </c>
      <c r="AB53" s="255"/>
      <c r="AC53" s="239">
        <v>-0.44077812828601481</v>
      </c>
      <c r="AD53" s="239">
        <v>-0.43630337078651699</v>
      </c>
      <c r="AE53" s="239">
        <v>-0.44770466321243529</v>
      </c>
      <c r="AF53" s="239">
        <v>-0.44253664036076668</v>
      </c>
      <c r="AG53" s="239">
        <v>-0.42057553956834531</v>
      </c>
      <c r="AH53" s="239">
        <v>-0.46406528189910973</v>
      </c>
      <c r="AI53" s="239">
        <v>-0.46884999999999999</v>
      </c>
    </row>
    <row r="54" spans="1:35" s="74" customFormat="1">
      <c r="A54" s="277" t="str">
        <f>_xll.MKV("EUR.CM_INSTRUMENT.PXE."&amp;$AA54, A$2)</f>
        <v>BTPS</v>
      </c>
      <c r="B54" s="277">
        <f>_xll.MKV("EUR.CM_INSTRUMENT.PXE."&amp;$AA54, B$2)</f>
        <v>4.5</v>
      </c>
      <c r="C54" s="278">
        <f>VLOOKUP(AA54,DB!$C$5:$S$236,2,FALSE)</f>
        <v>46082</v>
      </c>
      <c r="D54" s="279">
        <f>_xll.MKV($AA$1&amp;$AA54, D$2)</f>
        <v>127.66800000000001</v>
      </c>
      <c r="E54" s="279">
        <f>_xll.MKV($AA$1&amp;$AA54, E$2)</f>
        <v>1.3540000000000001</v>
      </c>
      <c r="F54" s="132">
        <f>VLOOKUP(AA54,DB!$C$5:$S$236,3,FALSE)</f>
        <v>1.2000000000000011</v>
      </c>
      <c r="G54" s="131" t="str">
        <f ca="1">VLOOKUP($AA54,DB!$C$5:$S$236,4,FALSE)</f>
        <v>99</v>
      </c>
      <c r="H54" s="133">
        <f>VLOOKUP($AA54,DB!$C$5:$S$236,5,FALSE)</f>
        <v>14.900000000000002</v>
      </c>
      <c r="I54" s="280" t="str">
        <f t="shared" si="7"/>
        <v/>
      </c>
      <c r="J54" s="280"/>
      <c r="K54" s="281" t="e">
        <f t="shared" ca="1" si="5"/>
        <v>#VALUE!</v>
      </c>
      <c r="L54" s="113">
        <f>(E54-E52)*36500/(C54-C52)</f>
        <v>17.915750915750934</v>
      </c>
      <c r="M54" s="114"/>
      <c r="N54" s="115">
        <f>(E54-E51)*36500/($C54-$C51)</f>
        <v>18.300000000000004</v>
      </c>
      <c r="O54" s="113" t="e">
        <f ca="1">(K54-K52)*365/(C54-C52)</f>
        <v>#VALUE!</v>
      </c>
      <c r="P54" s="115"/>
      <c r="Q54" s="131">
        <f>_xll.MKV($AA$1&amp;$AA54, Q$2)</f>
        <v>117.80000000000001</v>
      </c>
      <c r="R54" s="131"/>
      <c r="S54" s="279">
        <f>_xll.MKV($AA$1&amp;$AA54, S$2)</f>
        <v>105.30000000000001</v>
      </c>
      <c r="T54" s="279">
        <f t="shared" si="14"/>
        <v>1</v>
      </c>
      <c r="U54" s="282">
        <f t="shared" si="15"/>
        <v>46082</v>
      </c>
      <c r="V54" s="283">
        <f>IFERROR(_xll.MKV("EUR.CM_DEPTH.VMO_REPO."&amp;AA54&amp;"_SN_Fixed", V$2),4)</f>
        <v>-0.77203915171288739</v>
      </c>
      <c r="W54" s="284">
        <f>_xll.MKV("EUR.PRICERISK.PXE."&amp;AA54, "EffPV1Basis")</f>
        <v>10.050599999999999</v>
      </c>
      <c r="X54" s="285" t="str">
        <f ca="1">_xll.BCurveInt(SPF!$B$14,$X$2,TEXT(C54,"YYYYMMDD"),"Frequency=Annual","DayCount=D30_360_EOMC")</f>
        <v>#N/A Invalid object ID</v>
      </c>
      <c r="Y54" s="286">
        <f>DATEVALUE(_xll.BDP($AA54&amp;$C$1,Y$2))</f>
        <v>40450</v>
      </c>
      <c r="Z54" s="287">
        <f>_xll.BDP($AA54&amp;$C$1,Z$2)/1000000000</f>
        <v>20.733398000000001</v>
      </c>
      <c r="AA54" s="288" t="s">
        <v>466</v>
      </c>
      <c r="AB54" s="255"/>
      <c r="AC54" s="239">
        <v>-0.68667658730158754</v>
      </c>
      <c r="AD54" s="239">
        <v>-0.67556893900563819</v>
      </c>
      <c r="AE54" s="239">
        <v>-0.60549400760011673</v>
      </c>
      <c r="AF54" s="239">
        <v>-0.65176082365364296</v>
      </c>
      <c r="AG54" s="239">
        <v>-0.87686604584527239</v>
      </c>
      <c r="AH54" s="239">
        <v>-0.53355932203389833</v>
      </c>
      <c r="AI54" s="239">
        <v>-0.53164677804295946</v>
      </c>
    </row>
    <row r="55" spans="1:35" s="74" customFormat="1">
      <c r="A55" s="102" t="str">
        <f>_xll.MKV("EUR.CM_INSTRUMENT.PXE."&amp;$AA55, A$2)</f>
        <v>BTPS</v>
      </c>
      <c r="B55" s="102">
        <f>_xll.MKV("EUR.CM_INSTRUMENT.PXE."&amp;$AA55, B$2)</f>
        <v>1.6</v>
      </c>
      <c r="C55" s="103">
        <f>VLOOKUP(AA55,DB!$C$5:$S$236,2,FALSE)</f>
        <v>46174</v>
      </c>
      <c r="D55" s="104">
        <f>_xll.MKV($AA$1&amp;$AA55, D$2)</f>
        <v>101.876</v>
      </c>
      <c r="E55" s="104">
        <f>_xll.MKV($AA$1&amp;$AA55, E$2)</f>
        <v>1.3960000000000001</v>
      </c>
      <c r="F55" s="268">
        <f>VLOOKUP(AA55,DB!$C$5:$S$236,3,FALSE)</f>
        <v>1.4000000000000012</v>
      </c>
      <c r="G55" s="269" t="str">
        <f ca="1">VLOOKUP($AA55,DB!$C$5:$S$236,4,FALSE)</f>
        <v>99</v>
      </c>
      <c r="H55" s="270" t="str">
        <f ca="1">VLOOKUP($AA55,DB!$C$5:$S$236,5,FALSE)</f>
        <v>99</v>
      </c>
      <c r="I55" s="105" t="str">
        <f>IF(Y55&gt;$Y$1,"CAC", "")</f>
        <v>CAC</v>
      </c>
      <c r="J55" s="105"/>
      <c r="K55" s="106" t="e">
        <f t="shared" ca="1" si="5"/>
        <v>#VALUE!</v>
      </c>
      <c r="L55" s="271">
        <f>(E55-E53)*36500/(C55-C53)</f>
        <v>15.041208791208826</v>
      </c>
      <c r="M55" s="272">
        <f>(E55-E52)*36500/($C55-$C52)</f>
        <v>17.600000000000016</v>
      </c>
      <c r="N55" s="273">
        <f>(E55-E52)*36500/($C55-$C52)</f>
        <v>17.600000000000016</v>
      </c>
      <c r="O55" s="271" t="e">
        <f ca="1">(K55-K53)*365/(C55-C53)</f>
        <v>#VALUE!</v>
      </c>
      <c r="P55" s="273"/>
      <c r="Q55" s="107">
        <f>_xll.MKV($AA$1&amp;$AA55, Q$2)</f>
        <v>102.10000000000001</v>
      </c>
      <c r="R55" s="107"/>
      <c r="S55" s="104">
        <f>_xll.MKV($AA$1&amp;$AA55, S$2)</f>
        <v>104</v>
      </c>
      <c r="T55" s="104">
        <f t="shared" si="14"/>
        <v>6</v>
      </c>
      <c r="U55" s="108">
        <f t="shared" si="15"/>
        <v>46174</v>
      </c>
      <c r="V55" s="109">
        <f>IFERROR(_xll.MKV("EUR.CM_DEPTH.VMO_REPO."&amp;AA55&amp;"_SN_Fixed", V$2),4)</f>
        <v>-0.55211828859060408</v>
      </c>
      <c r="W55" s="38">
        <f>_xll.MKV("EUR.PRICERISK.PXE."&amp;AA55, "EffPV1Basis")</f>
        <v>9.0150000000000006</v>
      </c>
      <c r="X55" s="110" t="str">
        <f ca="1">_xll.BCurveInt(SPF!$B$14,$X$2,TEXT(C55,"YYYYMMDD"),"Frequency=Annual","DayCount=D30_360_EOMC")</f>
        <v>#N/A Invalid object ID</v>
      </c>
      <c r="Y55" s="111">
        <f>DATEVALUE(_xll.BDP($AA55&amp;$C$1,Y$2))</f>
        <v>42430</v>
      </c>
      <c r="Z55" s="112">
        <f>_xll.BDP($AA55&amp;$C$1,Z$2)/1000000000</f>
        <v>16.624500000000001</v>
      </c>
      <c r="AA55" s="137" t="s">
        <v>686</v>
      </c>
      <c r="AB55" s="255"/>
      <c r="AC55" s="239">
        <v>-0.53537255563047859</v>
      </c>
      <c r="AD55" s="239">
        <v>-0.46128160248930367</v>
      </c>
      <c r="AE55" s="239">
        <v>-0.45078671268656711</v>
      </c>
      <c r="AF55" s="239">
        <v>-0.51438811188811184</v>
      </c>
      <c r="AG55" s="239">
        <v>-0.49016032064128257</v>
      </c>
      <c r="AH55" s="239">
        <v>-0.41242187500000005</v>
      </c>
      <c r="AI55" s="239">
        <v>-0.43043269230769227</v>
      </c>
    </row>
    <row r="56" spans="1:35" s="74" customFormat="1">
      <c r="A56" s="102" t="str">
        <f>_xll.MKV("EUR.CM_INSTRUMENT.PXE."&amp;$AA56, A$2)</f>
        <v>BTPS</v>
      </c>
      <c r="B56" s="102">
        <f>_xll.MKV("EUR.CM_INSTRUMENT.PXE."&amp;$AA56, B$2)</f>
        <v>7.25</v>
      </c>
      <c r="C56" s="103">
        <f>VLOOKUP(AA56,DB!$C$5:$S$236,2,FALSE)</f>
        <v>46327</v>
      </c>
      <c r="D56" s="104">
        <f>_xll.MKV($AA$1&amp;$AA56, D$2)</f>
        <v>154.69200000000001</v>
      </c>
      <c r="E56" s="104">
        <f>_xll.MKV($AA$1&amp;$AA56, E$2)</f>
        <v>1.4020000000000001</v>
      </c>
      <c r="F56" s="268">
        <f>VLOOKUP(AA56,DB!$C$5:$S$236,3,FALSE)</f>
        <v>1.1000000000000121</v>
      </c>
      <c r="G56" s="269" t="str">
        <f ca="1">VLOOKUP($AA56,DB!$C$5:$S$236,4,FALSE)</f>
        <v>99</v>
      </c>
      <c r="H56" s="270">
        <f>VLOOKUP($AA56,DB!$C$5:$S$236,5,FALSE)</f>
        <v>13.400000000000013</v>
      </c>
      <c r="I56" s="105" t="str">
        <f t="shared" si="7"/>
        <v/>
      </c>
      <c r="J56" s="105"/>
      <c r="K56" s="106" t="e">
        <f t="shared" ca="1" si="5"/>
        <v>#VALUE!</v>
      </c>
      <c r="L56" s="271">
        <f>(E56-E54)*36500/(C56-C54)</f>
        <v>7.151020408163272</v>
      </c>
      <c r="M56" s="272"/>
      <c r="N56" s="273"/>
      <c r="O56" s="271" t="e">
        <f ca="1">(K56-K54)*365/(C56-C54)</f>
        <v>#VALUE!</v>
      </c>
      <c r="P56" s="273"/>
      <c r="Q56" s="107">
        <f>_xll.MKV($AA$1&amp;$AA56, Q$2)</f>
        <v>134.5</v>
      </c>
      <c r="R56" s="107"/>
      <c r="S56" s="104">
        <f>_xll.MKV($AA$1&amp;$AA56, S$2)</f>
        <v>106.9</v>
      </c>
      <c r="T56" s="104">
        <f t="shared" si="14"/>
        <v>2</v>
      </c>
      <c r="U56" s="108">
        <f t="shared" si="15"/>
        <v>46327</v>
      </c>
      <c r="V56" s="109">
        <f>IFERROR(_xll.MKV("EUR.CM_DEPTH.VMO_REPO."&amp;AA56&amp;"_SN_Fixed", V$2),4)</f>
        <v>-0.6620451237263465</v>
      </c>
      <c r="W56" s="38">
        <f>_xll.MKV("EUR.PRICERISK.PXE."&amp;AA56, "EffPV1Basis")</f>
        <v>12.0669</v>
      </c>
      <c r="X56" s="110" t="str">
        <f ca="1">_xll.BCurveInt(SPF!$B$14,$X$2,TEXT(C56,"YYYYMMDD"),"Frequency=Annual","DayCount=D30_360_EOMC")</f>
        <v>#N/A Invalid object ID</v>
      </c>
      <c r="Y56" s="111">
        <f>DATEVALUE(_xll.BDP($AA56&amp;$C$1,Y$2))</f>
        <v>35464</v>
      </c>
      <c r="Z56" s="112">
        <f>_xll.BDP($AA56&amp;$C$1,Z$2)/1000000000</f>
        <v>9.4178282230000008</v>
      </c>
      <c r="AA56" s="137" t="s">
        <v>467</v>
      </c>
      <c r="AB56" s="255"/>
      <c r="AC56" s="239">
        <v>-0.64885964912280714</v>
      </c>
      <c r="AD56" s="239">
        <v>-0.63158236994219641</v>
      </c>
      <c r="AE56" s="239">
        <v>-0.58405907172995786</v>
      </c>
      <c r="AF56" s="239">
        <v>-0.63920534458509148</v>
      </c>
      <c r="AG56" s="239">
        <v>-0.70180722891566272</v>
      </c>
      <c r="AH56" s="239">
        <v>-0.70354938271604939</v>
      </c>
      <c r="AI56" s="239">
        <v>-0.67126893939393939</v>
      </c>
    </row>
    <row r="57" spans="1:35" s="74" customFormat="1">
      <c r="A57" s="277" t="str">
        <f>_xll.MKV("EUR.CM_INSTRUMENT.PXE."&amp;$AA57, A$2)</f>
        <v>BTPS</v>
      </c>
      <c r="B57" s="277">
        <f>_xll.MKV("EUR.CM_INSTRUMENT.PXE."&amp;$AA57, B$2)</f>
        <v>1.25</v>
      </c>
      <c r="C57" s="278">
        <f>VLOOKUP(AA57,DB!$C$5:$S$236,2,FALSE)</f>
        <v>46357</v>
      </c>
      <c r="D57" s="279">
        <f>_xll.MKV($AA$1&amp;$AA57, D$2)</f>
        <v>98.126999999999995</v>
      </c>
      <c r="E57" s="279">
        <f>_xll.MKV($AA$1&amp;$AA57, E$2)</f>
        <v>1.4550000000000001</v>
      </c>
      <c r="F57" s="132">
        <f>VLOOKUP(AA57,DB!$C$5:$S$236,3,FALSE)</f>
        <v>1.5000000000000124</v>
      </c>
      <c r="G57" s="131" t="str">
        <f ca="1">VLOOKUP($AA57,DB!$C$5:$S$236,4,FALSE)</f>
        <v>99</v>
      </c>
      <c r="H57" s="133">
        <f>VLOOKUP($AA57,DB!$C$5:$S$236,5,FALSE)</f>
        <v>15.000000000000014</v>
      </c>
      <c r="I57" s="280" t="str">
        <f>IF(Y57&gt;$Y$1,"CAC", "")</f>
        <v>CAC</v>
      </c>
      <c r="J57" s="280">
        <f>(E57-E55)*100</f>
        <v>5.8999999999999941</v>
      </c>
      <c r="K57" s="281" t="e">
        <f ca="1">(E57-X57)*100</f>
        <v>#VALUE!</v>
      </c>
      <c r="L57" s="113">
        <f>(E57-E55)*36500/(C57-C55)</f>
        <v>11.767759562841517</v>
      </c>
      <c r="M57" s="114"/>
      <c r="N57" s="115"/>
      <c r="O57" s="113" t="e">
        <f ca="1">(K57-K55)*365/(C57-C55)</f>
        <v>#VALUE!</v>
      </c>
      <c r="P57" s="115"/>
      <c r="Q57" s="131">
        <f>_xll.MKV($AA$1&amp;$AA57, Q$2)</f>
        <v>100.60000000000001</v>
      </c>
      <c r="R57" s="131"/>
      <c r="S57" s="279">
        <f>_xll.MKV($AA$1&amp;$AA57, S$2)</f>
        <v>104.7</v>
      </c>
      <c r="T57" s="279">
        <f t="shared" si="14"/>
        <v>52</v>
      </c>
      <c r="U57" s="282">
        <f>C57</f>
        <v>46357</v>
      </c>
      <c r="V57" s="283">
        <f>IFERROR(_xll.MKV("EUR.CM_DEPTH.VMO_REPO."&amp;AA57&amp;"_SN_Fixed", V$2),4)</f>
        <v>-0.41257119072708115</v>
      </c>
      <c r="W57" s="284">
        <f>_xll.MKV("EUR.PRICERISK.PXE."&amp;AA57, "EffPV1Basis")</f>
        <v>9.2277000000000005</v>
      </c>
      <c r="X57" s="285" t="str">
        <f ca="1">_xll.BCurveInt(SPF!$B$14,$X$2,TEXT(C57,"YYYYMMDD"),"Frequency=Annual","DayCount=D30_360_EOMC")</f>
        <v>#N/A Invalid object ID</v>
      </c>
      <c r="Y57" s="286">
        <f>DATEVALUE(_xll.BDP($AA57&amp;$C$1,Y$2))</f>
        <v>42583</v>
      </c>
      <c r="Z57" s="287">
        <f>_xll.BDP($AA57&amp;$C$1,Z$2)/1000000000</f>
        <v>11.64</v>
      </c>
      <c r="AA57" s="288" t="s">
        <v>743</v>
      </c>
      <c r="AB57" s="255"/>
      <c r="AC57" s="239">
        <v>-0.40907894736842104</v>
      </c>
      <c r="AD57" s="239">
        <v>-0.40856366459627341</v>
      </c>
      <c r="AE57" s="239">
        <v>-0.41187699680511186</v>
      </c>
      <c r="AF57" s="239">
        <v>-0.40628915662650605</v>
      </c>
      <c r="AG57" s="239">
        <v>-0.49380216802168031</v>
      </c>
      <c r="AH57" s="239">
        <v>-0.40652582159624417</v>
      </c>
      <c r="AI57" s="239">
        <v>-0.48261730969760164</v>
      </c>
    </row>
    <row r="58" spans="1:35" s="74" customFormat="1">
      <c r="A58" s="102" t="str">
        <f>_xll.MKV("EUR.CM_INSTRUMENT.PXE."&amp;$AA58, A$2)</f>
        <v>BTPS</v>
      </c>
      <c r="B58" s="102">
        <f>_xll.MKV("EUR.CM_INSTRUMENT.PXE."&amp;$AA58, B$2)</f>
        <v>6.5</v>
      </c>
      <c r="C58" s="103">
        <f>VLOOKUP(AA58,DB!$C$5:$S$236,2,FALSE)</f>
        <v>46692</v>
      </c>
      <c r="D58" s="104">
        <f>_xll.MKV($AA$1&amp;$AA58, D$2)</f>
        <v>150.51</v>
      </c>
      <c r="E58" s="104">
        <f>_xll.MKV($AA$1&amp;$AA58, E$2)</f>
        <v>1.5230000000000001</v>
      </c>
      <c r="F58" s="268">
        <f>VLOOKUP(AA58,DB!$C$5:$S$236,3,FALSE)</f>
        <v>0.9000000000000119</v>
      </c>
      <c r="G58" s="269" t="str">
        <f ca="1">VLOOKUP($AA58,DB!$C$5:$S$236,4,FALSE)</f>
        <v>99</v>
      </c>
      <c r="H58" s="270">
        <f>VLOOKUP($AA58,DB!$C$5:$S$236,5,FALSE)</f>
        <v>14.700000000000024</v>
      </c>
      <c r="I58" s="105" t="str">
        <f t="shared" si="7"/>
        <v/>
      </c>
      <c r="J58" s="105"/>
      <c r="K58" s="106" t="e">
        <f t="shared" ca="1" si="5"/>
        <v>#VALUE!</v>
      </c>
      <c r="L58" s="271">
        <f>(E58-E56)*36500/(C58-C56)</f>
        <v>12.1</v>
      </c>
      <c r="M58" s="272"/>
      <c r="N58" s="273"/>
      <c r="O58" s="271" t="e">
        <f ca="1">(K58-K56)*365/(C58-C56)</f>
        <v>#VALUE!</v>
      </c>
      <c r="P58" s="273"/>
      <c r="Q58" s="107">
        <f>_xll.MKV($AA$1&amp;$AA58, Q$2)</f>
        <v>136.5</v>
      </c>
      <c r="R58" s="107"/>
      <c r="S58" s="104">
        <f>_xll.MKV($AA$1&amp;$AA58, S$2)</f>
        <v>111</v>
      </c>
      <c r="T58" s="104">
        <f t="shared" si="14"/>
        <v>5</v>
      </c>
      <c r="U58" s="108">
        <f t="shared" si="15"/>
        <v>46692</v>
      </c>
      <c r="V58" s="109">
        <f>IFERROR(_xll.MKV("EUR.CM_DEPTH.VMO_REPO."&amp;AA58&amp;"_SN_Fixed", V$2),4)</f>
        <v>-0.55699017199017209</v>
      </c>
      <c r="W58" s="38">
        <f>_xll.MKV("EUR.PRICERISK.PXE."&amp;AA58, "EffPV1Basis")</f>
        <v>12.8598</v>
      </c>
      <c r="X58" s="110" t="str">
        <f ca="1">_xll.BCurveInt(SPF!$B$14,$X$2,TEXT(C58,"YYYYMMDD"),"Frequency=Annual","DayCount=D30_360_EOMC")</f>
        <v>#N/A Invalid object ID</v>
      </c>
      <c r="Y58" s="111">
        <f>DATEVALUE(_xll.BDP($AA58&amp;$C$1,Y$2))</f>
        <v>35735</v>
      </c>
      <c r="Z58" s="112">
        <f>_xll.BDP($AA58&amp;$C$1,Z$2)/1000000000</f>
        <v>26.01313214748</v>
      </c>
      <c r="AA58" s="137" t="s">
        <v>468</v>
      </c>
      <c r="AB58" s="255"/>
      <c r="AC58" s="239">
        <v>-0.53844729344729347</v>
      </c>
      <c r="AD58" s="239">
        <v>-0.50257254158607334</v>
      </c>
      <c r="AE58" s="239">
        <v>-0.48809906291834004</v>
      </c>
      <c r="AF58" s="239">
        <v>-0.51738983050847476</v>
      </c>
      <c r="AG58" s="239">
        <v>-0.49113008130081304</v>
      </c>
      <c r="AH58" s="239">
        <v>-0.53225301204819275</v>
      </c>
      <c r="AI58" s="239">
        <v>-0.49066037735849055</v>
      </c>
    </row>
    <row r="59" spans="1:35" s="74" customFormat="1">
      <c r="A59" s="102" t="str">
        <f>_xll.MKV("EUR.CM_INSTRUMENT.PXE."&amp;$AA59, A$2)</f>
        <v>BTPS</v>
      </c>
      <c r="B59" s="102">
        <f>_xll.MKV("EUR.CM_INSTRUMENT.PXE."&amp;$AA59, B$2)</f>
        <v>4.75</v>
      </c>
      <c r="C59" s="103">
        <f>VLOOKUP(AA59,DB!$C$5:$S$236,2,FALSE)</f>
        <v>46997</v>
      </c>
      <c r="D59" s="104">
        <f>_xll.MKV($AA$1&amp;$AA59, D$2)</f>
        <v>134.03</v>
      </c>
      <c r="E59" s="104">
        <f>_xll.MKV($AA$1&amp;$AA59, E$2)</f>
        <v>1.6</v>
      </c>
      <c r="F59" s="268">
        <f>VLOOKUP(AA59,DB!$C$5:$S$236,3,FALSE)</f>
        <v>0.9000000000000119</v>
      </c>
      <c r="G59" s="269" t="str">
        <f ca="1">VLOOKUP($AA59,DB!$C$5:$S$236,4,FALSE)</f>
        <v>99</v>
      </c>
      <c r="H59" s="270">
        <f>VLOOKUP($AA59,DB!$C$5:$S$236,5,FALSE)</f>
        <v>15.800000000000015</v>
      </c>
      <c r="I59" s="105" t="str">
        <f t="shared" si="7"/>
        <v>CAC</v>
      </c>
      <c r="J59" s="105"/>
      <c r="K59" s="106" t="e">
        <f t="shared" ca="1" si="5"/>
        <v>#VALUE!</v>
      </c>
      <c r="L59" s="271">
        <f t="shared" ref="L59:L70" si="26">(E59-E58)*36500/(C59-C58)</f>
        <v>9.2147540983606504</v>
      </c>
      <c r="M59" s="272">
        <f>(E59-E52)*36500/($C59-$C52)</f>
        <v>11.675084175084178</v>
      </c>
      <c r="N59" s="273"/>
      <c r="O59" s="271" t="e">
        <f t="shared" ref="O59:O70" ca="1" si="27">(K59-K58)*365/(C59-C58)</f>
        <v>#VALUE!</v>
      </c>
      <c r="P59" s="273"/>
      <c r="Q59" s="107">
        <f>_xll.MKV($AA$1&amp;$AA59, Q$2)</f>
        <v>126.5</v>
      </c>
      <c r="R59" s="107"/>
      <c r="S59" s="104">
        <f>_xll.MKV($AA$1&amp;$AA59, S$2)</f>
        <v>111</v>
      </c>
      <c r="T59" s="104">
        <f t="shared" si="14"/>
        <v>23</v>
      </c>
      <c r="U59" s="108">
        <f t="shared" si="15"/>
        <v>46997</v>
      </c>
      <c r="V59" s="109">
        <f>IFERROR(_xll.MKV("EUR.CM_DEPTH.VMO_REPO."&amp;AA59&amp;"_SN_Fixed", V$2),4)</f>
        <v>-0.44666666666666666</v>
      </c>
      <c r="W59" s="38">
        <f>_xll.MKV("EUR.PRICERISK.PXE."&amp;AA59, "EffPV1Basis")</f>
        <v>12.7126</v>
      </c>
      <c r="X59" s="110" t="str">
        <f ca="1">_xll.BCurveInt(SPF!$B$14,$X$2,TEXT(C59,"YYYYMMDD"),"Frequency=Annual","DayCount=D30_360_EOMC")</f>
        <v>#N/A Invalid object ID</v>
      </c>
      <c r="Y59" s="111">
        <f>DATEVALUE(_xll.BDP($AA59&amp;$C$1,Y$2))</f>
        <v>41296</v>
      </c>
      <c r="Z59" s="112">
        <f>_xll.BDP($AA59&amp;$C$1,Z$2)/1000000000</f>
        <v>21.783653999999999</v>
      </c>
      <c r="AA59" s="137" t="s">
        <v>469</v>
      </c>
      <c r="AB59" s="255"/>
      <c r="AC59" s="239">
        <v>-0.45655310621242484</v>
      </c>
      <c r="AD59" s="239">
        <v>-0.45291489361702131</v>
      </c>
      <c r="AE59" s="239">
        <v>-0.47523928770172513</v>
      </c>
      <c r="AF59" s="239">
        <v>-0.43883423180592984</v>
      </c>
      <c r="AG59" s="239">
        <v>-0.45113888888888887</v>
      </c>
      <c r="AH59" s="239">
        <v>-0.44132246376811596</v>
      </c>
      <c r="AI59" s="239">
        <v>-0.44934782608695656</v>
      </c>
    </row>
    <row r="60" spans="1:35" s="74" customFormat="1">
      <c r="A60" s="102" t="str">
        <f>_xll.MKV("EUR.CM_INSTRUMENT.PXE."&amp;$AA60, A$2)</f>
        <v>BTPS</v>
      </c>
      <c r="B60" s="102">
        <f>_xll.MKV("EUR.CM_INSTRUMENT.PXE."&amp;$AA60, B$2)</f>
        <v>5.25</v>
      </c>
      <c r="C60" s="103">
        <f>VLOOKUP(AA60,DB!$C$5:$S$236,2,FALSE)</f>
        <v>47423</v>
      </c>
      <c r="D60" s="104">
        <f>_xll.MKV($AA$1&amp;$AA60, D$2)</f>
        <v>141.84</v>
      </c>
      <c r="E60" s="104">
        <f>_xll.MKV($AA$1&amp;$AA60, E$2)</f>
        <v>1.675</v>
      </c>
      <c r="F60" s="268">
        <f>VLOOKUP(AA60,DB!$C$5:$S$236,3,FALSE)</f>
        <v>0.9000000000000119</v>
      </c>
      <c r="G60" s="269" t="str">
        <f ca="1">VLOOKUP($AA60,DB!$C$5:$S$236,4,FALSE)</f>
        <v>99</v>
      </c>
      <c r="H60" s="270">
        <f>VLOOKUP($AA60,DB!$C$5:$S$236,5,FALSE)</f>
        <v>15.199999999999992</v>
      </c>
      <c r="I60" s="105" t="str">
        <f t="shared" si="7"/>
        <v/>
      </c>
      <c r="J60" s="105"/>
      <c r="K60" s="106" t="e">
        <f t="shared" ca="1" si="5"/>
        <v>#VALUE!</v>
      </c>
      <c r="L60" s="271">
        <f t="shared" si="26"/>
        <v>6.4260563380281646</v>
      </c>
      <c r="M60" s="272"/>
      <c r="N60" s="273"/>
      <c r="O60" s="271" t="e">
        <f t="shared" ca="1" si="27"/>
        <v>#VALUE!</v>
      </c>
      <c r="P60" s="273"/>
      <c r="Q60" s="107">
        <f>_xll.MKV($AA$1&amp;$AA60, Q$2)</f>
        <v>132.6</v>
      </c>
      <c r="R60" s="107"/>
      <c r="S60" s="104">
        <f>_xll.MKV($AA$1&amp;$AA60, S$2)</f>
        <v>112</v>
      </c>
      <c r="T60" s="104">
        <f t="shared" si="14"/>
        <v>34</v>
      </c>
      <c r="U60" s="108">
        <f t="shared" si="15"/>
        <v>47423</v>
      </c>
      <c r="V60" s="109">
        <f>IFERROR(_xll.MKV("EUR.CM_DEPTH.VMO_REPO."&amp;AA60&amp;"_SN_Fixed", V$2),4)</f>
        <v>-0.43029347826086956</v>
      </c>
      <c r="W60" s="38">
        <f>_xll.MKV("EUR.PRICERISK.PXE."&amp;AA60, "EffPV1Basis")</f>
        <v>14.2804</v>
      </c>
      <c r="X60" s="110" t="str">
        <f ca="1">_xll.BCurveInt(SPF!$B$14,$X$2,TEXT(C60,"YYYYMMDD"),"Frequency=Annual","DayCount=D30_360_EOMC")</f>
        <v>#N/A Invalid object ID</v>
      </c>
      <c r="Y60" s="111">
        <f>DATEVALUE(_xll.BDP($AA60&amp;$C$1,Y$2))</f>
        <v>36117</v>
      </c>
      <c r="Z60" s="112">
        <f>_xll.BDP($AA60&amp;$C$1,Z$2)/1000000000</f>
        <v>28.148499209000001</v>
      </c>
      <c r="AA60" s="137" t="s">
        <v>470</v>
      </c>
      <c r="AB60" s="255"/>
      <c r="AC60" s="239">
        <v>-0.43112686567164188</v>
      </c>
      <c r="AD60" s="239">
        <v>-0.42948247078464108</v>
      </c>
      <c r="AE60" s="239">
        <v>-0.42829741379310349</v>
      </c>
      <c r="AF60" s="239">
        <v>-0.44219961240310079</v>
      </c>
      <c r="AG60" s="239">
        <v>-0.48926190476190468</v>
      </c>
      <c r="AH60" s="239">
        <v>-0.40018867924528301</v>
      </c>
      <c r="AI60" s="239">
        <v>-0.4363333333333333</v>
      </c>
    </row>
    <row r="61" spans="1:35" s="74" customFormat="1">
      <c r="A61" s="102" t="str">
        <f>_xll.MKV("EUR.CM_INSTRUMENT.PXE."&amp;$AA61, A$2)</f>
        <v>BTPS</v>
      </c>
      <c r="B61" s="102">
        <f>_xll.MKV("EUR.CM_INSTRUMENT.PXE."&amp;$AA61, B$2)</f>
        <v>3.5</v>
      </c>
      <c r="C61" s="103">
        <f>VLOOKUP(AA61,DB!$C$5:$S$236,2,FALSE)</f>
        <v>47543</v>
      </c>
      <c r="D61" s="104">
        <f>_xll.MKV($AA$1&amp;$AA61, D$2)</f>
        <v>121.4</v>
      </c>
      <c r="E61" s="104">
        <f>_xll.MKV($AA$1&amp;$AA61, E$2)</f>
        <v>1.712</v>
      </c>
      <c r="F61" s="268">
        <f>VLOOKUP(AA61,DB!$C$5:$S$236,3,FALSE)</f>
        <v>1.0000000000000009</v>
      </c>
      <c r="G61" s="269" t="str">
        <f ca="1">VLOOKUP($AA61,DB!$C$5:$S$236,4,FALSE)</f>
        <v>99</v>
      </c>
      <c r="H61" s="270">
        <f>VLOOKUP($AA61,DB!$C$5:$S$236,5,FALSE)</f>
        <v>17.199999999999992</v>
      </c>
      <c r="I61" s="105" t="str">
        <f t="shared" si="7"/>
        <v>CAC</v>
      </c>
      <c r="J61" s="105"/>
      <c r="K61" s="106" t="e">
        <f t="shared" ca="1" si="5"/>
        <v>#VALUE!</v>
      </c>
      <c r="L61" s="271">
        <f t="shared" si="26"/>
        <v>11.254166666666642</v>
      </c>
      <c r="M61" s="272">
        <f>(E61-E59)*36500/($C61-$C59)</f>
        <v>7.4871794871794792</v>
      </c>
      <c r="N61" s="273"/>
      <c r="O61" s="271" t="e">
        <f t="shared" ca="1" si="27"/>
        <v>#VALUE!</v>
      </c>
      <c r="P61" s="273"/>
      <c r="Q61" s="107">
        <f>_xll.MKV($AA$1&amp;$AA61, Q$2)</f>
        <v>119.60000000000001</v>
      </c>
      <c r="R61" s="107"/>
      <c r="S61" s="104">
        <f>_xll.MKV($AA$1&amp;$AA61, S$2)</f>
        <v>111</v>
      </c>
      <c r="T61" s="104">
        <f t="shared" si="14"/>
        <v>17</v>
      </c>
      <c r="U61" s="108">
        <f t="shared" si="15"/>
        <v>47543</v>
      </c>
      <c r="V61" s="109">
        <f>IFERROR(_xll.MKV("EUR.CM_DEPTH.VMO_REPO."&amp;AA61&amp;"_SN_Fixed", V$2),4)</f>
        <v>-0.46081155119825717</v>
      </c>
      <c r="W61" s="38">
        <f>_xll.MKV("EUR.PRICERISK.PXE."&amp;AA61, "EffPV1Basis")</f>
        <v>13.2272</v>
      </c>
      <c r="X61" s="110" t="str">
        <f ca="1">_xll.BCurveInt(SPF!$B$14,$X$2,TEXT(C61,"YYYYMMDD"),"Frequency=Annual","DayCount=D30_360_EOMC")</f>
        <v>#N/A Invalid object ID</v>
      </c>
      <c r="Y61" s="111">
        <f>DATEVALUE(_xll.BDP($AA61&amp;$C$1,Y$2))</f>
        <v>41780</v>
      </c>
      <c r="Z61" s="112">
        <f>_xll.BDP($AA61&amp;$C$1,Z$2)/1000000000</f>
        <v>21.956499999999998</v>
      </c>
      <c r="AA61" s="137" t="s">
        <v>471</v>
      </c>
      <c r="AB61" s="255"/>
      <c r="AC61" s="239">
        <v>-0.46109841827768028</v>
      </c>
      <c r="AD61" s="239">
        <v>-0.47147530468248883</v>
      </c>
      <c r="AE61" s="239">
        <v>-0.43394482758620689</v>
      </c>
      <c r="AF61" s="239">
        <v>-0.4472843776223776</v>
      </c>
      <c r="AG61" s="239">
        <v>-0.45937188434695914</v>
      </c>
      <c r="AH61" s="239">
        <v>-0.45198795180722895</v>
      </c>
      <c r="AI61" s="239">
        <v>-0.48304560260586327</v>
      </c>
    </row>
    <row r="62" spans="1:35" s="74" customFormat="1">
      <c r="A62" s="102" t="str">
        <f>_xll.MKV("EUR.CM_INSTRUMENT.PXE."&amp;$AA62, A$2)</f>
        <v>BTPS</v>
      </c>
      <c r="B62" s="102">
        <f>_xll.MKV("EUR.CM_INSTRUMENT.PXE."&amp;$AA62, B$2)</f>
        <v>6</v>
      </c>
      <c r="C62" s="103">
        <f>VLOOKUP(AA62,DB!$C$5:$S$236,2,FALSE)</f>
        <v>47969</v>
      </c>
      <c r="D62" s="104">
        <f>_xll.MKV($AA$1&amp;$AA62, D$2)</f>
        <v>153.93</v>
      </c>
      <c r="E62" s="104">
        <f>_xll.MKV($AA$1&amp;$AA62, E$2)</f>
        <v>1.784</v>
      </c>
      <c r="F62" s="268">
        <f>VLOOKUP(AA62,DB!$C$5:$S$236,3,FALSE)</f>
        <v>0.80000000000000071</v>
      </c>
      <c r="G62" s="269" t="str">
        <f ca="1">VLOOKUP($AA62,DB!$C$5:$S$236,4,FALSE)</f>
        <v>99</v>
      </c>
      <c r="H62" s="270">
        <f>VLOOKUP($AA62,DB!$C$5:$S$236,5,FALSE)</f>
        <v>16.399999999999991</v>
      </c>
      <c r="I62" s="105" t="str">
        <f t="shared" si="7"/>
        <v/>
      </c>
      <c r="J62" s="105"/>
      <c r="K62" s="106" t="e">
        <f t="shared" ca="1" si="5"/>
        <v>#VALUE!</v>
      </c>
      <c r="L62" s="271">
        <f t="shared" si="26"/>
        <v>6.1690140845070474</v>
      </c>
      <c r="M62" s="272"/>
      <c r="N62" s="273"/>
      <c r="O62" s="271" t="e">
        <f t="shared" ca="1" si="27"/>
        <v>#VALUE!</v>
      </c>
      <c r="P62" s="273"/>
      <c r="Q62" s="107">
        <f>_xll.MKV($AA$1&amp;$AA62, Q$2)</f>
        <v>144.70000000000002</v>
      </c>
      <c r="R62" s="107"/>
      <c r="S62" s="104">
        <f>_xll.MKV($AA$1&amp;$AA62, S$2)</f>
        <v>116</v>
      </c>
      <c r="T62" s="104">
        <f t="shared" si="14"/>
        <v>13</v>
      </c>
      <c r="U62" s="108">
        <f t="shared" si="15"/>
        <v>47969</v>
      </c>
      <c r="V62" s="109">
        <f>IFERROR(_xll.MKV("EUR.CM_DEPTH.VMO_REPO."&amp;AA62&amp;"_SN_Fixed", V$2),4)</f>
        <v>-0.4698435870698644</v>
      </c>
      <c r="W62" s="38">
        <f>_xll.MKV("EUR.PRICERISK.PXE."&amp;AA62, "EffPV1Basis")</f>
        <v>16.485600000000002</v>
      </c>
      <c r="X62" s="110" t="str">
        <f ca="1">_xll.BCurveInt(SPF!$B$14,$X$2,TEXT(C62,"YYYYMMDD"),"Frequency=Annual","DayCount=D30_360_EOMC")</f>
        <v>#N/A Invalid object ID</v>
      </c>
      <c r="Y62" s="111">
        <f>DATEVALUE(_xll.BDP($AA62&amp;$C$1,Y$2))</f>
        <v>36602</v>
      </c>
      <c r="Z62" s="112">
        <f>_xll.BDP($AA62&amp;$C$1,Z$2)/1000000000</f>
        <v>29.76275</v>
      </c>
      <c r="AA62" s="137" t="s">
        <v>472</v>
      </c>
      <c r="AB62" s="255"/>
      <c r="AC62" s="239">
        <v>-0.47094069529652355</v>
      </c>
      <c r="AD62" s="239">
        <v>-0.48332810867293613</v>
      </c>
      <c r="AE62" s="239">
        <v>-0.49847723704866564</v>
      </c>
      <c r="AF62" s="239">
        <v>-0.48259098786828419</v>
      </c>
      <c r="AG62" s="239">
        <v>-0.56652495378927903</v>
      </c>
      <c r="AH62" s="239">
        <v>-0.47550000000000009</v>
      </c>
      <c r="AI62" s="239">
        <v>-0.49441860465116272</v>
      </c>
    </row>
    <row r="63" spans="1:35" s="74" customFormat="1">
      <c r="A63" s="277" t="str">
        <f>_xll.MKV("EUR.CM_INSTRUMENT.PXE."&amp;$AA63, A$2)</f>
        <v>BTPS</v>
      </c>
      <c r="B63" s="277">
        <f>_xll.MKV("EUR.CM_INSTRUMENT.PXE."&amp;$AA63, B$2)</f>
        <v>1.65</v>
      </c>
      <c r="C63" s="278">
        <f>VLOOKUP(AA63,DB!$C$5:$S$236,2,FALSE)</f>
        <v>48274</v>
      </c>
      <c r="D63" s="279">
        <f>_xll.MKV($AA$1&amp;$AA63, D$2)</f>
        <v>98.14</v>
      </c>
      <c r="E63" s="279">
        <f>_xll.MKV($AA$1&amp;$AA63, E$2)</f>
        <v>1.7969999999999999</v>
      </c>
      <c r="F63" s="132">
        <f>VLOOKUP(AA63,DB!$C$5:$S$236,3,FALSE)</f>
        <v>1.1999999999999789</v>
      </c>
      <c r="G63" s="131" t="str">
        <f ca="1">VLOOKUP($AA63,DB!$C$5:$S$236,4,FALSE)</f>
        <v>99</v>
      </c>
      <c r="H63" s="133">
        <f>VLOOKUP($AA63,DB!$C$5:$S$236,5,FALSE)</f>
        <v>17.599999999999994</v>
      </c>
      <c r="I63" s="280" t="str">
        <f t="shared" si="7"/>
        <v>CAC</v>
      </c>
      <c r="J63" s="280">
        <f>(E63-E61)*100</f>
        <v>8.4999999999999964</v>
      </c>
      <c r="K63" s="281" t="e">
        <f t="shared" ca="1" si="5"/>
        <v>#VALUE!</v>
      </c>
      <c r="L63" s="113">
        <f t="shared" si="26"/>
        <v>1.5557377049180208</v>
      </c>
      <c r="M63" s="114">
        <f>(E63-E61)*36500/($C63-$C61)</f>
        <v>4.2441860465116257</v>
      </c>
      <c r="N63" s="115"/>
      <c r="O63" s="113" t="e">
        <f t="shared" ca="1" si="27"/>
        <v>#VALUE!</v>
      </c>
      <c r="P63" s="115"/>
      <c r="Q63" s="131">
        <f>_xll.MKV($AA$1&amp;$AA63, Q$2)</f>
        <v>100.30000000000001</v>
      </c>
      <c r="R63" s="131"/>
      <c r="S63" s="279">
        <f>_xll.MKV($AA$1&amp;$AA63, S$2)</f>
        <v>106</v>
      </c>
      <c r="T63" s="279">
        <f t="shared" si="14"/>
        <v>18</v>
      </c>
      <c r="U63" s="282">
        <f t="shared" si="15"/>
        <v>48274</v>
      </c>
      <c r="V63" s="283">
        <f>IFERROR(_xll.MKV("EUR.CM_DEPTH.VMO_REPO."&amp;AA63&amp;"_SN_Fixed", V$2),4)</f>
        <v>-0.4608022922636103</v>
      </c>
      <c r="W63" s="284">
        <f>_xll.MKV("EUR.PRICERISK.PXE."&amp;AA63, "EffPV1Basis")</f>
        <v>13.1381</v>
      </c>
      <c r="X63" s="285" t="str">
        <f ca="1">_xll.BCurveInt(SPF!$B$14,$X$2,TEXT(C63,"YYYYMMDD"),"Frequency=Annual","DayCount=D30_360_EOMC")</f>
        <v>#N/A Invalid object ID</v>
      </c>
      <c r="Y63" s="286">
        <f>DATEVALUE(_xll.BDP($AA63&amp;$C$1,Y$2))</f>
        <v>42087</v>
      </c>
      <c r="Z63" s="287">
        <f>_xll.BDP($AA63&amp;$C$1,Z$2)/1000000000</f>
        <v>18.891832999999998</v>
      </c>
      <c r="AA63" s="288" t="s">
        <v>473</v>
      </c>
      <c r="AB63" s="255"/>
      <c r="AC63" s="239">
        <v>-0.4545126353790615</v>
      </c>
      <c r="AD63" s="239">
        <v>-0.44003189792663472</v>
      </c>
      <c r="AE63" s="239">
        <v>-0.43649147140649153</v>
      </c>
      <c r="AF63" s="239">
        <v>-0.44191304347826094</v>
      </c>
      <c r="AG63" s="239">
        <v>-0.43962562396006649</v>
      </c>
      <c r="AH63" s="239">
        <v>-0.40733668341708551</v>
      </c>
      <c r="AI63" s="239">
        <v>-0.52020000000000011</v>
      </c>
    </row>
    <row r="64" spans="1:35" s="74" customFormat="1">
      <c r="A64" s="102" t="str">
        <f>_xll.MKV("EUR.CM_INSTRUMENT.PXE."&amp;$AA64, A$2)</f>
        <v>BTPS</v>
      </c>
      <c r="B64" s="102">
        <f>_xll.MKV("EUR.CM_INSTRUMENT.PXE."&amp;$AA64, B$2)</f>
        <v>5.75</v>
      </c>
      <c r="C64" s="103">
        <f>VLOOKUP(AA64,DB!$C$5:$S$236,2,FALSE)</f>
        <v>48611</v>
      </c>
      <c r="D64" s="104">
        <f>_xll.MKV($AA$1&amp;$AA64, D$2)</f>
        <v>153.97999999999999</v>
      </c>
      <c r="E64" s="104">
        <f>_xll.MKV($AA$1&amp;$AA64, E$2)</f>
        <v>1.8960000000000001</v>
      </c>
      <c r="F64" s="268">
        <f>VLOOKUP(AA64,DB!$C$5:$S$236,3,FALSE)</f>
        <v>0.9000000000000119</v>
      </c>
      <c r="G64" s="269" t="str">
        <f ca="1">VLOOKUP($AA64,DB!$C$5:$S$236,4,FALSE)</f>
        <v>99</v>
      </c>
      <c r="H64" s="270">
        <f>VLOOKUP($AA64,DB!$C$5:$S$236,5,FALSE)</f>
        <v>17.400000000000016</v>
      </c>
      <c r="I64" s="105" t="str">
        <f t="shared" si="7"/>
        <v/>
      </c>
      <c r="J64" s="105"/>
      <c r="K64" s="106" t="e">
        <f t="shared" ca="1" si="5"/>
        <v>#VALUE!</v>
      </c>
      <c r="L64" s="271">
        <f t="shared" si="26"/>
        <v>10.722551928783405</v>
      </c>
      <c r="M64" s="272"/>
      <c r="N64" s="273"/>
      <c r="O64" s="271" t="e">
        <f t="shared" ca="1" si="27"/>
        <v>#VALUE!</v>
      </c>
      <c r="P64" s="273"/>
      <c r="Q64" s="107">
        <f>_xll.MKV($AA$1&amp;$AA64, Q$2)</f>
        <v>150.5</v>
      </c>
      <c r="R64" s="107"/>
      <c r="S64" s="104">
        <f>_xll.MKV($AA$1&amp;$AA64, S$2)</f>
        <v>121</v>
      </c>
      <c r="T64" s="104">
        <f t="shared" si="14"/>
        <v>12</v>
      </c>
      <c r="U64" s="108">
        <f t="shared" si="15"/>
        <v>48611</v>
      </c>
      <c r="V64" s="109">
        <f>IFERROR(_xll.MKV("EUR.CM_DEPTH.VMO_REPO."&amp;AA64&amp;"_SN_Fixed", V$2),4)</f>
        <v>-0.488320399113082</v>
      </c>
      <c r="W64" s="38">
        <f>_xll.MKV("EUR.PRICERISK.PXE."&amp;AA64, "EffPV1Basis")</f>
        <v>18.0776</v>
      </c>
      <c r="X64" s="110" t="str">
        <f ca="1">_xll.BCurveInt(SPF!$B$14,$X$2,TEXT(C64,"YYYYMMDD"),"Frequency=Annual","DayCount=D30_360_EOMC")</f>
        <v>#N/A Invalid object ID</v>
      </c>
      <c r="Y64" s="111">
        <f>DATEVALUE(_xll.BDP($AA64&amp;$C$1,Y$2))</f>
        <v>37333</v>
      </c>
      <c r="Z64" s="112">
        <f>_xll.BDP($AA64&amp;$C$1,Z$2)/1000000000</f>
        <v>15.454000000000001</v>
      </c>
      <c r="AA64" s="137" t="s">
        <v>474</v>
      </c>
      <c r="AB64" s="255"/>
      <c r="AC64" s="239">
        <v>-0.48721297836938443</v>
      </c>
      <c r="AD64" s="239">
        <v>-0.48154210526315777</v>
      </c>
      <c r="AE64" s="239">
        <v>-0.50325732899022813</v>
      </c>
      <c r="AF64" s="239">
        <v>-0.55508867667121431</v>
      </c>
      <c r="AG64" s="239">
        <v>-0.55271912350597607</v>
      </c>
      <c r="AH64" s="239">
        <v>-0.49462365591397855</v>
      </c>
      <c r="AI64" s="239">
        <v>-0.63611111111111107</v>
      </c>
    </row>
    <row r="65" spans="1:35" s="74" customFormat="1">
      <c r="A65" s="102" t="str">
        <f>_xll.MKV("EUR.CM_INSTRUMENT.PXE."&amp;$AA65, A$2)</f>
        <v>BTPS</v>
      </c>
      <c r="B65" s="102">
        <f>_xll.MKV("EUR.CM_INSTRUMENT.PXE."&amp;$AA65, B$2)</f>
        <v>5</v>
      </c>
      <c r="C65" s="103">
        <f>VLOOKUP(AA65,DB!$C$5:$S$236,2,FALSE)</f>
        <v>49157</v>
      </c>
      <c r="D65" s="104">
        <f>_xll.MKV($AA$1&amp;$AA65, D$2)</f>
        <v>144.62</v>
      </c>
      <c r="E65" s="104">
        <f>_xll.MKV($AA$1&amp;$AA65, E$2)</f>
        <v>2.016</v>
      </c>
      <c r="F65" s="268">
        <f>VLOOKUP(AA65,DB!$C$5:$S$236,3,FALSE)</f>
        <v>0.8999999999999897</v>
      </c>
      <c r="G65" s="269" t="str">
        <f ca="1">VLOOKUP($AA65,DB!$C$5:$S$236,4,FALSE)</f>
        <v>99</v>
      </c>
      <c r="H65" s="270">
        <f>VLOOKUP($AA65,DB!$C$5:$S$236,5,FALSE)</f>
        <v>18.300000000000004</v>
      </c>
      <c r="I65" s="105" t="str">
        <f t="shared" si="7"/>
        <v/>
      </c>
      <c r="J65" s="105"/>
      <c r="K65" s="106" t="e">
        <f t="shared" ca="1" si="5"/>
        <v>#VALUE!</v>
      </c>
      <c r="L65" s="271">
        <f t="shared" si="26"/>
        <v>8.021978021978013</v>
      </c>
      <c r="M65" s="272"/>
      <c r="N65" s="273"/>
      <c r="O65" s="271" t="e">
        <f t="shared" ca="1" si="27"/>
        <v>#VALUE!</v>
      </c>
      <c r="P65" s="273"/>
      <c r="Q65" s="107">
        <f>_xll.MKV($AA$1&amp;$AA65, Q$2)</f>
        <v>152.80000000000001</v>
      </c>
      <c r="R65" s="107"/>
      <c r="S65" s="104">
        <f>_xll.MKV($AA$1&amp;$AA65, S$2)</f>
        <v>128</v>
      </c>
      <c r="T65" s="104">
        <f t="shared" si="14"/>
        <v>47</v>
      </c>
      <c r="U65" s="108">
        <f t="shared" si="15"/>
        <v>49157</v>
      </c>
      <c r="V65" s="109">
        <f>IFERROR(_xll.MKV("EUR.CM_DEPTH.VMO_REPO."&amp;AA65&amp;"_SN_Fixed", V$2),4)</f>
        <v>-0.41698224852071014</v>
      </c>
      <c r="W65" s="38">
        <f>_xll.MKV("EUR.PRICERISK.PXE."&amp;AA65, "EffPV1Basis")</f>
        <v>18.5319</v>
      </c>
      <c r="X65" s="110" t="str">
        <f ca="1">_xll.BCurveInt(SPF!$B$14,$X$2,TEXT(C65,"YYYYMMDD"),"Frequency=Annual","DayCount=D30_360_EOMC")</f>
        <v>#N/A Invalid object ID</v>
      </c>
      <c r="Y65" s="111">
        <f>DATEVALUE(_xll.BDP($AA65&amp;$C$1,Y$2))</f>
        <v>37888</v>
      </c>
      <c r="Z65" s="112">
        <f>_xll.BDP($AA65&amp;$C$1,Z$2)/1000000000</f>
        <v>23.742920999999999</v>
      </c>
      <c r="AA65" s="137" t="s">
        <v>475</v>
      </c>
      <c r="AB65" s="255"/>
      <c r="AC65" s="239">
        <v>-0.41798122065727705</v>
      </c>
      <c r="AD65" s="239">
        <v>-0.41882483370288237</v>
      </c>
      <c r="AE65" s="239">
        <v>-0.42959183673469387</v>
      </c>
      <c r="AF65" s="239">
        <v>-0.4350871080139373</v>
      </c>
      <c r="AG65" s="239">
        <v>-0.45413265306122447</v>
      </c>
      <c r="AH65" s="239">
        <v>-0.50466858789625357</v>
      </c>
      <c r="AI65" s="239">
        <v>-0.44298245614035087</v>
      </c>
    </row>
    <row r="66" spans="1:35" s="74" customFormat="1">
      <c r="A66" s="277" t="str">
        <f>_xll.MKV("EUR.CM_INSTRUMENT.PXE."&amp;$AA66, A$2)</f>
        <v>BTPS</v>
      </c>
      <c r="B66" s="277">
        <f>_xll.MKV("EUR.CM_INSTRUMENT.PXE."&amp;$AA66, B$2)</f>
        <v>2.25</v>
      </c>
      <c r="C66" s="278">
        <f>VLOOKUP(AA66,DB!$C$5:$S$236,2,FALSE)</f>
        <v>49919</v>
      </c>
      <c r="D66" s="279">
        <f>_xll.MKV($AA$1&amp;$AA66, D$2)</f>
        <v>102.51</v>
      </c>
      <c r="E66" s="279">
        <f>_xll.MKV($AA$1&amp;$AA66, E$2)</f>
        <v>2.1059999999999999</v>
      </c>
      <c r="F66" s="132">
        <f>VLOOKUP(AA66,DB!$C$5:$S$236,3,FALSE)</f>
        <v>0.8999999999999897</v>
      </c>
      <c r="G66" s="131" t="str">
        <f ca="1">VLOOKUP($AA66,DB!$C$5:$S$236,4,FALSE)</f>
        <v>99</v>
      </c>
      <c r="H66" s="133">
        <f>VLOOKUP($AA66,DB!$C$5:$S$236,5,FALSE)</f>
        <v>17.199999999999971</v>
      </c>
      <c r="I66" s="280" t="str">
        <f>IF(Y66&gt;$Y$1,"CAC", "")</f>
        <v>CAC</v>
      </c>
      <c r="J66" s="280"/>
      <c r="K66" s="281" t="e">
        <f t="shared" ca="1" si="5"/>
        <v>#VALUE!</v>
      </c>
      <c r="L66" s="113">
        <f>(E66-E65)*36500/(C66-C65)</f>
        <v>4.3110236220472373</v>
      </c>
      <c r="M66" s="114"/>
      <c r="N66" s="115"/>
      <c r="O66" s="113" t="e">
        <f ca="1">(K66-K65)*365/(C66-C65)</f>
        <v>#VALUE!</v>
      </c>
      <c r="P66" s="115"/>
      <c r="Q66" s="131">
        <f>_xll.MKV($AA$1&amp;$AA66, Q$2)</f>
        <v>121.9</v>
      </c>
      <c r="R66" s="131"/>
      <c r="S66" s="279">
        <f>_xll.MKV($AA$1&amp;$AA66, S$2)</f>
        <v>126</v>
      </c>
      <c r="T66" s="279">
        <f t="shared" si="14"/>
        <v>66</v>
      </c>
      <c r="U66" s="282">
        <f>C66</f>
        <v>49919</v>
      </c>
      <c r="V66" s="283">
        <f>IFERROR(_xll.MKV("EUR.CM_DEPTH.VMO_REPO."&amp;AA66&amp;"_SN_Fixed", V$2),4)</f>
        <v>-0.40525531914893614</v>
      </c>
      <c r="W66" s="284">
        <f>_xll.MKV("EUR.PRICERISK.PXE."&amp;AA66, "EffPV1Basis")</f>
        <v>16.258400000000002</v>
      </c>
      <c r="X66" s="285" t="str">
        <f ca="1">_xll.BCurveInt(SPF!$B$14,$X$2,TEXT(C66,"YYYYMMDD"),"Frequency=Annual","DayCount=D30_360_EOMC")</f>
        <v>#N/A Invalid object ID</v>
      </c>
      <c r="Y66" s="286">
        <f>DATEVALUE(_xll.BDP($AA66&amp;$C$1,Y$2))</f>
        <v>42486</v>
      </c>
      <c r="Z66" s="287">
        <f>_xll.BDP($AA66&amp;$C$1,Z$2)/1000000000</f>
        <v>9.5</v>
      </c>
      <c r="AA66" s="288" t="s">
        <v>721</v>
      </c>
      <c r="AB66" s="255"/>
      <c r="AC66" s="239">
        <v>-0.41358447488584477</v>
      </c>
      <c r="AD66" s="239">
        <v>-0.40236947791164657</v>
      </c>
      <c r="AE66" s="239">
        <v>-0.40245173745173746</v>
      </c>
      <c r="AF66" s="239">
        <v>-0.40813084112149534</v>
      </c>
      <c r="AG66" s="239">
        <v>-0.41011210762331846</v>
      </c>
      <c r="AH66" s="239">
        <v>-0.39796130952380954</v>
      </c>
      <c r="AI66" s="239">
        <v>-0.40047619047619049</v>
      </c>
    </row>
    <row r="67" spans="1:35" s="74" customFormat="1">
      <c r="A67" s="102" t="str">
        <f>_xll.MKV("EUR.CM_INSTRUMENT.PXE."&amp;$AA67, A$2)</f>
        <v>BTPS</v>
      </c>
      <c r="B67" s="102">
        <f>_xll.MKV("EUR.CM_INSTRUMENT.PXE."&amp;$AA67, B$2)</f>
        <v>4</v>
      </c>
      <c r="C67" s="103">
        <f>VLOOKUP(AA67,DB!$C$5:$S$236,2,FALSE)</f>
        <v>50072</v>
      </c>
      <c r="D67" s="104">
        <f>_xll.MKV($AA$1&amp;$AA67, D$2)</f>
        <v>130.57</v>
      </c>
      <c r="E67" s="104">
        <f>_xll.MKV($AA$1&amp;$AA67, E$2)</f>
        <v>2.1470000000000002</v>
      </c>
      <c r="F67" s="268">
        <f>VLOOKUP(AA67,DB!$C$5:$S$236,3,FALSE)</f>
        <v>1.0000000000000231</v>
      </c>
      <c r="G67" s="269" t="str">
        <f ca="1">VLOOKUP($AA67,DB!$C$5:$S$236,4,FALSE)</f>
        <v>99</v>
      </c>
      <c r="H67" s="270">
        <f>VLOOKUP($AA67,DB!$C$5:$S$236,5,FALSE)</f>
        <v>17.900000000000027</v>
      </c>
      <c r="I67" s="105" t="str">
        <f t="shared" si="7"/>
        <v/>
      </c>
      <c r="J67" s="105"/>
      <c r="K67" s="106" t="e">
        <f t="shared" ca="1" si="5"/>
        <v>#VALUE!</v>
      </c>
      <c r="L67" s="271">
        <f>(E67-E65)*36500/(C67-C65)</f>
        <v>5.2256830601092989</v>
      </c>
      <c r="M67" s="272"/>
      <c r="N67" s="273"/>
      <c r="O67" s="271" t="e">
        <f ca="1">(K67-K65)*365/(C67-C65)</f>
        <v>#VALUE!</v>
      </c>
      <c r="P67" s="273"/>
      <c r="Q67" s="107">
        <f>_xll.MKV($AA$1&amp;$AA67, Q$2)</f>
        <v>149.20000000000002</v>
      </c>
      <c r="R67" s="107"/>
      <c r="S67" s="104">
        <f>_xll.MKV($AA$1&amp;$AA67, S$2)</f>
        <v>134</v>
      </c>
      <c r="T67" s="104">
        <f t="shared" si="14"/>
        <v>11</v>
      </c>
      <c r="U67" s="108">
        <f t="shared" si="15"/>
        <v>50072</v>
      </c>
      <c r="V67" s="109">
        <f>IFERROR(_xll.MKV("EUR.CM_DEPTH.VMO_REPO."&amp;AA67&amp;"_SN_Fixed", V$2),4)</f>
        <v>-0.48969081272084808</v>
      </c>
      <c r="W67" s="38">
        <f>_xll.MKV("EUR.PRICERISK.PXE."&amp;AA67, "EffPV1Basis")</f>
        <v>19.1265</v>
      </c>
      <c r="X67" s="110" t="str">
        <f ca="1">_xll.BCurveInt(SPF!$B$14,$X$2,TEXT(C67,"YYYYMMDD"),"Frequency=Annual","DayCount=D30_360_EOMC")</f>
        <v>#N/A Invalid object ID</v>
      </c>
      <c r="Y67" s="111">
        <f>DATEVALUE(_xll.BDP($AA67&amp;$C$1,Y$2))</f>
        <v>38644</v>
      </c>
      <c r="Z67" s="112">
        <f>_xll.BDP($AA67&amp;$C$1,Z$2)/1000000000</f>
        <v>26.291398000000001</v>
      </c>
      <c r="AA67" s="137" t="s">
        <v>476</v>
      </c>
      <c r="AB67" s="255"/>
      <c r="AC67" s="239">
        <v>-0.4719453642384106</v>
      </c>
      <c r="AD67" s="239">
        <v>-0.47015178571428579</v>
      </c>
      <c r="AE67" s="239">
        <v>-0.47387024608501127</v>
      </c>
      <c r="AF67" s="239">
        <v>-0.49983065953654193</v>
      </c>
      <c r="AG67" s="239">
        <v>-0.52157118055555562</v>
      </c>
      <c r="AH67" s="239">
        <v>-0.47327188940092174</v>
      </c>
      <c r="AI67" s="239">
        <v>-0.45676991150442475</v>
      </c>
    </row>
    <row r="68" spans="1:35" s="74" customFormat="1">
      <c r="A68" s="102" t="str">
        <f>_xll.MKV("EUR.CM_INSTRUMENT.PXE."&amp;$AA68, A$2)</f>
        <v>BTPS</v>
      </c>
      <c r="B68" s="102">
        <f>_xll.MKV("EUR.CM_INSTRUMENT.PXE."&amp;$AA68, B$2)</f>
        <v>5</v>
      </c>
      <c r="C68" s="103">
        <f>VLOOKUP(AA68,DB!$C$5:$S$236,2,FALSE)</f>
        <v>50983</v>
      </c>
      <c r="D68" s="104">
        <f>_xll.MKV($AA$1&amp;$AA68, D$2)</f>
        <v>148.41</v>
      </c>
      <c r="E68" s="104">
        <f>_xll.MKV($AA$1&amp;$AA68, E$2)</f>
        <v>2.2810000000000001</v>
      </c>
      <c r="F68" s="268">
        <f>VLOOKUP(AA68,DB!$C$5:$S$236,3,FALSE)</f>
        <v>0.70000000000001172</v>
      </c>
      <c r="G68" s="269" t="str">
        <f ca="1">VLOOKUP($AA68,DB!$C$5:$S$236,4,FALSE)</f>
        <v>99</v>
      </c>
      <c r="H68" s="270">
        <f>VLOOKUP($AA68,DB!$C$5:$S$236,5,FALSE)</f>
        <v>17.700000000000003</v>
      </c>
      <c r="I68" s="105" t="str">
        <f t="shared" si="7"/>
        <v/>
      </c>
      <c r="J68" s="105"/>
      <c r="K68" s="106" t="e">
        <f t="shared" ca="1" si="5"/>
        <v>#VALUE!</v>
      </c>
      <c r="L68" s="271">
        <f t="shared" si="26"/>
        <v>5.3688254665203035</v>
      </c>
      <c r="M68" s="272"/>
      <c r="N68" s="273"/>
      <c r="O68" s="271" t="e">
        <f t="shared" ca="1" si="27"/>
        <v>#VALUE!</v>
      </c>
      <c r="P68" s="273"/>
      <c r="Q68" s="107">
        <f>_xll.MKV($AA$1&amp;$AA68, Q$2)</f>
        <v>178.10000000000002</v>
      </c>
      <c r="R68" s="107"/>
      <c r="S68" s="104">
        <f>_xll.MKV($AA$1&amp;$AA68, S$2)</f>
        <v>146</v>
      </c>
      <c r="T68" s="104">
        <f t="shared" ref="T68:T73" si="28">_xlfn.RANK.EQ(V68,$V$3:$V$73,1)</f>
        <v>37</v>
      </c>
      <c r="U68" s="108">
        <f t="shared" si="15"/>
        <v>50983</v>
      </c>
      <c r="V68" s="109">
        <f>IFERROR(_xll.MKV("EUR.CM_DEPTH.VMO_REPO."&amp;AA68&amp;"_SN_Fixed", V$2),4)</f>
        <v>-0.42872448979591837</v>
      </c>
      <c r="W68" s="38">
        <f>_xll.MKV("EUR.PRICERISK.PXE."&amp;AA68, "EffPV1Basis")</f>
        <v>22.582100000000001</v>
      </c>
      <c r="X68" s="110" t="str">
        <f ca="1">_xll.BCurveInt(SPF!$B$14,$X$2,TEXT(C68,"YYYYMMDD"),"Frequency=Annual","DayCount=D30_360_EOMC")</f>
        <v>#N/A Invalid object ID</v>
      </c>
      <c r="Y68" s="111">
        <f>DATEVALUE(_xll.BDP($AA68&amp;$C$1,Y$2))</f>
        <v>39378</v>
      </c>
      <c r="Z68" s="112">
        <f>_xll.BDP($AA68&amp;$C$1,Z$2)/1000000000</f>
        <v>19.336663000000005</v>
      </c>
      <c r="AA68" s="137" t="s">
        <v>477</v>
      </c>
      <c r="AB68" s="255"/>
      <c r="AC68" s="239">
        <v>-0.43752572016460917</v>
      </c>
      <c r="AD68" s="239">
        <v>-0.43318235294117652</v>
      </c>
      <c r="AE68" s="239">
        <v>-0.42475629013079663</v>
      </c>
      <c r="AF68" s="239">
        <v>-0.45000673854447437</v>
      </c>
      <c r="AG68" s="239">
        <v>-0.45504492939666236</v>
      </c>
      <c r="AH68" s="239">
        <v>-0.4265882352941176</v>
      </c>
      <c r="AI68" s="239">
        <v>-0.44955414012738854</v>
      </c>
    </row>
    <row r="69" spans="1:35" s="74" customFormat="1">
      <c r="A69" s="102" t="str">
        <f>_xll.MKV("EUR.CM_INSTRUMENT.PXE."&amp;$AA69, A$2)</f>
        <v>BTPS</v>
      </c>
      <c r="B69" s="102">
        <f>_xll.MKV("EUR.CM_INSTRUMENT.PXE."&amp;$AA69, B$2)</f>
        <v>5</v>
      </c>
      <c r="C69" s="103">
        <f>VLOOKUP(AA69,DB!$C$5:$S$236,2,FALSE)</f>
        <v>51380</v>
      </c>
      <c r="D69" s="104">
        <f>_xll.MKV($AA$1&amp;$AA69, D$2)</f>
        <v>148.86000000000001</v>
      </c>
      <c r="E69" s="104">
        <f>_xll.MKV($AA$1&amp;$AA69, E$2)</f>
        <v>2.3359999999999999</v>
      </c>
      <c r="F69" s="268">
        <f>VLOOKUP(AA69,DB!$C$5:$S$236,3,FALSE)</f>
        <v>0.80000000000000071</v>
      </c>
      <c r="G69" s="269" t="str">
        <f ca="1">VLOOKUP($AA69,DB!$C$5:$S$236,4,FALSE)</f>
        <v>99</v>
      </c>
      <c r="H69" s="270">
        <f>VLOOKUP($AA69,DB!$C$5:$S$236,5,FALSE)</f>
        <v>16.500000000000004</v>
      </c>
      <c r="I69" s="105" t="str">
        <f t="shared" si="7"/>
        <v/>
      </c>
      <c r="J69" s="105"/>
      <c r="K69" s="106" t="e">
        <f t="shared" ca="1" si="5"/>
        <v>#VALUE!</v>
      </c>
      <c r="L69" s="271">
        <f t="shared" si="26"/>
        <v>5.0566750629722659</v>
      </c>
      <c r="M69" s="272"/>
      <c r="N69" s="273"/>
      <c r="O69" s="271" t="e">
        <f t="shared" ca="1" si="27"/>
        <v>#VALUE!</v>
      </c>
      <c r="P69" s="273"/>
      <c r="Q69" s="107">
        <f>_xll.MKV($AA$1&amp;$AA69, Q$2)</f>
        <v>184.10000000000002</v>
      </c>
      <c r="R69" s="107"/>
      <c r="S69" s="104">
        <f>_xll.MKV($AA$1&amp;$AA69, S$2)</f>
        <v>151</v>
      </c>
      <c r="T69" s="104">
        <f t="shared" si="28"/>
        <v>35</v>
      </c>
      <c r="U69" s="108">
        <f t="shared" si="15"/>
        <v>51380</v>
      </c>
      <c r="V69" s="109">
        <f>IFERROR(_xll.MKV("EUR.CM_DEPTH.VMO_REPO."&amp;AA69&amp;"_SN_Fixed", V$2),4)</f>
        <v>-0.43004201680672266</v>
      </c>
      <c r="W69" s="38">
        <f>_xll.MKV("EUR.PRICERISK.PXE."&amp;AA69, "EffPV1Basis")</f>
        <v>23.345800000000001</v>
      </c>
      <c r="X69" s="110" t="str">
        <f ca="1">_xll.BCurveInt(SPF!$B$14,$X$2,TEXT(C69,"YYYYMMDD"),"Frequency=Annual","DayCount=D30_360_EOMC")</f>
        <v>#N/A Invalid object ID</v>
      </c>
      <c r="Y69" s="111">
        <f>DATEVALUE(_xll.BDP($AA69&amp;$C$1,Y$2))</f>
        <v>40072</v>
      </c>
      <c r="Z69" s="112">
        <f>_xll.BDP($AA69&amp;$C$1,Z$2)/1000000000</f>
        <v>21.547504999999997</v>
      </c>
      <c r="AA69" s="137" t="s">
        <v>478</v>
      </c>
      <c r="AB69" s="255"/>
      <c r="AC69" s="239">
        <v>-0.42948936170212765</v>
      </c>
      <c r="AD69" s="239">
        <v>-0.42122377622377621</v>
      </c>
      <c r="AE69" s="239">
        <v>-0.46099514563106797</v>
      </c>
      <c r="AF69" s="239">
        <v>-0.46526315789473682</v>
      </c>
      <c r="AG69" s="239">
        <v>-0.49299035369774907</v>
      </c>
      <c r="AH69" s="239">
        <v>-0.41914841849148415</v>
      </c>
      <c r="AI69" s="239">
        <v>-0.51219101123595512</v>
      </c>
    </row>
    <row r="70" spans="1:35" s="74" customFormat="1">
      <c r="A70" s="102" t="str">
        <f>_xll.MKV("EUR.CM_INSTRUMENT.PXE."&amp;$AA70, A$2)</f>
        <v>BTPS</v>
      </c>
      <c r="B70" s="102">
        <f>_xll.MKV("EUR.CM_INSTRUMENT.PXE."&amp;$AA70, B$2)</f>
        <v>4.75</v>
      </c>
      <c r="C70" s="103">
        <f>VLOOKUP(AA70,DB!$C$5:$S$236,2,FALSE)</f>
        <v>52841</v>
      </c>
      <c r="D70" s="104">
        <f>_xll.MKV($AA$1&amp;$AA70, D$2)</f>
        <v>147.21</v>
      </c>
      <c r="E70" s="104">
        <f>_xll.MKV($AA$1&amp;$AA70, E$2)</f>
        <v>2.4279999999999999</v>
      </c>
      <c r="F70" s="268">
        <f>VLOOKUP(AA70,DB!$C$5:$S$236,3,FALSE)</f>
        <v>0.70000000000001172</v>
      </c>
      <c r="G70" s="269" t="str">
        <f ca="1">VLOOKUP($AA70,DB!$C$5:$S$236,4,FALSE)</f>
        <v>99</v>
      </c>
      <c r="H70" s="270">
        <f>VLOOKUP($AA70,DB!$C$5:$S$236,5,FALSE)</f>
        <v>16.000000000000014</v>
      </c>
      <c r="I70" s="105" t="str">
        <f t="shared" si="7"/>
        <v>CAC</v>
      </c>
      <c r="J70" s="105"/>
      <c r="K70" s="106" t="e">
        <f t="shared" ca="1" si="5"/>
        <v>#VALUE!</v>
      </c>
      <c r="L70" s="271">
        <f t="shared" si="26"/>
        <v>2.2984257357974012</v>
      </c>
      <c r="M70" s="272"/>
      <c r="N70" s="273"/>
      <c r="O70" s="271" t="e">
        <f t="shared" ca="1" si="27"/>
        <v>#VALUE!</v>
      </c>
      <c r="P70" s="273"/>
      <c r="Q70" s="107">
        <f>_xll.MKV($AA$1&amp;$AA70, Q$2)</f>
        <v>191.8</v>
      </c>
      <c r="R70" s="107"/>
      <c r="S70" s="104">
        <f>_xll.MKV($AA$1&amp;$AA70, S$2)</f>
        <v>157</v>
      </c>
      <c r="T70" s="104">
        <f t="shared" si="28"/>
        <v>4</v>
      </c>
      <c r="U70" s="108">
        <f t="shared" si="15"/>
        <v>52841</v>
      </c>
      <c r="V70" s="109">
        <f>IFERROR(_xll.MKV("EUR.CM_DEPTH.VMO_REPO."&amp;AA70&amp;"_SN_Fixed", V$2),4)</f>
        <v>-0.57425813008130089</v>
      </c>
      <c r="W70" s="38">
        <f>_xll.MKV("EUR.PRICERISK.PXE."&amp;AA70, "EffPV1Basis")</f>
        <v>25.799700000000001</v>
      </c>
      <c r="X70" s="110" t="str">
        <f ca="1">_xll.BCurveInt(SPF!$B$14,$X$2,TEXT(C70,"YYYYMMDD"),"Frequency=Annual","DayCount=D30_360_EOMC")</f>
        <v>#N/A Invalid object ID</v>
      </c>
      <c r="Y70" s="111">
        <f>DATEVALUE(_xll.BDP($AA70&amp;$C$1,Y$2))</f>
        <v>41416</v>
      </c>
      <c r="Z70" s="112">
        <f>_xll.BDP($AA70&amp;$C$1,Z$2)/1000000000</f>
        <v>15.620763</v>
      </c>
      <c r="AA70" s="137" t="s">
        <v>479</v>
      </c>
      <c r="AB70" s="255"/>
      <c r="AC70" s="239">
        <v>-0.57571419428571424</v>
      </c>
      <c r="AD70" s="239">
        <v>-0.60339567716535425</v>
      </c>
      <c r="AE70" s="239">
        <v>-0.55319190600522195</v>
      </c>
      <c r="AF70" s="239">
        <v>-0.54276083467094705</v>
      </c>
      <c r="AG70" s="239">
        <v>-0.53049426934097421</v>
      </c>
      <c r="AH70" s="239">
        <v>-0.5496215596330275</v>
      </c>
      <c r="AI70" s="239">
        <v>-0.70252747252747261</v>
      </c>
    </row>
    <row r="71" spans="1:35" s="74" customFormat="1">
      <c r="A71" s="102" t="str">
        <f>_xll.MKV("EUR.CM_INSTRUMENT.PXE."&amp;$AA71, A$2)</f>
        <v>BTPS</v>
      </c>
      <c r="B71" s="102">
        <f>_xll.MKV("EUR.CM_INSTRUMENT.PXE."&amp;$AA71, B$2)</f>
        <v>3.25</v>
      </c>
      <c r="C71" s="103">
        <f>VLOOKUP(AA71,DB!$C$5:$S$236,2,FALSE)</f>
        <v>53571</v>
      </c>
      <c r="D71" s="104">
        <f>_xll.MKV($AA$1&amp;$AA71, D$2)</f>
        <v>116.96000000000001</v>
      </c>
      <c r="E71" s="104">
        <f>_xll.MKV($AA$1&amp;$AA71, E$2)</f>
        <v>2.4609999999999999</v>
      </c>
      <c r="F71" s="268">
        <f>VLOOKUP(AA71,DB!$C$5:$S$236,3,FALSE)</f>
        <v>0.59999999999997833</v>
      </c>
      <c r="G71" s="269" t="str">
        <f ca="1">VLOOKUP($AA71,DB!$C$5:$S$236,4,FALSE)</f>
        <v>99</v>
      </c>
      <c r="H71" s="270">
        <f>VLOOKUP($AA71,DB!$C$5:$S$236,5,FALSE)</f>
        <v>14.69999999999998</v>
      </c>
      <c r="I71" s="105" t="str">
        <f>IF(Y71&gt;$Y$1,"CAC", "")</f>
        <v>CAC</v>
      </c>
      <c r="J71" s="105"/>
      <c r="K71" s="106" t="e">
        <f t="shared" ca="1" si="5"/>
        <v>#VALUE!</v>
      </c>
      <c r="L71" s="271">
        <f>(E71-E70)*36500/(C71-C70)</f>
        <v>1.6499999999999959</v>
      </c>
      <c r="M71" s="272"/>
      <c r="N71" s="273"/>
      <c r="O71" s="271" t="e">
        <f ca="1">(K71-K69)*365/(C71-C69)</f>
        <v>#VALUE!</v>
      </c>
      <c r="P71" s="273"/>
      <c r="Q71" s="107">
        <f>_xll.MKV($AA$1&amp;$AA71, Q$2)</f>
        <v>166</v>
      </c>
      <c r="R71" s="107"/>
      <c r="S71" s="104">
        <f>_xll.MKV($AA$1&amp;$AA71, S$2)</f>
        <v>158</v>
      </c>
      <c r="T71" s="104">
        <f t="shared" si="28"/>
        <v>43</v>
      </c>
      <c r="U71" s="108">
        <f t="shared" si="15"/>
        <v>53571</v>
      </c>
      <c r="V71" s="109">
        <f>IFERROR(_xll.MKV("EUR.CM_DEPTH.VMO_REPO."&amp;AA71&amp;"_SN_Fixed", V$2),4)</f>
        <v>-0.42605786618444846</v>
      </c>
      <c r="W71" s="38">
        <f>_xll.MKV("EUR.PRICERISK.PXE."&amp;AA71, "EffPV1Basis")</f>
        <v>23.0776</v>
      </c>
      <c r="X71" s="110" t="str">
        <f ca="1">_xll.BCurveInt(SPF!$B$14,$X$2,TEXT(C71,"YYYYMMDD"),"Frequency=Annual","DayCount=D30_360_EOMC")</f>
        <v>#N/A Invalid object ID</v>
      </c>
      <c r="Y71" s="111">
        <f>DATEVALUE(_xll.BDP($AA71&amp;$C$1,Y$2))</f>
        <v>42026</v>
      </c>
      <c r="Z71" s="112">
        <f>_xll.BDP($AA71&amp;$C$1,Z$2)/1000000000</f>
        <v>13.990724</v>
      </c>
      <c r="AA71" s="137" t="s">
        <v>480</v>
      </c>
      <c r="AB71" s="255"/>
      <c r="AC71" s="239">
        <v>-0.43693661971830988</v>
      </c>
      <c r="AD71" s="239">
        <v>-0.41854615384615379</v>
      </c>
      <c r="AE71" s="239">
        <v>-0.42064761904761905</v>
      </c>
      <c r="AF71" s="239">
        <v>-0.40693037974683544</v>
      </c>
      <c r="AG71" s="239">
        <v>-0.41443509615384616</v>
      </c>
      <c r="AH71" s="239">
        <v>-0.446171875</v>
      </c>
      <c r="AI71" s="239">
        <v>-0.41574626865671643</v>
      </c>
    </row>
    <row r="72" spans="1:35" s="74" customFormat="1">
      <c r="A72" s="102" t="str">
        <f>_xll.MKV("EUR.CM_INSTRUMENT.PXE."&amp;$AA72, A$2)</f>
        <v>BTPS</v>
      </c>
      <c r="B72" s="102">
        <f>_xll.MKV("EUR.CM_INSTRUMENT.PXE."&amp;$AA72, B$2)</f>
        <v>2.7</v>
      </c>
      <c r="C72" s="103">
        <f>VLOOKUP(AA72,DB!$C$5:$S$236,2,FALSE)</f>
        <v>53752</v>
      </c>
      <c r="D72" s="104">
        <f>_xll.MKV($AA$1&amp;$AA72, D$2)</f>
        <v>104.76</v>
      </c>
      <c r="E72" s="104">
        <f>_xll.MKV($AA$1&amp;$AA72, E$2)</f>
        <v>2.4910000000000001</v>
      </c>
      <c r="F72" s="268">
        <f>VLOOKUP(AA72,DB!$C$5:$S$236,3,FALSE)</f>
        <v>0.50000000000003375</v>
      </c>
      <c r="G72" s="269" t="str">
        <f ca="1">VLOOKUP($AA72,DB!$C$5:$S$236,4,FALSE)</f>
        <v>99</v>
      </c>
      <c r="H72" s="270">
        <f>VLOOKUP($AA72,DB!$C$5:$S$236,5,FALSE)</f>
        <v>14.500000000000002</v>
      </c>
      <c r="I72" s="105" t="str">
        <f>IF(Y72&gt;$Y$1,"CAC", "")</f>
        <v>CAC</v>
      </c>
      <c r="J72" s="105">
        <f>(E72-E70)*100</f>
        <v>6.3000000000000167</v>
      </c>
      <c r="K72" s="106" t="e">
        <f t="shared" ref="K72" ca="1" si="29">(E72-X72)*100</f>
        <v>#VALUE!</v>
      </c>
      <c r="L72" s="271">
        <f>(E72-E70)*36500/(C72-C70)</f>
        <v>2.5241492864983601</v>
      </c>
      <c r="M72" s="272">
        <f>(E72-E70)*36500/(C72-C70)</f>
        <v>2.5241492864983601</v>
      </c>
      <c r="N72" s="273"/>
      <c r="O72" s="271" t="e">
        <f ca="1">(K72-K69)*365/(C72-C69)</f>
        <v>#VALUE!</v>
      </c>
      <c r="P72" s="273"/>
      <c r="Q72" s="107">
        <f>_xll.MKV($AA$1&amp;$AA72, Q$2)</f>
        <v>157.30000000000001</v>
      </c>
      <c r="R72" s="107"/>
      <c r="S72" s="104">
        <f>_xll.MKV($AA$1&amp;$AA72, S$2)</f>
        <v>160</v>
      </c>
      <c r="T72" s="104">
        <f t="shared" si="28"/>
        <v>3</v>
      </c>
      <c r="U72" s="108">
        <f t="shared" ref="U72" si="30">C72</f>
        <v>53752</v>
      </c>
      <c r="V72" s="109">
        <f>IFERROR(_xll.MKV("EUR.CM_DEPTH.VMO_REPO."&amp;AA72&amp;"_SN_Fixed", V$2),4)</f>
        <v>-0.65928846153846155</v>
      </c>
      <c r="W72" s="38">
        <f>_xll.MKV("EUR.PRICERISK.PXE."&amp;AA72, "EffPV1Basis")</f>
        <v>21.636900000000001</v>
      </c>
      <c r="X72" s="110" t="str">
        <f ca="1">_xll.BCurveInt(SPF!$B$14,$X$2,TEXT(C72,"YYYYMMDD"),"Frequency=Annual","DayCount=D30_360_EOMC")</f>
        <v>#N/A Invalid object ID</v>
      </c>
      <c r="Y72" s="111">
        <f>DATEVALUE(_xll.BDP($AA72&amp;$C$1,Y$2))</f>
        <v>42409</v>
      </c>
      <c r="Z72" s="112">
        <f>_xll.BDP($AA72&amp;$C$1,Z$2)/1000000000</f>
        <v>11.632999999999999</v>
      </c>
      <c r="AA72" s="137" t="s">
        <v>679</v>
      </c>
      <c r="AB72" s="255"/>
      <c r="AC72" s="239">
        <v>-0.70441082802547783</v>
      </c>
      <c r="AD72" s="239">
        <v>-0.67104199066874037</v>
      </c>
      <c r="AE72" s="239">
        <v>-0.42064761904761905</v>
      </c>
      <c r="AF72" s="239">
        <v>-0.40693037974683544</v>
      </c>
      <c r="AG72" s="239">
        <v>-0.41443509615384616</v>
      </c>
      <c r="AH72" s="239">
        <v>-0.446171875</v>
      </c>
      <c r="AI72" s="239">
        <v>-0.41574626865671643</v>
      </c>
    </row>
    <row r="73" spans="1:35" s="74" customFormat="1" ht="15.75" thickBot="1">
      <c r="A73" s="277" t="str">
        <f>_xll.MKV("EUR.CM_INSTRUMENT.PXE."&amp;$AA73, A$2)</f>
        <v>BTPS</v>
      </c>
      <c r="B73" s="277">
        <f>_xll.MKV("EUR.CM_INSTRUMENT.PXE."&amp;$AA73, B$2)</f>
        <v>2.8</v>
      </c>
      <c r="C73" s="278">
        <f>VLOOKUP(AA73,DB!$C$5:$S$236,2,FALSE)</f>
        <v>61057</v>
      </c>
      <c r="D73" s="279">
        <f>_xll.MKV($AA$1&amp;$AA73, D$2)</f>
        <v>96.98</v>
      </c>
      <c r="E73" s="279">
        <f>_xll.MKV($AA$1&amp;$AA73, E$2)</f>
        <v>2.9359999999999999</v>
      </c>
      <c r="F73" s="265">
        <f>VLOOKUP(AA73,DB!$C$5:$S$236,3,FALSE)</f>
        <v>0.49999999999998934</v>
      </c>
      <c r="G73" s="266" t="str">
        <f ca="1">VLOOKUP($AA73,DB!$C$5:$S$236,4,FALSE)</f>
        <v>99</v>
      </c>
      <c r="H73" s="267" t="str">
        <f>VLOOKUP($AA73,DB!$C$5:$S$236,5,FALSE)</f>
        <v>99</v>
      </c>
      <c r="I73" s="280" t="str">
        <f>IF(Y73&gt;$Y$1,"CAC", "")</f>
        <v>CAC</v>
      </c>
      <c r="J73" s="280">
        <f>(E73-E71)*100</f>
        <v>47.500000000000007</v>
      </c>
      <c r="K73" s="281" t="e">
        <f t="shared" ca="1" si="5"/>
        <v>#VALUE!</v>
      </c>
      <c r="L73" s="289">
        <f>(E73-E71)*36500/(C73-C71)</f>
        <v>2.3159898477157363</v>
      </c>
      <c r="M73" s="290">
        <f>(E73-E71)*36500/(C73-C71)</f>
        <v>2.3159898477157363</v>
      </c>
      <c r="N73" s="291"/>
      <c r="O73" s="289" t="e">
        <f ca="1">(K73-K70)*365/(C73-C70)</f>
        <v>#VALUE!</v>
      </c>
      <c r="P73" s="291"/>
      <c r="Q73" s="131">
        <f>_xll.MKV($AA$1&amp;$AA73, Q$2)</f>
        <v>199.5</v>
      </c>
      <c r="R73" s="131"/>
      <c r="S73" s="279">
        <f>_xll.MKV($AA$1&amp;$AA73, S$2)</f>
        <v>208</v>
      </c>
      <c r="T73" s="279">
        <f t="shared" si="28"/>
        <v>69</v>
      </c>
      <c r="U73" s="282">
        <f t="shared" si="15"/>
        <v>61057</v>
      </c>
      <c r="V73" s="283">
        <f>IFERROR(_xll.MKV("EUR.CM_DEPTH.VMO_REPO."&amp;AA73&amp;"_SN_Fixed", V$2),4)</f>
        <v>-0.40289473684210531</v>
      </c>
      <c r="W73" s="284">
        <f>_xll.MKV("EUR.PRICERISK.PXE."&amp;AA73, "EffPV1Basis")</f>
        <v>25.375599999999999</v>
      </c>
      <c r="X73" s="285" t="str">
        <f ca="1">_xll.BCurveInt(SPF!$B$14,$X$2,TEXT(C73,"YYYYMMDD"),"Frequency=Annual","DayCount=D30_360_EOMC")</f>
        <v>#N/A Invalid object ID</v>
      </c>
      <c r="Y73" s="286">
        <f>DATEVALUE(_xll.BDP($AA73&amp;$C$1,Y$2))</f>
        <v>42654</v>
      </c>
      <c r="Z73" s="287">
        <f>_xll.BDP($AA73&amp;$C$1,Z$2)/1000000000</f>
        <v>5</v>
      </c>
      <c r="AA73" s="288" t="s">
        <v>759</v>
      </c>
      <c r="AB73" s="255"/>
      <c r="AC73" s="239">
        <v>-0.40328571428571436</v>
      </c>
      <c r="AD73" s="239">
        <v>-0.40051724137931044</v>
      </c>
      <c r="AE73" s="239"/>
      <c r="AF73" s="239">
        <v>-0.43567901234567913</v>
      </c>
      <c r="AG73" s="239">
        <v>-0.40971502590673581</v>
      </c>
      <c r="AH73" s="239">
        <v>-0.44586206896551722</v>
      </c>
      <c r="AI73" s="239">
        <v>-0.43498392282958198</v>
      </c>
    </row>
    <row r="74" spans="1:35" s="74" customFormat="1">
      <c r="A74" s="243"/>
      <c r="B74" s="243"/>
      <c r="C74" s="236"/>
      <c r="D74" s="244"/>
      <c r="E74" s="244"/>
      <c r="F74" s="245"/>
      <c r="G74" s="245"/>
      <c r="H74" s="245"/>
      <c r="I74" s="246"/>
      <c r="J74" s="246"/>
      <c r="K74" s="247"/>
      <c r="L74" s="248"/>
      <c r="M74" s="249"/>
      <c r="N74" s="249"/>
      <c r="O74" s="248"/>
      <c r="P74" s="249"/>
      <c r="Q74" s="245"/>
      <c r="R74" s="245"/>
      <c r="S74" s="244"/>
      <c r="T74" s="244"/>
      <c r="U74" s="250"/>
      <c r="V74" s="251"/>
      <c r="W74" s="252"/>
      <c r="X74" s="110"/>
      <c r="Y74" s="253"/>
      <c r="Z74" s="254"/>
      <c r="AA74" s="255"/>
      <c r="AB74" s="255"/>
      <c r="AC74" s="239"/>
      <c r="AD74" s="239"/>
      <c r="AE74" s="239"/>
      <c r="AF74" s="239"/>
      <c r="AG74" s="239"/>
      <c r="AH74" s="239"/>
      <c r="AI74" s="239"/>
    </row>
    <row r="75" spans="1:35" s="74" customFormat="1">
      <c r="A75" s="64"/>
      <c r="B75" s="75"/>
      <c r="C75" s="76"/>
      <c r="D75" s="77"/>
      <c r="E75" s="84"/>
      <c r="F75" s="79"/>
      <c r="G75" s="79"/>
      <c r="H75" s="79"/>
      <c r="I75" s="80"/>
      <c r="J75" s="80"/>
      <c r="K75" s="64"/>
      <c r="L75" s="82"/>
      <c r="M75" s="82"/>
      <c r="N75" s="82"/>
      <c r="O75" s="82"/>
      <c r="P75" s="82"/>
      <c r="Q75" s="83"/>
      <c r="R75" s="83"/>
      <c r="S75" s="65"/>
      <c r="T75" s="65"/>
      <c r="U75" s="65"/>
      <c r="V75" s="64"/>
      <c r="W75" s="134"/>
      <c r="X75" s="73"/>
      <c r="Y75" s="66"/>
      <c r="Z75" s="65"/>
      <c r="AA75" s="139"/>
      <c r="AB75" s="275"/>
      <c r="AC75" s="239"/>
      <c r="AD75" s="239"/>
      <c r="AE75" s="239"/>
      <c r="AF75" s="239"/>
      <c r="AG75" s="239"/>
      <c r="AH75" s="239"/>
      <c r="AI75" s="239"/>
    </row>
    <row r="76" spans="1:35" s="74" customFormat="1">
      <c r="A76" s="64"/>
      <c r="B76" s="75"/>
      <c r="C76" s="85" t="s">
        <v>685</v>
      </c>
      <c r="D76" s="77"/>
      <c r="E76" s="135">
        <f>E29-E16</f>
        <v>0.219</v>
      </c>
      <c r="F76" s="79"/>
      <c r="G76" s="79"/>
      <c r="H76" s="79"/>
      <c r="I76" s="80"/>
      <c r="J76" s="80"/>
      <c r="K76" s="180" t="e">
        <f ca="1">K29-K16</f>
        <v>#VALUE!</v>
      </c>
      <c r="L76" s="82"/>
      <c r="M76" s="82"/>
      <c r="N76" s="82"/>
      <c r="O76" s="82"/>
      <c r="P76" s="82"/>
      <c r="Q76" s="83"/>
      <c r="R76" s="83"/>
      <c r="S76" s="65"/>
      <c r="T76" s="65"/>
      <c r="U76" s="65"/>
      <c r="V76" s="64"/>
      <c r="W76" s="134"/>
      <c r="X76" s="64"/>
      <c r="Y76" s="66"/>
      <c r="Z76" s="65"/>
      <c r="AA76" s="139"/>
      <c r="AB76" s="275"/>
      <c r="AC76" s="239"/>
      <c r="AD76" s="239"/>
      <c r="AE76" s="239"/>
      <c r="AF76" s="239"/>
      <c r="AG76" s="239"/>
      <c r="AH76" s="239"/>
      <c r="AI76" s="239"/>
    </row>
    <row r="77" spans="1:35" s="74" customFormat="1">
      <c r="A77" s="64"/>
      <c r="B77" s="75"/>
      <c r="C77" s="86" t="s">
        <v>683</v>
      </c>
      <c r="D77" s="65"/>
      <c r="E77" s="135">
        <f>E40-E29</f>
        <v>0.436</v>
      </c>
      <c r="F77" s="79"/>
      <c r="G77" s="79"/>
      <c r="H77" s="79"/>
      <c r="I77" s="80"/>
      <c r="J77" s="80"/>
      <c r="K77" s="180" t="e">
        <f ca="1">K40-K29</f>
        <v>#VALUE!</v>
      </c>
      <c r="L77" s="82"/>
      <c r="M77" s="82"/>
      <c r="N77" s="82"/>
      <c r="O77" s="82"/>
      <c r="P77" s="82"/>
      <c r="Q77" s="83"/>
      <c r="R77" s="83"/>
      <c r="S77" s="65"/>
      <c r="T77" s="65"/>
      <c r="U77" s="65"/>
      <c r="V77" s="64"/>
      <c r="W77" s="134"/>
      <c r="X77" s="64"/>
      <c r="Y77" s="66"/>
      <c r="Z77" s="65"/>
      <c r="AA77" s="139"/>
      <c r="AB77" s="275"/>
      <c r="AC77" s="239"/>
      <c r="AD77" s="239"/>
      <c r="AE77" s="239"/>
      <c r="AF77" s="239"/>
      <c r="AG77" s="239"/>
      <c r="AH77" s="239"/>
      <c r="AI77" s="239"/>
    </row>
    <row r="78" spans="1:35" s="74" customFormat="1">
      <c r="A78" s="64"/>
      <c r="B78" s="75"/>
      <c r="C78" s="85" t="s">
        <v>684</v>
      </c>
      <c r="D78" s="77"/>
      <c r="E78" s="135">
        <f>E49-E40</f>
        <v>0.48100000000000009</v>
      </c>
      <c r="F78" s="79"/>
      <c r="G78" s="79"/>
      <c r="H78" s="79"/>
      <c r="I78" s="80"/>
      <c r="J78" s="80"/>
      <c r="K78" s="180" t="e">
        <f ca="1">K49-K40</f>
        <v>#VALUE!</v>
      </c>
      <c r="L78" s="65"/>
      <c r="M78" s="82"/>
      <c r="N78" s="82"/>
      <c r="O78" s="82"/>
      <c r="P78" s="82"/>
      <c r="Q78" s="83"/>
      <c r="R78" s="83"/>
      <c r="S78" s="65"/>
      <c r="T78" s="65"/>
      <c r="U78" s="65"/>
      <c r="V78" s="64"/>
      <c r="W78" s="134"/>
      <c r="X78" s="64"/>
      <c r="Y78" s="66"/>
      <c r="Z78" s="65"/>
      <c r="AA78" s="139"/>
      <c r="AB78" s="275"/>
      <c r="AC78" s="239"/>
      <c r="AD78" s="239"/>
      <c r="AE78" s="239"/>
      <c r="AF78" s="239"/>
      <c r="AG78" s="239"/>
      <c r="AH78" s="239"/>
      <c r="AI78" s="239"/>
    </row>
    <row r="79" spans="1:35" s="74" customFormat="1">
      <c r="A79" s="64"/>
      <c r="B79" s="75"/>
      <c r="C79" s="85" t="s">
        <v>710</v>
      </c>
      <c r="D79" s="77"/>
      <c r="E79" s="77">
        <f>E28-E16</f>
        <v>0.158</v>
      </c>
      <c r="F79" s="65"/>
      <c r="G79" s="65"/>
      <c r="H79" s="65"/>
      <c r="I79" s="66"/>
      <c r="J79" s="66"/>
      <c r="K79" s="67"/>
      <c r="L79" s="82"/>
      <c r="M79" s="82"/>
      <c r="N79" s="82"/>
      <c r="O79" s="82"/>
      <c r="P79" s="82"/>
      <c r="Q79" s="83"/>
      <c r="R79" s="83"/>
      <c r="S79" s="65"/>
      <c r="T79" s="65"/>
      <c r="U79" s="65"/>
      <c r="V79" s="64"/>
      <c r="W79" s="134"/>
      <c r="X79" s="64"/>
      <c r="Y79" s="66"/>
      <c r="Z79" s="65"/>
      <c r="AA79" s="139"/>
      <c r="AB79" s="275"/>
      <c r="AC79" s="239"/>
      <c r="AD79" s="239"/>
      <c r="AE79" s="239"/>
      <c r="AF79" s="239"/>
      <c r="AG79" s="239"/>
      <c r="AH79" s="239"/>
      <c r="AI79" s="239"/>
    </row>
    <row r="80" spans="1:35" s="74" customFormat="1">
      <c r="A80" s="64"/>
      <c r="B80" s="75"/>
      <c r="F80" s="79"/>
      <c r="G80" s="79"/>
      <c r="H80" s="79"/>
      <c r="I80" s="80"/>
      <c r="J80" s="80"/>
      <c r="K80" s="81"/>
      <c r="L80" s="79"/>
      <c r="M80" s="82"/>
      <c r="N80" s="82"/>
      <c r="O80" s="82"/>
      <c r="P80" s="82"/>
      <c r="Q80" s="83"/>
      <c r="R80" s="83"/>
      <c r="S80" s="65"/>
      <c r="T80" s="65"/>
      <c r="U80" s="65"/>
      <c r="V80" s="64"/>
      <c r="W80" s="134"/>
      <c r="X80" s="64"/>
      <c r="Y80" s="66"/>
      <c r="Z80" s="65"/>
      <c r="AA80" s="139"/>
      <c r="AB80" s="275"/>
      <c r="AC80" s="239"/>
      <c r="AD80" s="239"/>
      <c r="AE80" s="239"/>
      <c r="AF80" s="239"/>
      <c r="AG80" s="239"/>
      <c r="AH80" s="239"/>
      <c r="AI80" s="239"/>
    </row>
    <row r="81" spans="1:35" s="74" customFormat="1">
      <c r="A81" s="64"/>
      <c r="B81" s="75"/>
      <c r="C81" s="88"/>
      <c r="D81" s="77"/>
      <c r="E81" s="78"/>
      <c r="F81" s="79"/>
      <c r="G81" s="79"/>
      <c r="H81" s="79"/>
      <c r="I81" s="80"/>
      <c r="J81" s="80"/>
      <c r="K81" s="81"/>
      <c r="L81" s="79"/>
      <c r="M81" s="82"/>
      <c r="N81" s="82"/>
      <c r="O81" s="82"/>
      <c r="P81" s="82"/>
      <c r="Q81" s="83"/>
      <c r="R81" s="83"/>
      <c r="S81" s="65"/>
      <c r="T81" s="65"/>
      <c r="U81" s="65"/>
      <c r="V81" s="64"/>
      <c r="W81" s="134"/>
      <c r="X81" s="64"/>
      <c r="Y81" s="66"/>
      <c r="Z81" s="65"/>
      <c r="AA81" s="139"/>
      <c r="AB81" s="275"/>
      <c r="AC81" s="239"/>
      <c r="AD81" s="239"/>
      <c r="AE81" s="239"/>
      <c r="AF81" s="239"/>
      <c r="AG81" s="239"/>
      <c r="AH81" s="239"/>
      <c r="AI81" s="239"/>
    </row>
    <row r="82" spans="1:35" s="74" customFormat="1">
      <c r="A82" s="64"/>
      <c r="B82" s="75"/>
      <c r="C82" s="88"/>
      <c r="D82" s="77"/>
      <c r="E82" s="78"/>
      <c r="F82" s="79"/>
      <c r="G82" s="79"/>
      <c r="H82" s="79"/>
      <c r="I82" s="80"/>
      <c r="J82" s="80"/>
      <c r="K82" s="81"/>
      <c r="L82" s="79"/>
      <c r="M82" s="82"/>
      <c r="N82" s="82"/>
      <c r="O82" s="82"/>
      <c r="P82" s="82"/>
      <c r="Q82" s="83"/>
      <c r="R82" s="83"/>
      <c r="S82" s="65"/>
      <c r="T82" s="65"/>
      <c r="U82" s="65"/>
      <c r="V82" s="64"/>
      <c r="W82" s="134"/>
      <c r="X82" s="64"/>
      <c r="Y82" s="66"/>
      <c r="Z82" s="65"/>
      <c r="AA82" s="139"/>
      <c r="AB82" s="275"/>
      <c r="AC82" s="239"/>
      <c r="AD82" s="239"/>
      <c r="AE82" s="239"/>
      <c r="AF82" s="239"/>
      <c r="AG82" s="239"/>
      <c r="AH82" s="239"/>
      <c r="AI82" s="239"/>
    </row>
    <row r="83" spans="1:35" s="74" customFormat="1">
      <c r="A83" s="64"/>
      <c r="B83" s="75"/>
      <c r="C83" s="88"/>
      <c r="D83" s="77"/>
      <c r="E83" s="78"/>
      <c r="F83" s="79"/>
      <c r="G83" s="79"/>
      <c r="H83" s="79"/>
      <c r="I83" s="80"/>
      <c r="J83" s="80"/>
      <c r="K83" s="81"/>
      <c r="L83" s="89"/>
      <c r="M83" s="82"/>
      <c r="N83" s="82"/>
      <c r="O83" s="82"/>
      <c r="P83" s="82"/>
      <c r="Q83" s="83"/>
      <c r="R83" s="83"/>
      <c r="S83" s="65"/>
      <c r="T83" s="65"/>
      <c r="U83" s="65"/>
      <c r="V83" s="64"/>
      <c r="W83" s="134"/>
      <c r="X83" s="64"/>
      <c r="Y83" s="66"/>
      <c r="Z83" s="65"/>
      <c r="AA83" s="139"/>
      <c r="AB83" s="275"/>
      <c r="AC83" s="239"/>
      <c r="AD83" s="239"/>
      <c r="AE83" s="239"/>
      <c r="AF83" s="239"/>
      <c r="AG83" s="239"/>
      <c r="AH83" s="239"/>
      <c r="AI83" s="239"/>
    </row>
    <row r="84" spans="1:35" s="74" customFormat="1">
      <c r="A84" s="64"/>
      <c r="B84" s="75"/>
      <c r="C84" s="88"/>
      <c r="D84" s="77"/>
      <c r="E84" s="78"/>
      <c r="F84" s="79"/>
      <c r="G84" s="79"/>
      <c r="H84" s="79"/>
      <c r="I84" s="80"/>
      <c r="J84" s="80"/>
      <c r="K84" s="81"/>
      <c r="L84" s="79"/>
      <c r="M84" s="82"/>
      <c r="N84" s="82"/>
      <c r="O84" s="82"/>
      <c r="P84" s="65"/>
      <c r="Q84" s="83"/>
      <c r="R84" s="83"/>
      <c r="S84" s="65"/>
      <c r="T84" s="65"/>
      <c r="U84" s="65"/>
      <c r="V84" s="64"/>
      <c r="W84" s="134"/>
      <c r="X84" s="64"/>
      <c r="Y84" s="66"/>
      <c r="Z84" s="65"/>
      <c r="AA84" s="139"/>
      <c r="AB84" s="275"/>
      <c r="AC84" s="239"/>
      <c r="AD84" s="239"/>
      <c r="AE84" s="239"/>
      <c r="AF84" s="239"/>
      <c r="AG84" s="239"/>
      <c r="AH84" s="239"/>
      <c r="AI84" s="239"/>
    </row>
    <row r="85" spans="1:35" s="74" customFormat="1">
      <c r="A85" s="64"/>
      <c r="B85" s="75"/>
      <c r="C85" s="88"/>
      <c r="D85" s="77"/>
      <c r="E85" s="78"/>
      <c r="F85" s="79"/>
      <c r="G85" s="79"/>
      <c r="H85" s="79"/>
      <c r="I85" s="80"/>
      <c r="J85" s="80"/>
      <c r="K85" s="81"/>
      <c r="L85" s="79"/>
      <c r="M85" s="82"/>
      <c r="N85" s="82"/>
      <c r="O85" s="82"/>
      <c r="P85" s="82"/>
      <c r="Q85" s="83"/>
      <c r="R85" s="83"/>
      <c r="S85" s="65"/>
      <c r="T85" s="65"/>
      <c r="U85" s="65"/>
      <c r="V85" s="64"/>
      <c r="W85" s="134"/>
      <c r="X85" s="64"/>
      <c r="Y85" s="66"/>
      <c r="Z85" s="65"/>
      <c r="AA85" s="139"/>
      <c r="AB85" s="275"/>
      <c r="AC85" s="239"/>
      <c r="AD85" s="239"/>
      <c r="AE85" s="239"/>
      <c r="AF85" s="239"/>
      <c r="AG85" s="239"/>
      <c r="AH85" s="239"/>
      <c r="AI85" s="239"/>
    </row>
    <row r="86" spans="1:35" s="74" customFormat="1">
      <c r="A86" s="64"/>
      <c r="B86" s="75"/>
      <c r="C86" s="88"/>
      <c r="D86" s="77"/>
      <c r="E86" s="78"/>
      <c r="F86" s="79"/>
      <c r="G86" s="79"/>
      <c r="H86" s="79"/>
      <c r="I86" s="80"/>
      <c r="J86" s="80"/>
      <c r="K86" s="81"/>
      <c r="L86" s="79"/>
      <c r="M86" s="82"/>
      <c r="N86" s="82"/>
      <c r="O86" s="82"/>
      <c r="P86" s="82"/>
      <c r="Q86" s="83"/>
      <c r="R86" s="83"/>
      <c r="S86" s="65"/>
      <c r="T86" s="65"/>
      <c r="U86" s="65"/>
      <c r="V86" s="64"/>
      <c r="W86" s="134"/>
      <c r="X86" s="64"/>
      <c r="Y86" s="66"/>
      <c r="Z86" s="65"/>
      <c r="AA86" s="139"/>
      <c r="AB86" s="275"/>
      <c r="AC86" s="239"/>
      <c r="AD86" s="239"/>
      <c r="AE86" s="239"/>
      <c r="AF86" s="239"/>
      <c r="AG86" s="239"/>
      <c r="AH86" s="239"/>
      <c r="AI86" s="239"/>
    </row>
    <row r="87" spans="1:35" s="74" customFormat="1">
      <c r="A87" s="64"/>
      <c r="B87" s="75"/>
      <c r="C87" s="88"/>
      <c r="D87" s="77"/>
      <c r="E87" s="78"/>
      <c r="F87" s="79"/>
      <c r="G87" s="79"/>
      <c r="H87" s="79"/>
      <c r="I87" s="80"/>
      <c r="J87" s="80"/>
      <c r="K87" s="81"/>
      <c r="L87" s="79"/>
      <c r="M87" s="82"/>
      <c r="N87" s="82"/>
      <c r="O87" s="82"/>
      <c r="P87" s="82"/>
      <c r="Q87" s="83"/>
      <c r="R87" s="83"/>
      <c r="S87" s="65"/>
      <c r="T87" s="65"/>
      <c r="U87" s="65"/>
      <c r="V87" s="64"/>
      <c r="W87" s="134"/>
      <c r="X87" s="64"/>
      <c r="Y87" s="66"/>
      <c r="Z87" s="65"/>
      <c r="AA87" s="139"/>
      <c r="AB87" s="275"/>
      <c r="AC87" s="239"/>
      <c r="AD87" s="239"/>
      <c r="AE87" s="239"/>
      <c r="AF87" s="239"/>
      <c r="AG87" s="239"/>
      <c r="AH87" s="239"/>
      <c r="AI87" s="239"/>
    </row>
    <row r="88" spans="1:35" s="74" customFormat="1">
      <c r="A88" s="64"/>
      <c r="B88" s="75"/>
      <c r="C88" s="88"/>
      <c r="D88" s="77"/>
      <c r="E88" s="78"/>
      <c r="F88" s="79"/>
      <c r="G88" s="79"/>
      <c r="H88" s="79"/>
      <c r="I88" s="80"/>
      <c r="J88" s="80"/>
      <c r="K88" s="81"/>
      <c r="L88" s="79"/>
      <c r="M88" s="82"/>
      <c r="N88" s="82"/>
      <c r="O88" s="82"/>
      <c r="P88" s="82"/>
      <c r="Q88" s="83"/>
      <c r="R88" s="83"/>
      <c r="S88" s="65"/>
      <c r="T88" s="65"/>
      <c r="U88" s="65"/>
      <c r="V88" s="64"/>
      <c r="W88" s="134"/>
      <c r="X88" s="64"/>
      <c r="Y88" s="66"/>
      <c r="Z88" s="65"/>
      <c r="AA88" s="139"/>
      <c r="AB88" s="275"/>
      <c r="AC88" s="239"/>
      <c r="AD88" s="239"/>
      <c r="AE88" s="239"/>
      <c r="AF88" s="239"/>
      <c r="AG88" s="239"/>
      <c r="AH88" s="239"/>
      <c r="AI88" s="239"/>
    </row>
    <row r="89" spans="1:35">
      <c r="A89" s="64"/>
      <c r="B89" s="75"/>
      <c r="C89" s="88"/>
      <c r="D89" s="77"/>
      <c r="E89" s="78"/>
      <c r="F89" s="79"/>
      <c r="G89" s="79"/>
      <c r="H89" s="79"/>
      <c r="I89" s="80"/>
      <c r="J89" s="80"/>
      <c r="K89" s="81"/>
      <c r="L89" s="79"/>
      <c r="M89" s="82"/>
      <c r="N89" s="82"/>
      <c r="O89" s="82"/>
      <c r="P89" s="82"/>
      <c r="Q89" s="83"/>
      <c r="R89" s="83"/>
      <c r="W89" s="134"/>
      <c r="AA89" s="139"/>
      <c r="AB89" s="275"/>
      <c r="AC89" s="134"/>
      <c r="AD89" s="134"/>
      <c r="AE89" s="134"/>
      <c r="AF89" s="134"/>
      <c r="AG89" s="134"/>
      <c r="AH89" s="134"/>
      <c r="AI89" s="134"/>
    </row>
    <row r="90" spans="1:35">
      <c r="A90" s="64"/>
      <c r="B90" s="75"/>
      <c r="C90" s="88"/>
      <c r="D90" s="77"/>
      <c r="E90" s="78"/>
      <c r="F90" s="79"/>
      <c r="G90" s="79"/>
      <c r="H90" s="79"/>
      <c r="I90" s="80"/>
      <c r="J90" s="80"/>
      <c r="K90" s="81"/>
      <c r="L90" s="79"/>
      <c r="M90" s="82"/>
      <c r="N90" s="82"/>
      <c r="O90" s="82"/>
      <c r="P90" s="82"/>
      <c r="Q90" s="83"/>
      <c r="R90" s="83"/>
      <c r="W90" s="134"/>
      <c r="AA90" s="139"/>
      <c r="AB90" s="275"/>
      <c r="AC90" s="134"/>
      <c r="AD90" s="134"/>
      <c r="AE90" s="134"/>
      <c r="AF90" s="134"/>
      <c r="AG90" s="134"/>
      <c r="AH90" s="134"/>
      <c r="AI90" s="134"/>
    </row>
    <row r="91" spans="1:35">
      <c r="A91" s="64"/>
      <c r="B91" s="75"/>
      <c r="C91" s="88"/>
      <c r="D91" s="77"/>
      <c r="E91" s="78"/>
      <c r="F91" s="79"/>
      <c r="G91" s="79"/>
      <c r="H91" s="79"/>
      <c r="I91" s="80"/>
      <c r="J91" s="80"/>
      <c r="K91" s="81"/>
      <c r="L91" s="79"/>
      <c r="M91" s="82"/>
      <c r="N91" s="82"/>
      <c r="O91" s="82"/>
      <c r="P91" s="82"/>
      <c r="Q91" s="83"/>
      <c r="R91" s="83"/>
      <c r="W91" s="134"/>
      <c r="AA91" s="139"/>
      <c r="AB91" s="275"/>
      <c r="AC91" s="134"/>
      <c r="AD91" s="134"/>
      <c r="AE91" s="134"/>
      <c r="AF91" s="134"/>
      <c r="AG91" s="134"/>
      <c r="AH91" s="134"/>
      <c r="AI91" s="134"/>
    </row>
    <row r="92" spans="1:35">
      <c r="A92" s="64"/>
      <c r="B92" s="75"/>
      <c r="C92" s="88"/>
      <c r="D92" s="77"/>
      <c r="E92" s="78"/>
      <c r="F92" s="79"/>
      <c r="G92" s="79"/>
      <c r="H92" s="79"/>
      <c r="I92" s="80"/>
      <c r="J92" s="80"/>
      <c r="K92" s="81"/>
      <c r="L92" s="79"/>
      <c r="M92" s="82"/>
      <c r="N92" s="82"/>
      <c r="O92" s="82"/>
      <c r="P92" s="82"/>
      <c r="Q92" s="83"/>
      <c r="R92" s="83"/>
      <c r="W92" s="134"/>
      <c r="AA92" s="139"/>
      <c r="AB92" s="275"/>
      <c r="AC92" s="134"/>
      <c r="AD92" s="134"/>
      <c r="AE92" s="134"/>
      <c r="AF92" s="134"/>
      <c r="AG92" s="134"/>
      <c r="AH92" s="134"/>
      <c r="AI92" s="134"/>
    </row>
    <row r="93" spans="1:35">
      <c r="A93" s="64"/>
      <c r="B93" s="75"/>
      <c r="C93" s="88"/>
      <c r="D93" s="77"/>
      <c r="E93" s="78"/>
      <c r="F93" s="79"/>
      <c r="G93" s="79"/>
      <c r="H93" s="79"/>
      <c r="I93" s="80"/>
      <c r="J93" s="80"/>
      <c r="K93" s="81"/>
      <c r="L93" s="79"/>
      <c r="M93" s="82"/>
      <c r="N93" s="82"/>
      <c r="O93" s="82"/>
      <c r="P93" s="82"/>
      <c r="Q93" s="83"/>
      <c r="R93" s="83"/>
      <c r="W93" s="134"/>
      <c r="AA93" s="139"/>
      <c r="AB93" s="275"/>
      <c r="AC93" s="134"/>
      <c r="AD93" s="134"/>
      <c r="AE93" s="134"/>
      <c r="AF93" s="134"/>
      <c r="AG93" s="134"/>
      <c r="AH93" s="134"/>
      <c r="AI93" s="134"/>
    </row>
    <row r="94" spans="1:35">
      <c r="A94" s="64"/>
      <c r="B94" s="75"/>
      <c r="C94" s="88"/>
      <c r="D94" s="77"/>
      <c r="E94" s="78"/>
      <c r="F94" s="79"/>
      <c r="G94" s="79"/>
      <c r="H94" s="79"/>
      <c r="I94" s="80"/>
      <c r="J94" s="80"/>
      <c r="K94" s="81"/>
      <c r="L94" s="79"/>
      <c r="M94" s="82"/>
      <c r="N94" s="82"/>
      <c r="O94" s="82"/>
      <c r="P94" s="82"/>
      <c r="Q94" s="83"/>
      <c r="R94" s="83"/>
      <c r="W94" s="134"/>
      <c r="AA94" s="139"/>
      <c r="AB94" s="275"/>
      <c r="AC94" s="134"/>
      <c r="AD94" s="134"/>
      <c r="AE94" s="134"/>
      <c r="AF94" s="134"/>
      <c r="AG94" s="134"/>
      <c r="AH94" s="134"/>
      <c r="AI94" s="134"/>
    </row>
    <row r="95" spans="1:35">
      <c r="A95" s="64"/>
      <c r="B95" s="75"/>
      <c r="C95" s="88"/>
      <c r="D95" s="77"/>
      <c r="E95" s="78"/>
      <c r="F95" s="79"/>
      <c r="G95" s="79"/>
      <c r="H95" s="79"/>
      <c r="I95" s="80"/>
      <c r="J95" s="80"/>
      <c r="K95" s="81"/>
      <c r="L95" s="79"/>
      <c r="M95" s="82"/>
      <c r="N95" s="82"/>
      <c r="O95" s="82"/>
      <c r="P95" s="82"/>
      <c r="Q95" s="83"/>
      <c r="R95" s="83"/>
      <c r="W95" s="134"/>
      <c r="AA95" s="139"/>
      <c r="AB95" s="275"/>
      <c r="AC95" s="134"/>
      <c r="AD95" s="134"/>
      <c r="AE95" s="134"/>
      <c r="AF95" s="134"/>
      <c r="AG95" s="134"/>
      <c r="AH95" s="134"/>
      <c r="AI95" s="134"/>
    </row>
    <row r="96" spans="1:35">
      <c r="A96" s="64"/>
      <c r="B96" s="75"/>
      <c r="C96" s="88"/>
      <c r="D96" s="77"/>
      <c r="E96" s="78"/>
      <c r="F96" s="79"/>
      <c r="G96" s="79"/>
      <c r="H96" s="79"/>
      <c r="I96" s="80"/>
      <c r="J96" s="80"/>
      <c r="K96" s="81"/>
      <c r="L96" s="79"/>
      <c r="M96" s="82"/>
      <c r="N96" s="82"/>
      <c r="O96" s="82"/>
      <c r="P96" s="82"/>
      <c r="Q96" s="83"/>
      <c r="R96" s="83"/>
      <c r="W96" s="134"/>
      <c r="AA96" s="139"/>
      <c r="AB96" s="275"/>
      <c r="AC96" s="134"/>
      <c r="AD96" s="134"/>
      <c r="AE96" s="134"/>
      <c r="AF96" s="134"/>
      <c r="AG96" s="134"/>
      <c r="AH96" s="134"/>
      <c r="AI96" s="134"/>
    </row>
    <row r="97" spans="1:35">
      <c r="A97" s="64"/>
      <c r="B97" s="75"/>
      <c r="C97" s="88"/>
      <c r="D97" s="77"/>
      <c r="E97" s="78"/>
      <c r="F97" s="79"/>
      <c r="G97" s="79"/>
      <c r="H97" s="79"/>
      <c r="I97" s="80"/>
      <c r="J97" s="80"/>
      <c r="K97" s="81"/>
      <c r="L97" s="79"/>
      <c r="M97" s="82"/>
      <c r="N97" s="82"/>
      <c r="O97" s="82"/>
      <c r="P97" s="82"/>
      <c r="Q97" s="83"/>
      <c r="R97" s="83"/>
      <c r="W97" s="134"/>
      <c r="AA97" s="139"/>
      <c r="AB97" s="275"/>
      <c r="AC97" s="134"/>
      <c r="AD97" s="134"/>
      <c r="AE97" s="134"/>
      <c r="AF97" s="134"/>
      <c r="AG97" s="134"/>
      <c r="AH97" s="134"/>
      <c r="AI97" s="134"/>
    </row>
    <row r="98" spans="1:35">
      <c r="A98" s="64"/>
      <c r="B98" s="75"/>
      <c r="C98" s="88"/>
      <c r="D98" s="77"/>
      <c r="E98" s="78"/>
      <c r="F98" s="79"/>
      <c r="G98" s="79"/>
      <c r="H98" s="79"/>
      <c r="I98" s="80"/>
      <c r="J98" s="80"/>
      <c r="K98" s="81"/>
      <c r="L98" s="79"/>
      <c r="M98" s="82"/>
      <c r="N98" s="82"/>
      <c r="O98" s="82"/>
      <c r="P98" s="82"/>
      <c r="Q98" s="83"/>
      <c r="R98" s="83"/>
      <c r="S98" s="82"/>
      <c r="W98" s="134"/>
      <c r="AA98" s="139"/>
      <c r="AB98" s="275"/>
      <c r="AC98" s="134"/>
      <c r="AD98" s="134"/>
      <c r="AE98" s="134"/>
      <c r="AF98" s="134"/>
      <c r="AG98" s="134"/>
      <c r="AH98" s="134"/>
      <c r="AI98" s="134"/>
    </row>
    <row r="99" spans="1:35">
      <c r="A99" s="64"/>
      <c r="B99" s="75"/>
      <c r="C99" s="88"/>
      <c r="D99" s="77"/>
      <c r="E99" s="78"/>
      <c r="F99" s="79"/>
      <c r="G99" s="79"/>
      <c r="H99" s="79"/>
      <c r="I99" s="80"/>
      <c r="J99" s="80"/>
      <c r="K99" s="81"/>
      <c r="L99" s="79"/>
      <c r="M99" s="82"/>
      <c r="N99" s="82"/>
      <c r="O99" s="82"/>
      <c r="P99" s="82"/>
      <c r="Q99" s="83"/>
      <c r="R99" s="83"/>
      <c r="W99" s="134"/>
      <c r="AA99" s="139"/>
      <c r="AB99" s="275"/>
      <c r="AC99" s="134"/>
      <c r="AD99" s="134"/>
      <c r="AE99" s="134"/>
      <c r="AF99" s="134"/>
      <c r="AG99" s="134"/>
      <c r="AH99" s="134"/>
      <c r="AI99" s="134"/>
    </row>
    <row r="100" spans="1:35">
      <c r="A100" s="64"/>
      <c r="B100" s="75"/>
      <c r="C100" s="88"/>
      <c r="D100" s="77"/>
      <c r="E100" s="78"/>
      <c r="F100" s="79"/>
      <c r="G100" s="79"/>
      <c r="H100" s="79"/>
      <c r="I100" s="80"/>
      <c r="J100" s="80"/>
      <c r="K100" s="81"/>
      <c r="L100" s="79"/>
      <c r="M100" s="82"/>
      <c r="N100" s="82"/>
      <c r="O100" s="82"/>
      <c r="P100" s="82"/>
      <c r="Q100" s="83"/>
      <c r="R100" s="83"/>
      <c r="W100" s="134"/>
      <c r="AA100" s="139"/>
      <c r="AB100" s="275"/>
      <c r="AC100" s="134"/>
      <c r="AD100" s="134"/>
      <c r="AE100" s="134"/>
      <c r="AF100" s="134"/>
      <c r="AG100" s="134"/>
      <c r="AH100" s="134"/>
      <c r="AI100" s="134"/>
    </row>
    <row r="101" spans="1:35">
      <c r="A101" s="64"/>
      <c r="B101" s="75"/>
      <c r="C101" s="88"/>
      <c r="D101" s="77"/>
      <c r="E101" s="78"/>
      <c r="F101" s="79"/>
      <c r="G101" s="79"/>
      <c r="H101" s="79"/>
      <c r="I101" s="80"/>
      <c r="J101" s="80"/>
      <c r="K101" s="81"/>
      <c r="L101" s="79"/>
      <c r="M101" s="82"/>
      <c r="N101" s="82"/>
      <c r="O101" s="82"/>
      <c r="P101" s="82"/>
      <c r="Q101" s="83"/>
      <c r="R101" s="83"/>
      <c r="W101" s="134"/>
      <c r="AC101" s="134"/>
      <c r="AD101" s="134"/>
      <c r="AE101" s="134"/>
      <c r="AF101" s="134"/>
      <c r="AG101" s="134"/>
      <c r="AH101" s="134"/>
      <c r="AI101" s="134"/>
    </row>
    <row r="102" spans="1:35">
      <c r="A102" s="64"/>
      <c r="B102" s="75"/>
      <c r="C102" s="88"/>
      <c r="D102" s="77"/>
      <c r="E102" s="78"/>
      <c r="F102" s="79"/>
      <c r="G102" s="79"/>
      <c r="H102" s="79"/>
      <c r="I102" s="80"/>
      <c r="J102" s="80"/>
      <c r="K102" s="81"/>
      <c r="L102" s="79"/>
      <c r="M102" s="82"/>
      <c r="N102" s="82"/>
      <c r="O102" s="82"/>
      <c r="P102" s="82"/>
      <c r="Q102" s="83"/>
      <c r="R102" s="83"/>
      <c r="W102" s="134"/>
      <c r="AC102" s="134"/>
      <c r="AD102" s="134"/>
      <c r="AE102" s="134"/>
      <c r="AF102" s="134"/>
      <c r="AG102" s="134"/>
      <c r="AH102" s="134"/>
      <c r="AI102" s="134"/>
    </row>
    <row r="103" spans="1:35">
      <c r="A103" s="64"/>
      <c r="B103" s="75"/>
      <c r="C103" s="88"/>
      <c r="D103" s="77"/>
      <c r="E103" s="78"/>
      <c r="F103" s="79"/>
      <c r="G103" s="79"/>
      <c r="H103" s="79"/>
      <c r="I103" s="80"/>
      <c r="J103" s="80"/>
      <c r="K103" s="81"/>
      <c r="L103" s="79"/>
      <c r="M103" s="82"/>
      <c r="N103" s="82"/>
      <c r="O103" s="82"/>
      <c r="P103" s="82"/>
      <c r="Q103" s="83"/>
      <c r="R103" s="83"/>
      <c r="W103" s="134"/>
    </row>
    <row r="104" spans="1:35">
      <c r="A104" s="64"/>
      <c r="B104" s="75"/>
      <c r="C104" s="88"/>
      <c r="D104" s="77"/>
      <c r="E104" s="78"/>
      <c r="F104" s="79"/>
      <c r="G104" s="79"/>
      <c r="H104" s="79"/>
      <c r="I104" s="80"/>
      <c r="J104" s="80"/>
      <c r="K104" s="81"/>
      <c r="L104" s="79"/>
      <c r="M104" s="82"/>
      <c r="N104" s="82"/>
      <c r="O104" s="82"/>
      <c r="P104" s="82"/>
      <c r="Q104" s="83"/>
      <c r="R104" s="83"/>
      <c r="W104" s="134"/>
    </row>
    <row r="105" spans="1:35">
      <c r="A105" s="64"/>
      <c r="B105" s="75"/>
      <c r="C105" s="88"/>
      <c r="D105" s="77"/>
      <c r="E105" s="78"/>
      <c r="F105" s="79"/>
      <c r="G105" s="79"/>
      <c r="H105" s="79"/>
      <c r="I105" s="80"/>
      <c r="J105" s="80"/>
      <c r="K105" s="81"/>
      <c r="L105" s="79"/>
      <c r="M105" s="82"/>
      <c r="N105" s="82"/>
      <c r="O105" s="82"/>
      <c r="P105" s="82"/>
      <c r="Q105" s="83"/>
      <c r="R105" s="83"/>
      <c r="W105" s="134"/>
    </row>
    <row r="106" spans="1:35">
      <c r="A106" s="64"/>
      <c r="B106" s="75"/>
      <c r="C106" s="88"/>
      <c r="D106" s="77"/>
      <c r="E106" s="78"/>
      <c r="F106" s="79"/>
      <c r="G106" s="79"/>
      <c r="H106" s="79"/>
      <c r="I106" s="80"/>
      <c r="J106" s="80"/>
      <c r="K106" s="81"/>
      <c r="L106" s="79"/>
      <c r="M106" s="82"/>
      <c r="N106" s="82"/>
      <c r="O106" s="82"/>
      <c r="P106" s="82"/>
      <c r="Q106" s="83"/>
      <c r="R106" s="83"/>
      <c r="S106" s="64"/>
      <c r="T106" s="64"/>
      <c r="U106" s="64"/>
      <c r="W106" s="134"/>
      <c r="Y106" s="64"/>
      <c r="Z106" s="64"/>
      <c r="AA106" s="139"/>
      <c r="AB106" s="275"/>
    </row>
    <row r="107" spans="1:35">
      <c r="A107" s="64"/>
      <c r="B107" s="75"/>
      <c r="C107" s="88"/>
      <c r="D107" s="77"/>
      <c r="E107" s="78"/>
      <c r="F107" s="79"/>
      <c r="G107" s="79"/>
      <c r="H107" s="79"/>
      <c r="I107" s="80"/>
      <c r="J107" s="80"/>
      <c r="K107" s="81"/>
      <c r="L107" s="79"/>
      <c r="M107" s="82"/>
      <c r="N107" s="82"/>
      <c r="O107" s="82"/>
      <c r="P107" s="82"/>
      <c r="Q107" s="83"/>
      <c r="R107" s="83"/>
      <c r="S107" s="64"/>
      <c r="T107" s="64"/>
      <c r="U107" s="64"/>
      <c r="W107" s="134"/>
      <c r="Y107" s="64"/>
      <c r="Z107" s="64"/>
      <c r="AA107" s="139"/>
      <c r="AB107" s="275"/>
    </row>
    <row r="108" spans="1:35">
      <c r="A108" s="64"/>
      <c r="B108" s="75"/>
      <c r="C108" s="88"/>
      <c r="D108" s="77"/>
      <c r="E108" s="78"/>
      <c r="F108" s="79"/>
      <c r="G108" s="79"/>
      <c r="H108" s="79"/>
      <c r="I108" s="80"/>
      <c r="J108" s="80"/>
      <c r="K108" s="81"/>
      <c r="L108" s="79"/>
      <c r="M108" s="82"/>
      <c r="N108" s="82"/>
      <c r="O108" s="82"/>
      <c r="P108" s="82"/>
      <c r="Q108" s="83"/>
      <c r="R108" s="83"/>
      <c r="S108" s="64"/>
      <c r="T108" s="64"/>
      <c r="U108" s="64"/>
      <c r="W108" s="134"/>
      <c r="Y108" s="64"/>
      <c r="Z108" s="64"/>
      <c r="AA108" s="139"/>
      <c r="AB108" s="275"/>
    </row>
    <row r="109" spans="1:35">
      <c r="A109" s="64"/>
      <c r="B109" s="75"/>
      <c r="C109" s="88"/>
      <c r="D109" s="77"/>
      <c r="E109" s="78"/>
      <c r="F109" s="79"/>
      <c r="G109" s="79"/>
      <c r="H109" s="79"/>
      <c r="I109" s="80"/>
      <c r="J109" s="80"/>
      <c r="K109" s="81"/>
      <c r="L109" s="79"/>
      <c r="M109" s="82"/>
      <c r="N109" s="82"/>
      <c r="O109" s="82"/>
      <c r="P109" s="82"/>
      <c r="Q109" s="83"/>
      <c r="R109" s="83"/>
      <c r="S109" s="64"/>
      <c r="T109" s="64"/>
      <c r="U109" s="64"/>
      <c r="W109" s="134"/>
      <c r="Y109" s="64"/>
      <c r="Z109" s="64"/>
      <c r="AA109" s="139"/>
      <c r="AB109" s="275"/>
    </row>
    <row r="110" spans="1:35">
      <c r="A110" s="64"/>
      <c r="B110" s="75"/>
      <c r="C110" s="88"/>
      <c r="D110" s="77"/>
      <c r="E110" s="78"/>
      <c r="F110" s="79"/>
      <c r="G110" s="79"/>
      <c r="H110" s="79"/>
      <c r="I110" s="80"/>
      <c r="J110" s="80"/>
      <c r="K110" s="81"/>
      <c r="L110" s="79"/>
      <c r="M110" s="82"/>
      <c r="N110" s="82"/>
      <c r="O110" s="82"/>
      <c r="P110" s="82"/>
      <c r="Q110" s="83"/>
      <c r="R110" s="83"/>
      <c r="S110" s="64"/>
      <c r="T110" s="64"/>
      <c r="U110" s="64"/>
      <c r="W110" s="134"/>
      <c r="Y110" s="64"/>
      <c r="Z110" s="64"/>
      <c r="AA110" s="139"/>
      <c r="AB110" s="275"/>
    </row>
    <row r="111" spans="1:35">
      <c r="A111" s="64"/>
      <c r="B111" s="75"/>
      <c r="C111" s="88"/>
      <c r="D111" s="77"/>
      <c r="E111" s="78"/>
      <c r="F111" s="79"/>
      <c r="G111" s="79"/>
      <c r="H111" s="79"/>
      <c r="I111" s="80"/>
      <c r="J111" s="80"/>
      <c r="K111" s="81"/>
      <c r="L111" s="79"/>
      <c r="M111" s="82"/>
      <c r="N111" s="82"/>
      <c r="O111" s="82"/>
      <c r="P111" s="82"/>
      <c r="Q111" s="83"/>
      <c r="R111" s="83"/>
      <c r="S111" s="64"/>
      <c r="T111" s="64"/>
      <c r="U111" s="64"/>
      <c r="W111" s="134"/>
      <c r="Y111" s="64"/>
      <c r="Z111" s="64"/>
      <c r="AA111" s="139"/>
      <c r="AB111" s="275"/>
    </row>
    <row r="112" spans="1:35">
      <c r="A112" s="64"/>
      <c r="B112" s="75"/>
      <c r="C112" s="88"/>
      <c r="D112" s="77"/>
      <c r="E112" s="78"/>
      <c r="F112" s="79"/>
      <c r="G112" s="79"/>
      <c r="H112" s="79"/>
      <c r="I112" s="80"/>
      <c r="J112" s="80"/>
      <c r="K112" s="81"/>
      <c r="L112" s="79"/>
      <c r="M112" s="82"/>
      <c r="N112" s="82"/>
      <c r="O112" s="82"/>
      <c r="P112" s="82"/>
      <c r="Q112" s="83"/>
      <c r="R112" s="83"/>
      <c r="S112" s="64"/>
      <c r="T112" s="64"/>
      <c r="U112" s="64"/>
      <c r="W112" s="134"/>
      <c r="Y112" s="64"/>
      <c r="Z112" s="64"/>
      <c r="AA112" s="139"/>
      <c r="AB112" s="275"/>
    </row>
    <row r="113" spans="1:28">
      <c r="A113" s="64"/>
      <c r="B113" s="75"/>
      <c r="C113" s="88"/>
      <c r="D113" s="77"/>
      <c r="E113" s="78"/>
      <c r="F113" s="79"/>
      <c r="G113" s="79"/>
      <c r="H113" s="79"/>
      <c r="I113" s="80"/>
      <c r="J113" s="80"/>
      <c r="K113" s="81"/>
      <c r="L113" s="79"/>
      <c r="M113" s="82"/>
      <c r="N113" s="82"/>
      <c r="O113" s="82"/>
      <c r="P113" s="82"/>
      <c r="Q113" s="83"/>
      <c r="R113" s="83"/>
      <c r="S113" s="64"/>
      <c r="T113" s="64"/>
      <c r="U113" s="64"/>
      <c r="W113" s="134"/>
      <c r="Y113" s="64"/>
      <c r="Z113" s="64"/>
      <c r="AA113" s="139"/>
      <c r="AB113" s="275"/>
    </row>
    <row r="114" spans="1:28">
      <c r="A114" s="64"/>
      <c r="B114" s="75"/>
      <c r="C114" s="88"/>
      <c r="D114" s="77"/>
      <c r="E114" s="78"/>
      <c r="F114" s="79"/>
      <c r="G114" s="79"/>
      <c r="H114" s="79"/>
      <c r="I114" s="80"/>
      <c r="J114" s="80"/>
      <c r="K114" s="81"/>
      <c r="L114" s="79"/>
      <c r="M114" s="82"/>
      <c r="N114" s="82"/>
      <c r="O114" s="82"/>
      <c r="P114" s="82"/>
      <c r="Q114" s="83"/>
      <c r="R114" s="83"/>
      <c r="S114" s="64"/>
      <c r="T114" s="64"/>
      <c r="U114" s="64"/>
      <c r="W114" s="134"/>
      <c r="Y114" s="64"/>
      <c r="Z114" s="64"/>
      <c r="AA114" s="139"/>
      <c r="AB114" s="275"/>
    </row>
    <row r="115" spans="1:28">
      <c r="A115" s="64"/>
      <c r="B115" s="75"/>
      <c r="C115" s="88"/>
      <c r="D115" s="77"/>
      <c r="E115" s="78"/>
      <c r="F115" s="79"/>
      <c r="G115" s="79"/>
      <c r="H115" s="79"/>
      <c r="I115" s="80"/>
      <c r="J115" s="80"/>
      <c r="K115" s="81"/>
      <c r="L115" s="79"/>
      <c r="M115" s="82"/>
      <c r="N115" s="82"/>
      <c r="O115" s="82"/>
      <c r="P115" s="82"/>
      <c r="Q115" s="83"/>
      <c r="R115" s="83"/>
      <c r="S115" s="64"/>
      <c r="T115" s="64"/>
      <c r="U115" s="64"/>
      <c r="W115" s="134"/>
      <c r="Y115" s="64"/>
      <c r="Z115" s="64"/>
      <c r="AA115" s="139"/>
      <c r="AB115" s="275"/>
    </row>
    <row r="116" spans="1:28">
      <c r="A116" s="64"/>
      <c r="B116" s="75"/>
      <c r="C116" s="88"/>
      <c r="D116" s="77"/>
      <c r="E116" s="78"/>
      <c r="F116" s="79"/>
      <c r="G116" s="79"/>
      <c r="H116" s="79"/>
      <c r="I116" s="80"/>
      <c r="J116" s="80"/>
      <c r="K116" s="81"/>
      <c r="L116" s="79"/>
      <c r="M116" s="82"/>
      <c r="N116" s="82"/>
      <c r="O116" s="82"/>
      <c r="P116" s="82"/>
      <c r="Q116" s="83"/>
      <c r="R116" s="83"/>
      <c r="S116" s="64"/>
      <c r="T116" s="64"/>
      <c r="U116" s="64"/>
      <c r="W116" s="134"/>
      <c r="Y116" s="64"/>
      <c r="Z116" s="64"/>
      <c r="AA116" s="139"/>
      <c r="AB116" s="275"/>
    </row>
    <row r="117" spans="1:28">
      <c r="A117" s="64"/>
      <c r="B117" s="75"/>
      <c r="C117" s="88"/>
      <c r="D117" s="77"/>
      <c r="E117" s="78"/>
      <c r="F117" s="79"/>
      <c r="G117" s="79"/>
      <c r="H117" s="79"/>
      <c r="I117" s="80"/>
      <c r="J117" s="80"/>
      <c r="K117" s="81"/>
      <c r="L117" s="79"/>
      <c r="M117" s="82"/>
      <c r="N117" s="82"/>
      <c r="O117" s="82"/>
      <c r="P117" s="82"/>
      <c r="Q117" s="83"/>
      <c r="R117" s="83"/>
      <c r="S117" s="64"/>
      <c r="T117" s="64"/>
      <c r="U117" s="64"/>
      <c r="W117" s="134"/>
      <c r="Y117" s="64"/>
      <c r="Z117" s="64"/>
      <c r="AA117" s="139"/>
      <c r="AB117" s="275"/>
    </row>
    <row r="118" spans="1:28">
      <c r="A118" s="64"/>
      <c r="B118" s="75"/>
      <c r="C118" s="88"/>
      <c r="D118" s="77"/>
      <c r="E118" s="78"/>
      <c r="F118" s="79"/>
      <c r="G118" s="79"/>
      <c r="H118" s="79"/>
      <c r="I118" s="80"/>
      <c r="J118" s="80"/>
      <c r="K118" s="81"/>
      <c r="L118" s="79"/>
      <c r="M118" s="79"/>
      <c r="N118" s="79"/>
      <c r="O118" s="79"/>
      <c r="P118" s="82"/>
      <c r="Q118" s="83"/>
      <c r="R118" s="83"/>
      <c r="S118" s="64"/>
      <c r="T118" s="64"/>
      <c r="U118" s="64"/>
      <c r="W118" s="134"/>
      <c r="Y118" s="64"/>
      <c r="Z118" s="64"/>
      <c r="AA118" s="139"/>
      <c r="AB118" s="275"/>
    </row>
    <row r="119" spans="1:28">
      <c r="A119" s="64"/>
      <c r="B119" s="75"/>
      <c r="C119" s="88"/>
      <c r="D119" s="77"/>
      <c r="E119" s="78"/>
      <c r="F119" s="79"/>
      <c r="G119" s="79"/>
      <c r="H119" s="79"/>
      <c r="I119" s="80"/>
      <c r="J119" s="80"/>
      <c r="K119" s="81"/>
      <c r="L119" s="79"/>
      <c r="M119" s="79"/>
      <c r="N119" s="79"/>
      <c r="O119" s="79"/>
      <c r="P119" s="82"/>
      <c r="Q119" s="83"/>
      <c r="R119" s="83"/>
      <c r="S119" s="64"/>
      <c r="T119" s="64"/>
      <c r="U119" s="64"/>
      <c r="W119" s="134"/>
      <c r="Y119" s="64"/>
      <c r="Z119" s="64"/>
      <c r="AA119" s="139"/>
      <c r="AB119" s="275"/>
    </row>
    <row r="120" spans="1:28">
      <c r="A120" s="64"/>
      <c r="B120" s="75"/>
      <c r="C120" s="88"/>
      <c r="D120" s="77"/>
      <c r="E120" s="78"/>
      <c r="F120" s="79"/>
      <c r="G120" s="79"/>
      <c r="H120" s="79"/>
      <c r="I120" s="80"/>
      <c r="J120" s="80"/>
      <c r="K120" s="81"/>
      <c r="L120" s="79"/>
      <c r="M120" s="79"/>
      <c r="N120" s="79"/>
      <c r="O120" s="79"/>
      <c r="P120" s="82"/>
      <c r="Q120" s="83"/>
      <c r="R120" s="83"/>
      <c r="S120" s="64"/>
      <c r="T120" s="64"/>
      <c r="U120" s="64"/>
      <c r="W120" s="134"/>
      <c r="Y120" s="64"/>
      <c r="Z120" s="64"/>
      <c r="AA120" s="139"/>
      <c r="AB120" s="275"/>
    </row>
    <row r="121" spans="1:28">
      <c r="A121" s="64"/>
      <c r="B121" s="75"/>
      <c r="C121" s="88"/>
      <c r="D121" s="77"/>
      <c r="E121" s="78"/>
      <c r="F121" s="79"/>
      <c r="G121" s="79"/>
      <c r="H121" s="79"/>
      <c r="I121" s="80"/>
      <c r="J121" s="80"/>
      <c r="K121" s="81"/>
      <c r="L121" s="79"/>
      <c r="M121" s="79"/>
      <c r="N121" s="79"/>
      <c r="O121" s="79"/>
      <c r="P121" s="82"/>
      <c r="Q121" s="83"/>
      <c r="R121" s="83"/>
      <c r="S121" s="64"/>
      <c r="T121" s="64"/>
      <c r="U121" s="64"/>
      <c r="W121" s="134"/>
      <c r="Y121" s="64"/>
      <c r="Z121" s="64"/>
      <c r="AA121" s="139"/>
      <c r="AB121" s="275"/>
    </row>
    <row r="122" spans="1:28">
      <c r="A122" s="64"/>
      <c r="B122" s="75"/>
      <c r="C122" s="88"/>
      <c r="D122" s="77"/>
      <c r="E122" s="78"/>
      <c r="F122" s="79"/>
      <c r="G122" s="79"/>
      <c r="H122" s="79"/>
      <c r="I122" s="80"/>
      <c r="J122" s="80"/>
      <c r="K122" s="81"/>
      <c r="L122" s="79"/>
      <c r="M122" s="79"/>
      <c r="N122" s="79"/>
      <c r="O122" s="79"/>
      <c r="P122" s="82"/>
      <c r="Q122" s="83"/>
      <c r="R122" s="83"/>
      <c r="S122" s="64"/>
      <c r="T122" s="64"/>
      <c r="U122" s="64"/>
      <c r="W122" s="134"/>
      <c r="Y122" s="64"/>
      <c r="Z122" s="64"/>
      <c r="AA122" s="139"/>
      <c r="AB122" s="275"/>
    </row>
    <row r="123" spans="1:28">
      <c r="A123" s="64"/>
      <c r="B123" s="75"/>
      <c r="C123" s="88"/>
      <c r="D123" s="77"/>
      <c r="E123" s="78"/>
      <c r="F123" s="79"/>
      <c r="G123" s="79"/>
      <c r="H123" s="79"/>
      <c r="I123" s="80"/>
      <c r="J123" s="80"/>
      <c r="K123" s="81"/>
      <c r="L123" s="79"/>
      <c r="M123" s="79"/>
      <c r="N123" s="79"/>
      <c r="O123" s="79"/>
      <c r="P123" s="82"/>
      <c r="Q123" s="83"/>
      <c r="R123" s="83"/>
      <c r="S123" s="64"/>
      <c r="T123" s="64"/>
      <c r="U123" s="64"/>
      <c r="W123" s="134"/>
      <c r="Y123" s="64"/>
      <c r="Z123" s="64"/>
      <c r="AA123" s="139"/>
      <c r="AB123" s="275"/>
    </row>
    <row r="124" spans="1:28">
      <c r="A124" s="64"/>
      <c r="B124" s="75"/>
      <c r="C124" s="88"/>
      <c r="D124" s="77"/>
      <c r="E124" s="78"/>
      <c r="F124" s="79"/>
      <c r="G124" s="79"/>
      <c r="H124" s="79"/>
      <c r="I124" s="80"/>
      <c r="J124" s="80"/>
      <c r="K124" s="81"/>
      <c r="L124" s="79"/>
      <c r="M124" s="79"/>
      <c r="N124" s="79"/>
      <c r="O124" s="79"/>
      <c r="P124" s="82"/>
      <c r="Q124" s="83"/>
      <c r="R124" s="83"/>
      <c r="S124" s="64"/>
      <c r="T124" s="64"/>
      <c r="U124" s="64"/>
      <c r="W124" s="134"/>
      <c r="Y124" s="64"/>
      <c r="Z124" s="64"/>
      <c r="AA124" s="139"/>
      <c r="AB124" s="275"/>
    </row>
    <row r="125" spans="1:28">
      <c r="A125" s="64"/>
      <c r="B125" s="75"/>
      <c r="C125" s="76"/>
      <c r="D125" s="77"/>
      <c r="E125" s="78"/>
      <c r="F125" s="79"/>
      <c r="G125" s="79"/>
      <c r="H125" s="79"/>
      <c r="I125" s="80"/>
      <c r="J125" s="80"/>
      <c r="K125" s="81"/>
      <c r="L125" s="79"/>
      <c r="M125" s="79"/>
      <c r="N125" s="79"/>
      <c r="O125" s="79"/>
      <c r="P125" s="82"/>
      <c r="Q125" s="83"/>
      <c r="R125" s="83"/>
      <c r="S125" s="64"/>
      <c r="T125" s="64"/>
      <c r="U125" s="64"/>
      <c r="W125" s="134"/>
      <c r="Y125" s="64"/>
      <c r="Z125" s="64"/>
      <c r="AA125" s="139"/>
      <c r="AB125" s="275"/>
    </row>
    <row r="126" spans="1:28">
      <c r="A126" s="64"/>
      <c r="B126" s="75"/>
      <c r="C126" s="76"/>
      <c r="D126" s="77"/>
      <c r="E126" s="78"/>
      <c r="F126" s="79"/>
      <c r="G126" s="79"/>
      <c r="H126" s="79"/>
      <c r="I126" s="80"/>
      <c r="J126" s="80"/>
      <c r="K126" s="81"/>
      <c r="L126" s="79"/>
      <c r="M126" s="79"/>
      <c r="N126" s="79"/>
      <c r="O126" s="79"/>
      <c r="P126" s="82"/>
      <c r="Q126" s="83"/>
      <c r="R126" s="83"/>
      <c r="S126" s="64"/>
      <c r="T126" s="64"/>
      <c r="U126" s="64"/>
      <c r="W126" s="134"/>
      <c r="Y126" s="64"/>
      <c r="Z126" s="64"/>
      <c r="AA126" s="139"/>
      <c r="AB126" s="275"/>
    </row>
    <row r="127" spans="1:28">
      <c r="A127" s="64"/>
      <c r="B127" s="75"/>
      <c r="C127" s="76"/>
      <c r="D127" s="77"/>
      <c r="E127" s="78"/>
      <c r="F127" s="79"/>
      <c r="G127" s="79"/>
      <c r="H127" s="79"/>
      <c r="I127" s="80"/>
      <c r="J127" s="80"/>
      <c r="K127" s="81"/>
      <c r="L127" s="79"/>
      <c r="M127" s="79"/>
      <c r="N127" s="79"/>
      <c r="O127" s="79"/>
      <c r="P127" s="82"/>
      <c r="Q127" s="83"/>
      <c r="R127" s="83"/>
      <c r="S127" s="64"/>
      <c r="T127" s="64"/>
      <c r="U127" s="64"/>
      <c r="W127" s="134"/>
      <c r="Y127" s="64"/>
      <c r="Z127" s="64"/>
      <c r="AA127" s="139"/>
      <c r="AB127" s="275"/>
    </row>
    <row r="128" spans="1:28">
      <c r="A128" s="64"/>
      <c r="B128" s="75"/>
      <c r="C128" s="76"/>
      <c r="D128" s="77"/>
      <c r="E128" s="78"/>
      <c r="F128" s="79"/>
      <c r="G128" s="79"/>
      <c r="H128" s="79"/>
      <c r="I128" s="80"/>
      <c r="J128" s="80"/>
      <c r="K128" s="81"/>
      <c r="L128" s="79"/>
      <c r="M128" s="79"/>
      <c r="N128" s="79"/>
      <c r="O128" s="79"/>
      <c r="P128" s="82"/>
      <c r="Q128" s="83"/>
      <c r="R128" s="83"/>
      <c r="S128" s="64"/>
      <c r="T128" s="64"/>
      <c r="U128" s="64"/>
      <c r="W128" s="134"/>
      <c r="Y128" s="64"/>
      <c r="Z128" s="64"/>
      <c r="AA128" s="139"/>
      <c r="AB128" s="275"/>
    </row>
    <row r="129" spans="1:28">
      <c r="A129" s="64"/>
      <c r="B129" s="75"/>
      <c r="C129" s="76"/>
      <c r="D129" s="77"/>
      <c r="E129" s="78"/>
      <c r="F129" s="79"/>
      <c r="G129" s="79"/>
      <c r="H129" s="79"/>
      <c r="I129" s="80"/>
      <c r="J129" s="80"/>
      <c r="K129" s="81"/>
      <c r="L129" s="79"/>
      <c r="M129" s="79"/>
      <c r="N129" s="79"/>
      <c r="O129" s="79"/>
      <c r="P129" s="82"/>
      <c r="Q129" s="83"/>
      <c r="R129" s="83"/>
      <c r="S129" s="64"/>
      <c r="T129" s="64"/>
      <c r="U129" s="64"/>
      <c r="W129" s="134"/>
      <c r="Y129" s="64"/>
      <c r="Z129" s="64"/>
      <c r="AA129" s="139"/>
      <c r="AB129" s="275"/>
    </row>
    <row r="130" spans="1:28">
      <c r="A130" s="64"/>
      <c r="B130" s="75"/>
      <c r="C130" s="76"/>
      <c r="D130" s="77"/>
      <c r="E130" s="78"/>
      <c r="F130" s="79"/>
      <c r="G130" s="79"/>
      <c r="H130" s="79"/>
      <c r="I130" s="80"/>
      <c r="J130" s="80"/>
      <c r="K130" s="81"/>
      <c r="L130" s="79"/>
      <c r="M130" s="79"/>
      <c r="N130" s="79"/>
      <c r="O130" s="79"/>
      <c r="P130" s="82"/>
      <c r="Q130" s="83"/>
      <c r="R130" s="83"/>
      <c r="S130" s="64"/>
      <c r="T130" s="64"/>
      <c r="U130" s="64"/>
      <c r="W130" s="134"/>
      <c r="Y130" s="64"/>
      <c r="Z130" s="64"/>
      <c r="AA130" s="139"/>
      <c r="AB130" s="275"/>
    </row>
    <row r="131" spans="1:28">
      <c r="A131" s="64"/>
      <c r="B131" s="75"/>
      <c r="C131" s="76"/>
      <c r="D131" s="77"/>
      <c r="E131" s="78"/>
      <c r="F131" s="79"/>
      <c r="G131" s="79"/>
      <c r="H131" s="79"/>
      <c r="I131" s="80"/>
      <c r="J131" s="80"/>
      <c r="K131" s="81"/>
      <c r="L131" s="79"/>
      <c r="M131" s="79"/>
      <c r="N131" s="79"/>
      <c r="O131" s="79"/>
      <c r="P131" s="82"/>
      <c r="Q131" s="83"/>
      <c r="R131" s="83"/>
      <c r="S131" s="64"/>
      <c r="T131" s="64"/>
      <c r="U131" s="64"/>
      <c r="W131" s="134"/>
      <c r="Y131" s="64"/>
      <c r="Z131" s="64"/>
      <c r="AA131" s="139"/>
      <c r="AB131" s="275"/>
    </row>
    <row r="132" spans="1:28">
      <c r="A132" s="64"/>
      <c r="B132" s="75"/>
      <c r="C132" s="76"/>
      <c r="D132" s="77"/>
      <c r="E132" s="78"/>
      <c r="F132" s="79"/>
      <c r="G132" s="79"/>
      <c r="H132" s="79"/>
      <c r="I132" s="80"/>
      <c r="J132" s="80"/>
      <c r="K132" s="81"/>
      <c r="L132" s="79"/>
      <c r="M132" s="79"/>
      <c r="N132" s="79"/>
      <c r="O132" s="79"/>
      <c r="P132" s="82"/>
      <c r="Q132" s="83"/>
      <c r="R132" s="83"/>
      <c r="S132" s="64"/>
      <c r="T132" s="64"/>
      <c r="U132" s="64"/>
      <c r="W132" s="134"/>
      <c r="Y132" s="64"/>
      <c r="Z132" s="64"/>
      <c r="AA132" s="139"/>
      <c r="AB132" s="275"/>
    </row>
    <row r="133" spans="1:28">
      <c r="A133" s="64"/>
      <c r="B133" s="75"/>
      <c r="C133" s="76"/>
      <c r="D133" s="77"/>
      <c r="E133" s="78"/>
      <c r="F133" s="79"/>
      <c r="G133" s="79"/>
      <c r="H133" s="79"/>
      <c r="I133" s="80"/>
      <c r="J133" s="80"/>
      <c r="K133" s="81"/>
      <c r="L133" s="79"/>
      <c r="M133" s="79"/>
      <c r="N133" s="79"/>
      <c r="O133" s="79"/>
      <c r="P133" s="82"/>
      <c r="Q133" s="83"/>
      <c r="R133" s="83"/>
      <c r="S133" s="64"/>
      <c r="T133" s="64"/>
      <c r="U133" s="64"/>
      <c r="W133" s="134"/>
      <c r="Y133" s="64"/>
      <c r="Z133" s="64"/>
      <c r="AA133" s="139"/>
      <c r="AB133" s="275"/>
    </row>
    <row r="134" spans="1:28">
      <c r="A134" s="64"/>
      <c r="B134" s="75"/>
      <c r="C134" s="76"/>
      <c r="D134" s="77"/>
      <c r="E134" s="78"/>
      <c r="F134" s="79"/>
      <c r="G134" s="79"/>
      <c r="H134" s="79"/>
      <c r="I134" s="80"/>
      <c r="J134" s="80"/>
      <c r="K134" s="81"/>
      <c r="L134" s="79"/>
      <c r="M134" s="79"/>
      <c r="N134" s="79"/>
      <c r="O134" s="79"/>
      <c r="P134" s="82"/>
      <c r="Q134" s="83"/>
      <c r="R134" s="83"/>
      <c r="S134" s="64"/>
      <c r="T134" s="64"/>
      <c r="U134" s="64"/>
      <c r="W134" s="134"/>
      <c r="Y134" s="64"/>
      <c r="Z134" s="64"/>
      <c r="AA134" s="139"/>
      <c r="AB134" s="275"/>
    </row>
    <row r="135" spans="1:28">
      <c r="A135" s="64"/>
      <c r="B135" s="75"/>
      <c r="C135" s="76"/>
      <c r="D135" s="77"/>
      <c r="E135" s="78"/>
      <c r="F135" s="79"/>
      <c r="G135" s="79"/>
      <c r="H135" s="79"/>
      <c r="I135" s="80"/>
      <c r="J135" s="80"/>
      <c r="K135" s="81"/>
      <c r="L135" s="79"/>
      <c r="M135" s="79"/>
      <c r="N135" s="79"/>
      <c r="O135" s="79"/>
      <c r="P135" s="82"/>
      <c r="Q135" s="83"/>
      <c r="R135" s="83"/>
      <c r="S135" s="64"/>
      <c r="T135" s="64"/>
      <c r="U135" s="64"/>
      <c r="W135" s="134"/>
      <c r="Y135" s="64"/>
      <c r="Z135" s="64"/>
      <c r="AA135" s="139"/>
      <c r="AB135" s="275"/>
    </row>
    <row r="136" spans="1:28">
      <c r="A136" s="64"/>
      <c r="B136" s="75"/>
      <c r="C136" s="76"/>
      <c r="D136" s="77"/>
      <c r="E136" s="78"/>
      <c r="F136" s="79"/>
      <c r="G136" s="79"/>
      <c r="H136" s="79"/>
      <c r="I136" s="80"/>
      <c r="J136" s="80"/>
      <c r="K136" s="81"/>
      <c r="L136" s="79"/>
      <c r="M136" s="79"/>
      <c r="N136" s="79"/>
      <c r="O136" s="79"/>
      <c r="P136" s="82"/>
      <c r="Q136" s="83"/>
      <c r="R136" s="83"/>
      <c r="S136" s="64"/>
      <c r="T136" s="64"/>
      <c r="U136" s="64"/>
      <c r="W136" s="134"/>
      <c r="Y136" s="64"/>
      <c r="Z136" s="64"/>
      <c r="AA136" s="139"/>
      <c r="AB136" s="275"/>
    </row>
    <row r="137" spans="1:28">
      <c r="A137" s="64"/>
      <c r="B137" s="75"/>
      <c r="C137" s="76"/>
      <c r="D137" s="77"/>
      <c r="E137" s="78"/>
      <c r="F137" s="79"/>
      <c r="G137" s="79"/>
      <c r="H137" s="79"/>
      <c r="I137" s="80"/>
      <c r="J137" s="80"/>
      <c r="K137" s="81"/>
      <c r="L137" s="79"/>
      <c r="M137" s="79"/>
      <c r="N137" s="79"/>
      <c r="O137" s="79"/>
      <c r="P137" s="82"/>
      <c r="Q137" s="83"/>
      <c r="R137" s="83"/>
      <c r="S137" s="64"/>
      <c r="T137" s="64"/>
      <c r="U137" s="64"/>
      <c r="W137" s="134"/>
      <c r="Y137" s="64"/>
      <c r="Z137" s="64"/>
      <c r="AA137" s="139"/>
      <c r="AB137" s="275"/>
    </row>
    <row r="138" spans="1:28">
      <c r="A138" s="64"/>
      <c r="B138" s="75"/>
      <c r="C138" s="76"/>
      <c r="D138" s="77"/>
      <c r="E138" s="78"/>
      <c r="F138" s="79"/>
      <c r="G138" s="79"/>
      <c r="H138" s="79"/>
      <c r="I138" s="80"/>
      <c r="J138" s="80"/>
      <c r="K138" s="81"/>
      <c r="L138" s="79"/>
      <c r="M138" s="79"/>
      <c r="N138" s="79"/>
      <c r="O138" s="79"/>
      <c r="P138" s="82"/>
      <c r="Q138" s="83"/>
      <c r="R138" s="83"/>
      <c r="S138" s="64"/>
      <c r="T138" s="64"/>
      <c r="U138" s="64"/>
      <c r="W138" s="134"/>
      <c r="Y138" s="64"/>
      <c r="Z138" s="64"/>
      <c r="AA138" s="139"/>
      <c r="AB138" s="275"/>
    </row>
    <row r="139" spans="1:28">
      <c r="A139" s="64"/>
      <c r="B139" s="75"/>
      <c r="C139" s="76"/>
      <c r="D139" s="77"/>
      <c r="E139" s="78"/>
      <c r="F139" s="79"/>
      <c r="G139" s="79"/>
      <c r="H139" s="79"/>
      <c r="I139" s="80"/>
      <c r="J139" s="80"/>
      <c r="K139" s="81"/>
      <c r="L139" s="79"/>
      <c r="M139" s="79"/>
      <c r="N139" s="79"/>
      <c r="O139" s="79"/>
      <c r="P139" s="82"/>
      <c r="Q139" s="83"/>
      <c r="R139" s="83"/>
      <c r="S139" s="64"/>
      <c r="T139" s="64"/>
      <c r="U139" s="64"/>
      <c r="W139" s="134"/>
      <c r="Y139" s="64"/>
      <c r="Z139" s="64"/>
      <c r="AA139" s="139"/>
      <c r="AB139" s="275"/>
    </row>
    <row r="140" spans="1:28">
      <c r="A140" s="64"/>
      <c r="B140" s="75"/>
      <c r="C140" s="76"/>
      <c r="D140" s="77"/>
      <c r="E140" s="78"/>
      <c r="F140" s="79"/>
      <c r="G140" s="79"/>
      <c r="H140" s="79"/>
      <c r="I140" s="80"/>
      <c r="J140" s="80"/>
      <c r="K140" s="81"/>
      <c r="L140" s="79"/>
      <c r="M140" s="79"/>
      <c r="N140" s="79"/>
      <c r="O140" s="79"/>
      <c r="P140" s="82"/>
      <c r="Q140" s="83"/>
      <c r="R140" s="83"/>
      <c r="S140" s="64"/>
      <c r="T140" s="64"/>
      <c r="U140" s="64"/>
      <c r="W140" s="134"/>
      <c r="Y140" s="64"/>
      <c r="Z140" s="64"/>
      <c r="AA140" s="139"/>
      <c r="AB140" s="275"/>
    </row>
    <row r="141" spans="1:28">
      <c r="A141" s="64"/>
      <c r="B141" s="75"/>
      <c r="C141" s="76"/>
      <c r="D141" s="77"/>
      <c r="E141" s="78"/>
      <c r="F141" s="79"/>
      <c r="G141" s="79"/>
      <c r="H141" s="79"/>
      <c r="I141" s="80"/>
      <c r="J141" s="80"/>
      <c r="K141" s="81"/>
      <c r="L141" s="79"/>
      <c r="M141" s="79"/>
      <c r="N141" s="79"/>
      <c r="O141" s="79"/>
      <c r="P141" s="82"/>
      <c r="Q141" s="83"/>
      <c r="R141" s="83"/>
      <c r="S141" s="64"/>
      <c r="T141" s="64"/>
      <c r="U141" s="64"/>
      <c r="W141" s="134"/>
      <c r="Y141" s="64"/>
      <c r="Z141" s="64"/>
      <c r="AA141" s="139"/>
      <c r="AB141" s="275"/>
    </row>
    <row r="142" spans="1:28">
      <c r="A142" s="64"/>
      <c r="B142" s="75"/>
      <c r="C142" s="76"/>
      <c r="D142" s="77"/>
      <c r="E142" s="78"/>
      <c r="F142" s="79"/>
      <c r="G142" s="79"/>
      <c r="H142" s="79"/>
      <c r="I142" s="80"/>
      <c r="J142" s="80"/>
      <c r="K142" s="81"/>
      <c r="L142" s="79"/>
      <c r="M142" s="79"/>
      <c r="N142" s="79"/>
      <c r="O142" s="79"/>
      <c r="P142" s="82"/>
      <c r="Q142" s="83"/>
      <c r="R142" s="83"/>
      <c r="S142" s="64"/>
      <c r="T142" s="64"/>
      <c r="U142" s="64"/>
      <c r="W142" s="134"/>
      <c r="Y142" s="64"/>
      <c r="Z142" s="64"/>
      <c r="AA142" s="139"/>
      <c r="AB142" s="275"/>
    </row>
    <row r="143" spans="1:28">
      <c r="A143" s="64"/>
      <c r="B143" s="75"/>
      <c r="C143" s="76"/>
      <c r="D143" s="77"/>
      <c r="E143" s="78"/>
      <c r="F143" s="79"/>
      <c r="G143" s="79"/>
      <c r="H143" s="79"/>
      <c r="I143" s="80"/>
      <c r="J143" s="80"/>
      <c r="K143" s="81"/>
      <c r="L143" s="79"/>
      <c r="M143" s="79"/>
      <c r="N143" s="79"/>
      <c r="O143" s="79"/>
      <c r="P143" s="82"/>
      <c r="Q143" s="83"/>
      <c r="R143" s="83"/>
      <c r="S143" s="64"/>
      <c r="T143" s="64"/>
      <c r="U143" s="64"/>
      <c r="W143" s="134"/>
      <c r="Y143" s="64"/>
      <c r="Z143" s="64"/>
      <c r="AA143" s="139"/>
      <c r="AB143" s="275"/>
    </row>
    <row r="144" spans="1:28">
      <c r="A144" s="64"/>
      <c r="B144" s="75"/>
      <c r="C144" s="76"/>
      <c r="D144" s="77"/>
      <c r="E144" s="78"/>
      <c r="F144" s="79"/>
      <c r="G144" s="79"/>
      <c r="H144" s="79"/>
      <c r="I144" s="80"/>
      <c r="J144" s="80"/>
      <c r="K144" s="81"/>
      <c r="L144" s="79"/>
      <c r="M144" s="79"/>
      <c r="N144" s="79"/>
      <c r="O144" s="79"/>
      <c r="P144" s="82"/>
      <c r="Q144" s="83"/>
      <c r="R144" s="83"/>
      <c r="S144" s="64"/>
      <c r="T144" s="64"/>
      <c r="U144" s="64"/>
      <c r="W144" s="134"/>
      <c r="Y144" s="64"/>
      <c r="Z144" s="64"/>
      <c r="AA144" s="139"/>
      <c r="AB144" s="275"/>
    </row>
    <row r="145" spans="1:28">
      <c r="A145" s="64"/>
      <c r="B145" s="75"/>
      <c r="C145" s="76"/>
      <c r="D145" s="77"/>
      <c r="E145" s="78"/>
      <c r="F145" s="79"/>
      <c r="G145" s="79"/>
      <c r="H145" s="79"/>
      <c r="I145" s="80"/>
      <c r="J145" s="80"/>
      <c r="K145" s="81"/>
      <c r="L145" s="79"/>
      <c r="M145" s="79"/>
      <c r="N145" s="79"/>
      <c r="O145" s="79"/>
      <c r="P145" s="82"/>
      <c r="Q145" s="83"/>
      <c r="R145" s="83"/>
      <c r="S145" s="64"/>
      <c r="T145" s="64"/>
      <c r="U145" s="64"/>
      <c r="W145" s="134"/>
      <c r="Y145" s="64"/>
      <c r="Z145" s="64"/>
      <c r="AA145" s="139"/>
      <c r="AB145" s="275"/>
    </row>
    <row r="146" spans="1:28">
      <c r="A146" s="64"/>
      <c r="B146" s="75"/>
      <c r="C146" s="76"/>
      <c r="D146" s="77"/>
      <c r="E146" s="78"/>
      <c r="F146" s="79"/>
      <c r="G146" s="79"/>
      <c r="H146" s="79"/>
      <c r="I146" s="80"/>
      <c r="J146" s="80"/>
      <c r="K146" s="81"/>
      <c r="L146" s="79"/>
      <c r="M146" s="79"/>
      <c r="N146" s="79"/>
      <c r="O146" s="79"/>
      <c r="P146" s="82"/>
      <c r="Q146" s="83"/>
      <c r="R146" s="83"/>
      <c r="S146" s="64"/>
      <c r="T146" s="64"/>
      <c r="U146" s="64"/>
      <c r="W146" s="134"/>
      <c r="Y146" s="64"/>
      <c r="Z146" s="64"/>
      <c r="AA146" s="139"/>
      <c r="AB146" s="275"/>
    </row>
    <row r="147" spans="1:28">
      <c r="A147" s="64"/>
      <c r="B147" s="75"/>
      <c r="C147" s="76"/>
      <c r="D147" s="77"/>
      <c r="E147" s="78"/>
      <c r="F147" s="79"/>
      <c r="G147" s="79"/>
      <c r="H147" s="79"/>
      <c r="I147" s="80"/>
      <c r="J147" s="80"/>
      <c r="K147" s="81"/>
      <c r="L147" s="79"/>
      <c r="M147" s="79"/>
      <c r="N147" s="79"/>
      <c r="O147" s="79"/>
      <c r="P147" s="82"/>
      <c r="Q147" s="83"/>
      <c r="R147" s="83"/>
      <c r="S147" s="64"/>
      <c r="T147" s="64"/>
      <c r="U147" s="64"/>
      <c r="W147" s="134"/>
      <c r="Y147" s="64"/>
      <c r="Z147" s="64"/>
      <c r="AA147" s="139"/>
      <c r="AB147" s="275"/>
    </row>
    <row r="148" spans="1:28">
      <c r="A148" s="64"/>
      <c r="B148" s="75"/>
      <c r="C148" s="76"/>
      <c r="D148" s="77"/>
      <c r="E148" s="78"/>
      <c r="F148" s="79"/>
      <c r="G148" s="79"/>
      <c r="H148" s="79"/>
      <c r="I148" s="80"/>
      <c r="J148" s="80"/>
      <c r="K148" s="81"/>
      <c r="L148" s="79"/>
      <c r="M148" s="79"/>
      <c r="N148" s="79"/>
      <c r="O148" s="79"/>
      <c r="P148" s="82"/>
      <c r="Q148" s="83"/>
      <c r="R148" s="83"/>
      <c r="S148" s="64"/>
      <c r="T148" s="64"/>
      <c r="U148" s="64"/>
      <c r="W148" s="134"/>
      <c r="Y148" s="64"/>
      <c r="Z148" s="64"/>
      <c r="AA148" s="139"/>
      <c r="AB148" s="275"/>
    </row>
    <row r="149" spans="1:28">
      <c r="A149" s="64"/>
      <c r="B149" s="75"/>
      <c r="C149" s="76"/>
      <c r="D149" s="77"/>
      <c r="E149" s="78"/>
      <c r="F149" s="79"/>
      <c r="G149" s="79"/>
      <c r="H149" s="79"/>
      <c r="I149" s="80"/>
      <c r="J149" s="80"/>
      <c r="K149" s="81"/>
      <c r="L149" s="79"/>
      <c r="M149" s="79"/>
      <c r="N149" s="79"/>
      <c r="O149" s="79"/>
      <c r="P149" s="82"/>
      <c r="Q149" s="83"/>
      <c r="R149" s="83"/>
      <c r="S149" s="64"/>
      <c r="T149" s="64"/>
      <c r="U149" s="64"/>
      <c r="W149" s="134"/>
      <c r="Y149" s="64"/>
      <c r="Z149" s="64"/>
      <c r="AA149" s="139"/>
      <c r="AB149" s="275"/>
    </row>
    <row r="150" spans="1:28">
      <c r="A150" s="64"/>
      <c r="B150" s="75"/>
      <c r="C150" s="76"/>
      <c r="D150" s="77"/>
      <c r="E150" s="78"/>
      <c r="F150" s="79"/>
      <c r="G150" s="79"/>
      <c r="H150" s="79"/>
      <c r="I150" s="80"/>
      <c r="J150" s="80"/>
      <c r="K150" s="81"/>
      <c r="L150" s="79"/>
      <c r="M150" s="79"/>
      <c r="N150" s="79"/>
      <c r="O150" s="79"/>
      <c r="P150" s="82"/>
      <c r="Q150" s="83"/>
      <c r="R150" s="83"/>
      <c r="S150" s="64"/>
      <c r="T150" s="64"/>
      <c r="U150" s="64"/>
      <c r="W150" s="134"/>
      <c r="Y150" s="64"/>
      <c r="Z150" s="64"/>
      <c r="AA150" s="139"/>
      <c r="AB150" s="275"/>
    </row>
    <row r="151" spans="1:28">
      <c r="A151" s="64"/>
      <c r="B151" s="75"/>
      <c r="C151" s="76"/>
      <c r="D151" s="77"/>
      <c r="E151" s="78"/>
      <c r="F151" s="79"/>
      <c r="G151" s="79"/>
      <c r="H151" s="79"/>
      <c r="I151" s="80"/>
      <c r="J151" s="80"/>
      <c r="K151" s="81"/>
      <c r="L151" s="79"/>
      <c r="M151" s="79"/>
      <c r="N151" s="79"/>
      <c r="O151" s="79"/>
      <c r="P151" s="82"/>
      <c r="Q151" s="83"/>
      <c r="R151" s="83"/>
      <c r="S151" s="64"/>
      <c r="T151" s="64"/>
      <c r="U151" s="64"/>
      <c r="W151" s="134"/>
      <c r="Y151" s="64"/>
      <c r="Z151" s="64"/>
      <c r="AA151" s="139"/>
      <c r="AB151" s="275"/>
    </row>
    <row r="152" spans="1:28">
      <c r="A152" s="64"/>
      <c r="B152" s="75"/>
      <c r="C152" s="76"/>
      <c r="D152" s="77"/>
      <c r="E152" s="78"/>
      <c r="F152" s="79"/>
      <c r="G152" s="79"/>
      <c r="H152" s="79"/>
      <c r="I152" s="80"/>
      <c r="J152" s="80"/>
      <c r="K152" s="81"/>
      <c r="L152" s="79"/>
      <c r="M152" s="79"/>
      <c r="N152" s="79"/>
      <c r="O152" s="79"/>
      <c r="P152" s="82"/>
      <c r="Q152" s="83"/>
      <c r="R152" s="83"/>
      <c r="S152" s="64"/>
      <c r="T152" s="64"/>
      <c r="U152" s="64"/>
      <c r="W152" s="134"/>
      <c r="Y152" s="64"/>
      <c r="Z152" s="64"/>
      <c r="AA152" s="139"/>
      <c r="AB152" s="275"/>
    </row>
    <row r="153" spans="1:28">
      <c r="A153" s="64"/>
      <c r="B153" s="75"/>
      <c r="C153" s="76"/>
      <c r="D153" s="77"/>
      <c r="E153" s="78"/>
      <c r="F153" s="79"/>
      <c r="G153" s="79"/>
      <c r="H153" s="79"/>
      <c r="I153" s="80"/>
      <c r="J153" s="80"/>
      <c r="K153" s="81"/>
      <c r="L153" s="79"/>
      <c r="M153" s="79"/>
      <c r="N153" s="79"/>
      <c r="O153" s="79"/>
      <c r="P153" s="82"/>
      <c r="Q153" s="83"/>
      <c r="R153" s="83"/>
      <c r="S153" s="64"/>
      <c r="T153" s="64"/>
      <c r="U153" s="64"/>
      <c r="W153" s="134"/>
      <c r="Y153" s="64"/>
      <c r="Z153" s="64"/>
      <c r="AA153" s="139"/>
      <c r="AB153" s="275"/>
    </row>
    <row r="154" spans="1:28">
      <c r="A154" s="64"/>
      <c r="B154" s="75"/>
      <c r="C154" s="76"/>
      <c r="D154" s="77"/>
      <c r="E154" s="78"/>
      <c r="F154" s="79"/>
      <c r="G154" s="79"/>
      <c r="H154" s="79"/>
      <c r="I154" s="80"/>
      <c r="J154" s="80"/>
      <c r="K154" s="81"/>
      <c r="L154" s="79"/>
      <c r="M154" s="79"/>
      <c r="N154" s="79"/>
      <c r="O154" s="79"/>
      <c r="P154" s="82"/>
      <c r="Q154" s="83"/>
      <c r="R154" s="83"/>
      <c r="S154" s="64"/>
      <c r="T154" s="64"/>
      <c r="U154" s="64"/>
      <c r="W154" s="134"/>
      <c r="Y154" s="64"/>
      <c r="Z154" s="64"/>
      <c r="AA154" s="139"/>
      <c r="AB154" s="275"/>
    </row>
    <row r="155" spans="1:28">
      <c r="A155" s="64"/>
      <c r="B155" s="75"/>
      <c r="C155" s="76"/>
      <c r="D155" s="77"/>
      <c r="E155" s="78"/>
      <c r="F155" s="79"/>
      <c r="G155" s="79"/>
      <c r="H155" s="79"/>
      <c r="I155" s="80"/>
      <c r="J155" s="80"/>
      <c r="K155" s="81"/>
      <c r="L155" s="79"/>
      <c r="M155" s="79"/>
      <c r="N155" s="79"/>
      <c r="O155" s="79"/>
      <c r="P155" s="82"/>
      <c r="Q155" s="83"/>
      <c r="R155" s="83"/>
      <c r="S155" s="64"/>
      <c r="T155" s="64"/>
      <c r="U155" s="64"/>
      <c r="W155" s="134"/>
      <c r="Y155" s="64"/>
      <c r="Z155" s="64"/>
      <c r="AA155" s="139"/>
      <c r="AB155" s="275"/>
    </row>
    <row r="156" spans="1:28">
      <c r="A156" s="64"/>
      <c r="B156" s="75"/>
      <c r="C156" s="76"/>
      <c r="D156" s="77"/>
      <c r="E156" s="78"/>
      <c r="F156" s="79"/>
      <c r="G156" s="79"/>
      <c r="H156" s="79"/>
      <c r="I156" s="80"/>
      <c r="J156" s="80"/>
      <c r="K156" s="81"/>
      <c r="L156" s="79"/>
      <c r="M156" s="79"/>
      <c r="N156" s="79"/>
      <c r="O156" s="79"/>
      <c r="P156" s="82"/>
      <c r="Q156" s="83"/>
      <c r="R156" s="83"/>
      <c r="S156" s="64"/>
      <c r="T156" s="64"/>
      <c r="U156" s="64"/>
      <c r="W156" s="134"/>
      <c r="Y156" s="64"/>
      <c r="Z156" s="64"/>
      <c r="AA156" s="139"/>
      <c r="AB156" s="275"/>
    </row>
    <row r="157" spans="1:28">
      <c r="A157" s="64"/>
      <c r="B157" s="75"/>
      <c r="C157" s="76"/>
      <c r="D157" s="77"/>
      <c r="E157" s="78"/>
      <c r="F157" s="79"/>
      <c r="G157" s="79"/>
      <c r="H157" s="79"/>
      <c r="I157" s="80"/>
      <c r="J157" s="80"/>
      <c r="K157" s="81"/>
      <c r="L157" s="79"/>
      <c r="M157" s="79"/>
      <c r="N157" s="79"/>
      <c r="O157" s="79"/>
      <c r="P157" s="82"/>
      <c r="Q157" s="83"/>
      <c r="R157" s="83"/>
      <c r="S157" s="64"/>
      <c r="T157" s="64"/>
      <c r="U157" s="64"/>
      <c r="W157" s="134"/>
      <c r="Y157" s="64"/>
      <c r="Z157" s="64"/>
      <c r="AA157" s="139"/>
      <c r="AB157" s="275"/>
    </row>
    <row r="158" spans="1:28">
      <c r="A158" s="64"/>
      <c r="B158" s="75"/>
      <c r="C158" s="76"/>
      <c r="D158" s="77"/>
      <c r="E158" s="79"/>
      <c r="F158" s="79"/>
      <c r="G158" s="79"/>
      <c r="H158" s="79"/>
      <c r="I158" s="80"/>
      <c r="J158" s="80"/>
      <c r="K158" s="81"/>
      <c r="L158" s="79"/>
      <c r="M158" s="79"/>
      <c r="N158" s="79"/>
      <c r="O158" s="79"/>
      <c r="P158" s="82"/>
      <c r="Q158" s="83"/>
      <c r="R158" s="83"/>
      <c r="S158" s="64"/>
      <c r="T158" s="64"/>
      <c r="U158" s="64"/>
      <c r="W158" s="134"/>
      <c r="Y158" s="64"/>
      <c r="Z158" s="64"/>
      <c r="AA158" s="139"/>
      <c r="AB158" s="275"/>
    </row>
    <row r="159" spans="1:28">
      <c r="A159" s="64"/>
      <c r="B159" s="75"/>
      <c r="C159" s="76"/>
      <c r="D159" s="77"/>
      <c r="E159" s="78"/>
      <c r="F159" s="79"/>
      <c r="G159" s="79"/>
      <c r="H159" s="79"/>
      <c r="I159" s="80"/>
      <c r="J159" s="80"/>
      <c r="K159" s="81"/>
      <c r="L159" s="79"/>
      <c r="M159" s="79"/>
      <c r="N159" s="79"/>
      <c r="O159" s="79"/>
      <c r="P159" s="82"/>
      <c r="Q159" s="83"/>
      <c r="R159" s="83"/>
      <c r="S159" s="64"/>
      <c r="T159" s="64"/>
      <c r="U159" s="64"/>
      <c r="W159" s="134"/>
      <c r="Y159" s="64"/>
      <c r="Z159" s="64"/>
      <c r="AA159" s="139"/>
      <c r="AB159" s="275"/>
    </row>
    <row r="160" spans="1:28">
      <c r="A160" s="64"/>
      <c r="B160" s="75"/>
      <c r="C160" s="76"/>
      <c r="D160" s="77"/>
      <c r="E160" s="79"/>
      <c r="F160" s="79"/>
      <c r="G160" s="79"/>
      <c r="H160" s="79"/>
      <c r="I160" s="80"/>
      <c r="J160" s="80"/>
      <c r="K160" s="81"/>
      <c r="L160" s="79"/>
      <c r="M160" s="79"/>
      <c r="N160" s="79"/>
      <c r="O160" s="79"/>
      <c r="P160" s="82"/>
      <c r="Q160" s="83"/>
      <c r="R160" s="83"/>
      <c r="S160" s="64"/>
      <c r="T160" s="64"/>
      <c r="U160" s="64"/>
      <c r="W160" s="134"/>
      <c r="Y160" s="64"/>
      <c r="Z160" s="64"/>
      <c r="AA160" s="139"/>
      <c r="AB160" s="275"/>
    </row>
    <row r="161" spans="1:28">
      <c r="A161" s="64"/>
      <c r="B161" s="75"/>
      <c r="C161" s="76"/>
      <c r="D161" s="77"/>
      <c r="E161" s="78"/>
      <c r="F161" s="79"/>
      <c r="G161" s="79"/>
      <c r="H161" s="79"/>
      <c r="I161" s="80"/>
      <c r="J161" s="80"/>
      <c r="K161" s="81"/>
      <c r="L161" s="79"/>
      <c r="M161" s="79"/>
      <c r="N161" s="79"/>
      <c r="O161" s="79"/>
      <c r="P161" s="82"/>
      <c r="Q161" s="83"/>
      <c r="R161" s="83"/>
      <c r="S161" s="64"/>
      <c r="T161" s="64"/>
      <c r="U161" s="64"/>
      <c r="W161" s="134"/>
      <c r="Y161" s="64"/>
      <c r="Z161" s="64"/>
      <c r="AA161" s="139"/>
      <c r="AB161" s="275"/>
    </row>
    <row r="162" spans="1:28">
      <c r="A162" s="64"/>
      <c r="B162" s="75"/>
      <c r="C162" s="76"/>
      <c r="D162" s="77"/>
      <c r="E162" s="79"/>
      <c r="F162" s="79"/>
      <c r="G162" s="79"/>
      <c r="H162" s="79"/>
      <c r="I162" s="80"/>
      <c r="J162" s="80"/>
      <c r="K162" s="81"/>
      <c r="L162" s="79"/>
      <c r="M162" s="79"/>
      <c r="N162" s="79"/>
      <c r="O162" s="79"/>
      <c r="P162" s="82"/>
      <c r="Q162" s="83"/>
      <c r="R162" s="83"/>
      <c r="S162" s="64"/>
      <c r="T162" s="64"/>
      <c r="U162" s="64"/>
      <c r="W162" s="134"/>
      <c r="Y162" s="64"/>
      <c r="Z162" s="64"/>
      <c r="AA162" s="139"/>
      <c r="AB162" s="275"/>
    </row>
    <row r="163" spans="1:28">
      <c r="A163" s="64"/>
      <c r="B163" s="75"/>
      <c r="C163" s="76"/>
      <c r="D163" s="77"/>
      <c r="E163" s="78"/>
      <c r="F163" s="79"/>
      <c r="G163" s="79"/>
      <c r="H163" s="79"/>
      <c r="I163" s="80"/>
      <c r="J163" s="80"/>
      <c r="K163" s="81"/>
      <c r="L163" s="79"/>
      <c r="M163" s="79"/>
      <c r="N163" s="79"/>
      <c r="O163" s="79"/>
      <c r="P163" s="82"/>
      <c r="Q163" s="83"/>
      <c r="R163" s="83"/>
      <c r="S163" s="64"/>
      <c r="T163" s="64"/>
      <c r="U163" s="64"/>
      <c r="W163" s="134"/>
      <c r="Y163" s="64"/>
      <c r="Z163" s="64"/>
      <c r="AA163" s="139"/>
      <c r="AB163" s="275"/>
    </row>
    <row r="164" spans="1:28">
      <c r="A164" s="64"/>
      <c r="B164" s="75"/>
      <c r="C164" s="76"/>
      <c r="D164" s="77"/>
      <c r="E164" s="78"/>
      <c r="F164" s="79"/>
      <c r="G164" s="79"/>
      <c r="H164" s="79"/>
      <c r="I164" s="80"/>
      <c r="J164" s="80"/>
      <c r="K164" s="81"/>
      <c r="L164" s="79"/>
      <c r="M164" s="79"/>
      <c r="N164" s="79"/>
      <c r="O164" s="79"/>
      <c r="P164" s="82"/>
      <c r="Q164" s="83"/>
      <c r="R164" s="83"/>
      <c r="S164" s="64"/>
      <c r="T164" s="64"/>
      <c r="U164" s="64"/>
      <c r="W164" s="134"/>
      <c r="Y164" s="64"/>
      <c r="Z164" s="64"/>
      <c r="AA164" s="139"/>
      <c r="AB164" s="275"/>
    </row>
    <row r="165" spans="1:28">
      <c r="A165" s="64"/>
      <c r="B165" s="75"/>
      <c r="C165" s="76"/>
      <c r="D165" s="77"/>
      <c r="E165" s="78"/>
      <c r="F165" s="79"/>
      <c r="G165" s="79"/>
      <c r="H165" s="79"/>
      <c r="I165" s="80"/>
      <c r="J165" s="80"/>
      <c r="K165" s="81"/>
      <c r="L165" s="79"/>
      <c r="M165" s="79"/>
      <c r="N165" s="79"/>
      <c r="O165" s="79"/>
      <c r="P165" s="82"/>
      <c r="Q165" s="83"/>
      <c r="R165" s="83"/>
      <c r="S165" s="64"/>
      <c r="T165" s="64"/>
      <c r="U165" s="64"/>
      <c r="W165" s="134"/>
      <c r="Y165" s="64"/>
      <c r="Z165" s="64"/>
      <c r="AA165" s="139"/>
      <c r="AB165" s="275"/>
    </row>
    <row r="166" spans="1:28">
      <c r="A166" s="64"/>
      <c r="B166" s="75"/>
      <c r="C166" s="76"/>
      <c r="D166" s="77"/>
      <c r="E166" s="78"/>
      <c r="F166" s="79"/>
      <c r="G166" s="79"/>
      <c r="H166" s="79"/>
      <c r="I166" s="80"/>
      <c r="J166" s="80"/>
      <c r="K166" s="81"/>
      <c r="L166" s="79"/>
      <c r="M166" s="79"/>
      <c r="N166" s="79"/>
      <c r="O166" s="79"/>
      <c r="P166" s="82"/>
      <c r="Q166" s="83"/>
      <c r="R166" s="83"/>
      <c r="S166" s="64"/>
      <c r="T166" s="64"/>
      <c r="U166" s="64"/>
      <c r="W166" s="134"/>
      <c r="Y166" s="64"/>
      <c r="Z166" s="64"/>
      <c r="AA166" s="139"/>
      <c r="AB166" s="275"/>
    </row>
    <row r="167" spans="1:28">
      <c r="A167" s="64"/>
      <c r="B167" s="75"/>
      <c r="C167" s="76"/>
      <c r="D167" s="77"/>
      <c r="E167" s="78"/>
      <c r="F167" s="79"/>
      <c r="G167" s="79"/>
      <c r="H167" s="79"/>
      <c r="I167" s="80"/>
      <c r="J167" s="80"/>
      <c r="K167" s="81"/>
      <c r="L167" s="79"/>
      <c r="M167" s="79"/>
      <c r="N167" s="79"/>
      <c r="O167" s="79"/>
      <c r="P167" s="82"/>
      <c r="Q167" s="83"/>
      <c r="R167" s="83"/>
      <c r="S167" s="64"/>
      <c r="T167" s="64"/>
      <c r="U167" s="64"/>
      <c r="W167" s="134"/>
      <c r="Y167" s="64"/>
      <c r="Z167" s="64"/>
      <c r="AA167" s="139"/>
      <c r="AB167" s="275"/>
    </row>
    <row r="168" spans="1:28">
      <c r="A168" s="64"/>
      <c r="B168" s="75"/>
      <c r="C168" s="76"/>
      <c r="D168" s="77"/>
      <c r="E168" s="78"/>
      <c r="F168" s="79"/>
      <c r="G168" s="79"/>
      <c r="H168" s="79"/>
      <c r="I168" s="80"/>
      <c r="J168" s="80"/>
      <c r="K168" s="81"/>
      <c r="L168" s="79"/>
      <c r="M168" s="79"/>
      <c r="N168" s="79"/>
      <c r="O168" s="79"/>
      <c r="P168" s="82"/>
      <c r="Q168" s="83"/>
      <c r="R168" s="83"/>
      <c r="S168" s="64"/>
      <c r="T168" s="64"/>
      <c r="U168" s="64"/>
      <c r="W168" s="134"/>
      <c r="Y168" s="64"/>
      <c r="Z168" s="64"/>
      <c r="AA168" s="139"/>
      <c r="AB168" s="275"/>
    </row>
    <row r="169" spans="1:28">
      <c r="A169" s="64"/>
      <c r="B169" s="75"/>
      <c r="C169" s="76"/>
      <c r="D169" s="77"/>
      <c r="E169" s="78"/>
      <c r="F169" s="79"/>
      <c r="G169" s="79"/>
      <c r="H169" s="79"/>
      <c r="I169" s="80"/>
      <c r="J169" s="80"/>
      <c r="K169" s="81"/>
      <c r="L169" s="79"/>
      <c r="M169" s="79"/>
      <c r="N169" s="79"/>
      <c r="O169" s="79"/>
      <c r="P169" s="82"/>
      <c r="Q169" s="83"/>
      <c r="R169" s="83"/>
      <c r="S169" s="64"/>
      <c r="T169" s="64"/>
      <c r="U169" s="64"/>
      <c r="W169" s="134"/>
      <c r="Y169" s="64"/>
      <c r="Z169" s="64"/>
      <c r="AA169" s="139"/>
      <c r="AB169" s="275"/>
    </row>
    <row r="170" spans="1:28">
      <c r="A170" s="64"/>
      <c r="B170" s="75"/>
      <c r="C170" s="76"/>
      <c r="D170" s="77"/>
      <c r="E170" s="78"/>
      <c r="F170" s="79"/>
      <c r="G170" s="79"/>
      <c r="H170" s="79"/>
      <c r="I170" s="80"/>
      <c r="J170" s="80"/>
      <c r="K170" s="81"/>
      <c r="L170" s="79"/>
      <c r="M170" s="79"/>
      <c r="N170" s="79"/>
      <c r="O170" s="79"/>
      <c r="P170" s="82"/>
      <c r="Q170" s="83"/>
      <c r="R170" s="83"/>
      <c r="S170" s="64"/>
      <c r="T170" s="64"/>
      <c r="U170" s="64"/>
      <c r="W170" s="134"/>
      <c r="Y170" s="64"/>
      <c r="Z170" s="64"/>
      <c r="AA170" s="139"/>
      <c r="AB170" s="275"/>
    </row>
    <row r="171" spans="1:28">
      <c r="A171" s="64"/>
      <c r="B171" s="75"/>
      <c r="C171" s="76"/>
      <c r="D171" s="77"/>
      <c r="E171" s="78"/>
      <c r="F171" s="79"/>
      <c r="G171" s="79"/>
      <c r="H171" s="79"/>
      <c r="I171" s="80"/>
      <c r="J171" s="80"/>
      <c r="K171" s="81"/>
      <c r="L171" s="79"/>
      <c r="M171" s="79"/>
      <c r="N171" s="79"/>
      <c r="O171" s="79"/>
      <c r="P171" s="82"/>
      <c r="Q171" s="83"/>
      <c r="R171" s="83"/>
      <c r="S171" s="64"/>
      <c r="T171" s="64"/>
      <c r="U171" s="64"/>
      <c r="W171" s="134"/>
      <c r="Y171" s="64"/>
      <c r="Z171" s="64"/>
      <c r="AA171" s="139"/>
      <c r="AB171" s="275"/>
    </row>
    <row r="172" spans="1:28">
      <c r="A172" s="64"/>
      <c r="B172" s="75"/>
      <c r="C172" s="76"/>
      <c r="D172" s="77"/>
      <c r="E172" s="78"/>
      <c r="F172" s="79"/>
      <c r="G172" s="79"/>
      <c r="H172" s="79"/>
      <c r="I172" s="80"/>
      <c r="J172" s="80"/>
      <c r="K172" s="81"/>
      <c r="L172" s="79"/>
      <c r="M172" s="79"/>
      <c r="N172" s="79"/>
      <c r="O172" s="79"/>
      <c r="P172" s="82"/>
      <c r="Q172" s="83"/>
      <c r="R172" s="83"/>
      <c r="S172" s="64"/>
      <c r="T172" s="64"/>
      <c r="U172" s="64"/>
      <c r="W172" s="134"/>
      <c r="Y172" s="64"/>
      <c r="Z172" s="64"/>
      <c r="AA172" s="139"/>
      <c r="AB172" s="275"/>
    </row>
    <row r="173" spans="1:28">
      <c r="A173" s="64"/>
      <c r="B173" s="75"/>
      <c r="C173" s="76"/>
      <c r="D173" s="77"/>
      <c r="E173" s="78"/>
      <c r="F173" s="79"/>
      <c r="G173" s="79"/>
      <c r="H173" s="79"/>
      <c r="I173" s="80"/>
      <c r="J173" s="80"/>
      <c r="K173" s="81"/>
      <c r="L173" s="79"/>
      <c r="M173" s="79"/>
      <c r="N173" s="79"/>
      <c r="O173" s="79"/>
      <c r="P173" s="82"/>
      <c r="Q173" s="83"/>
      <c r="R173" s="83"/>
      <c r="S173" s="64"/>
      <c r="T173" s="64"/>
      <c r="U173" s="64"/>
      <c r="W173" s="134"/>
      <c r="Y173" s="64"/>
      <c r="Z173" s="64"/>
      <c r="AA173" s="139"/>
      <c r="AB173" s="275"/>
    </row>
    <row r="174" spans="1:28">
      <c r="A174" s="64"/>
      <c r="B174" s="75"/>
      <c r="C174" s="76"/>
      <c r="D174" s="77"/>
      <c r="E174" s="78"/>
      <c r="F174" s="79"/>
      <c r="G174" s="79"/>
      <c r="H174" s="79"/>
      <c r="I174" s="80"/>
      <c r="J174" s="80"/>
      <c r="K174" s="81"/>
      <c r="L174" s="79"/>
      <c r="M174" s="79"/>
      <c r="N174" s="79"/>
      <c r="O174" s="79"/>
      <c r="P174" s="82"/>
      <c r="Q174" s="83"/>
      <c r="R174" s="83"/>
      <c r="S174" s="64"/>
      <c r="T174" s="64"/>
      <c r="U174" s="64"/>
      <c r="W174" s="134"/>
      <c r="Y174" s="64"/>
      <c r="Z174" s="64"/>
      <c r="AA174" s="139"/>
      <c r="AB174" s="275"/>
    </row>
    <row r="175" spans="1:28">
      <c r="A175" s="64"/>
      <c r="B175" s="75"/>
      <c r="C175" s="76"/>
      <c r="D175" s="77"/>
      <c r="E175" s="78"/>
      <c r="F175" s="79"/>
      <c r="G175" s="79"/>
      <c r="H175" s="79"/>
      <c r="I175" s="80"/>
      <c r="J175" s="80"/>
      <c r="K175" s="81"/>
      <c r="L175" s="79"/>
      <c r="M175" s="79"/>
      <c r="N175" s="79"/>
      <c r="O175" s="79"/>
      <c r="P175" s="82"/>
      <c r="Q175" s="83"/>
      <c r="R175" s="83"/>
      <c r="S175" s="64"/>
      <c r="T175" s="64"/>
      <c r="U175" s="64"/>
      <c r="W175" s="134"/>
      <c r="Y175" s="64"/>
      <c r="Z175" s="64"/>
      <c r="AA175" s="139"/>
      <c r="AB175" s="275"/>
    </row>
    <row r="176" spans="1:28">
      <c r="A176" s="64"/>
      <c r="B176" s="75"/>
      <c r="C176" s="76"/>
      <c r="D176" s="77"/>
      <c r="E176" s="78"/>
      <c r="F176" s="79"/>
      <c r="G176" s="79"/>
      <c r="H176" s="79"/>
      <c r="I176" s="80"/>
      <c r="J176" s="80"/>
      <c r="K176" s="81"/>
      <c r="L176" s="79"/>
      <c r="M176" s="79"/>
      <c r="N176" s="79"/>
      <c r="O176" s="79"/>
      <c r="P176" s="82"/>
      <c r="Q176" s="83"/>
      <c r="R176" s="83"/>
      <c r="S176" s="64"/>
      <c r="T176" s="64"/>
      <c r="U176" s="64"/>
      <c r="W176" s="134"/>
      <c r="Y176" s="64"/>
      <c r="Z176" s="64"/>
      <c r="AA176" s="139"/>
      <c r="AB176" s="275"/>
    </row>
    <row r="177" spans="1:28">
      <c r="A177" s="64"/>
      <c r="B177" s="75"/>
      <c r="C177" s="76"/>
      <c r="D177" s="77"/>
      <c r="E177" s="78"/>
      <c r="F177" s="79"/>
      <c r="G177" s="79"/>
      <c r="H177" s="79"/>
      <c r="I177" s="80"/>
      <c r="J177" s="80"/>
      <c r="K177" s="81"/>
      <c r="L177" s="79"/>
      <c r="M177" s="79"/>
      <c r="N177" s="79"/>
      <c r="O177" s="79"/>
      <c r="P177" s="82"/>
      <c r="Q177" s="83"/>
      <c r="R177" s="83"/>
      <c r="S177" s="64"/>
      <c r="T177" s="64"/>
      <c r="U177" s="64"/>
      <c r="W177" s="134"/>
      <c r="Y177" s="64"/>
      <c r="Z177" s="64"/>
      <c r="AA177" s="139"/>
      <c r="AB177" s="275"/>
    </row>
    <row r="178" spans="1:28">
      <c r="A178" s="64"/>
      <c r="B178" s="75"/>
      <c r="C178" s="76"/>
      <c r="D178" s="77"/>
      <c r="E178" s="78"/>
      <c r="F178" s="79"/>
      <c r="G178" s="79"/>
      <c r="H178" s="79"/>
      <c r="I178" s="80"/>
      <c r="J178" s="80"/>
      <c r="K178" s="81"/>
      <c r="L178" s="79"/>
      <c r="M178" s="79"/>
      <c r="N178" s="79"/>
      <c r="O178" s="79"/>
      <c r="P178" s="82"/>
      <c r="Q178" s="83"/>
      <c r="R178" s="83"/>
      <c r="S178" s="64"/>
      <c r="T178" s="64"/>
      <c r="U178" s="64"/>
      <c r="W178" s="134"/>
      <c r="Y178" s="64"/>
      <c r="Z178" s="64"/>
      <c r="AA178" s="139"/>
      <c r="AB178" s="275"/>
    </row>
    <row r="179" spans="1:28">
      <c r="A179" s="64"/>
      <c r="B179" s="75"/>
      <c r="C179" s="76"/>
      <c r="D179" s="77"/>
      <c r="E179" s="78"/>
      <c r="F179" s="79"/>
      <c r="G179" s="79"/>
      <c r="H179" s="79"/>
      <c r="I179" s="80"/>
      <c r="J179" s="80"/>
      <c r="K179" s="81"/>
      <c r="L179" s="79"/>
      <c r="M179" s="79"/>
      <c r="N179" s="79"/>
      <c r="O179" s="79"/>
      <c r="P179" s="82"/>
      <c r="Q179" s="83"/>
      <c r="R179" s="83"/>
      <c r="S179" s="64"/>
      <c r="T179" s="64"/>
      <c r="U179" s="64"/>
      <c r="W179" s="134"/>
      <c r="Y179" s="64"/>
      <c r="Z179" s="64"/>
      <c r="AA179" s="139"/>
      <c r="AB179" s="275"/>
    </row>
    <row r="180" spans="1:28">
      <c r="A180" s="64"/>
      <c r="B180" s="75"/>
      <c r="C180" s="76"/>
      <c r="D180" s="77"/>
      <c r="E180" s="78"/>
      <c r="F180" s="79"/>
      <c r="G180" s="79"/>
      <c r="H180" s="79"/>
      <c r="I180" s="80"/>
      <c r="J180" s="80"/>
      <c r="K180" s="81"/>
      <c r="L180" s="79"/>
      <c r="M180" s="79"/>
      <c r="N180" s="79"/>
      <c r="O180" s="79"/>
      <c r="P180" s="82"/>
      <c r="Q180" s="83"/>
      <c r="R180" s="83"/>
      <c r="S180" s="64"/>
      <c r="T180" s="64"/>
      <c r="U180" s="64"/>
      <c r="W180" s="134"/>
      <c r="Y180" s="64"/>
      <c r="Z180" s="64"/>
      <c r="AA180" s="139"/>
      <c r="AB180" s="275"/>
    </row>
    <row r="181" spans="1:28">
      <c r="A181" s="64"/>
      <c r="B181" s="75"/>
      <c r="C181" s="76"/>
      <c r="D181" s="77"/>
      <c r="E181" s="78"/>
      <c r="F181" s="79"/>
      <c r="G181" s="79"/>
      <c r="H181" s="79"/>
      <c r="I181" s="80"/>
      <c r="J181" s="80"/>
      <c r="K181" s="81"/>
      <c r="L181" s="79"/>
      <c r="M181" s="79"/>
      <c r="N181" s="79"/>
      <c r="O181" s="79"/>
      <c r="P181" s="82"/>
      <c r="Q181" s="83"/>
      <c r="R181" s="83"/>
      <c r="S181" s="64"/>
      <c r="T181" s="64"/>
      <c r="U181" s="64"/>
      <c r="W181" s="134"/>
      <c r="Y181" s="64"/>
      <c r="Z181" s="64"/>
      <c r="AA181" s="139"/>
      <c r="AB181" s="275"/>
    </row>
    <row r="182" spans="1:28">
      <c r="A182" s="64"/>
      <c r="B182" s="75"/>
      <c r="C182" s="76"/>
      <c r="D182" s="77"/>
      <c r="E182" s="78"/>
      <c r="F182" s="79"/>
      <c r="G182" s="79"/>
      <c r="H182" s="79"/>
      <c r="I182" s="80"/>
      <c r="J182" s="80"/>
      <c r="K182" s="81"/>
      <c r="L182" s="79"/>
      <c r="M182" s="79"/>
      <c r="N182" s="79"/>
      <c r="O182" s="79"/>
      <c r="P182" s="82"/>
      <c r="Q182" s="83"/>
      <c r="R182" s="83"/>
      <c r="S182" s="64"/>
      <c r="T182" s="64"/>
      <c r="U182" s="64"/>
      <c r="W182" s="134"/>
      <c r="Y182" s="64"/>
      <c r="Z182" s="64"/>
      <c r="AA182" s="139"/>
      <c r="AB182" s="275"/>
    </row>
    <row r="183" spans="1:28">
      <c r="A183" s="64"/>
      <c r="B183" s="75"/>
      <c r="C183" s="76"/>
      <c r="D183" s="77"/>
      <c r="E183" s="78"/>
      <c r="F183" s="79"/>
      <c r="G183" s="79"/>
      <c r="H183" s="79"/>
      <c r="I183" s="80"/>
      <c r="J183" s="80"/>
      <c r="K183" s="81"/>
      <c r="L183" s="79"/>
      <c r="M183" s="79"/>
      <c r="N183" s="79"/>
      <c r="O183" s="79"/>
      <c r="P183" s="82"/>
      <c r="Q183" s="83"/>
      <c r="R183" s="83"/>
      <c r="S183" s="64"/>
      <c r="T183" s="64"/>
      <c r="U183" s="64"/>
      <c r="W183" s="134"/>
      <c r="Y183" s="64"/>
      <c r="Z183" s="64"/>
      <c r="AA183" s="139"/>
      <c r="AB183" s="275"/>
    </row>
    <row r="184" spans="1:28">
      <c r="A184" s="64"/>
      <c r="B184" s="75"/>
      <c r="C184" s="76"/>
      <c r="D184" s="77"/>
      <c r="E184" s="78"/>
      <c r="F184" s="79"/>
      <c r="G184" s="79"/>
      <c r="H184" s="79"/>
      <c r="I184" s="80"/>
      <c r="J184" s="80"/>
      <c r="K184" s="81"/>
      <c r="L184" s="79"/>
      <c r="M184" s="79"/>
      <c r="N184" s="79"/>
      <c r="O184" s="79"/>
      <c r="P184" s="82"/>
      <c r="Q184" s="83"/>
      <c r="R184" s="83"/>
      <c r="S184" s="64"/>
      <c r="T184" s="64"/>
      <c r="U184" s="64"/>
      <c r="W184" s="134"/>
      <c r="Y184" s="64"/>
      <c r="Z184" s="64"/>
      <c r="AA184" s="139"/>
      <c r="AB184" s="275"/>
    </row>
    <row r="185" spans="1:28">
      <c r="A185" s="64"/>
      <c r="B185" s="75"/>
      <c r="C185" s="76"/>
      <c r="D185" s="77"/>
      <c r="E185" s="78"/>
      <c r="F185" s="79"/>
      <c r="G185" s="79"/>
      <c r="H185" s="79"/>
      <c r="I185" s="80"/>
      <c r="J185" s="80"/>
      <c r="K185" s="81"/>
      <c r="L185" s="79"/>
      <c r="M185" s="79"/>
      <c r="N185" s="79"/>
      <c r="O185" s="79"/>
      <c r="P185" s="82"/>
      <c r="Q185" s="83"/>
      <c r="R185" s="83"/>
      <c r="S185" s="64"/>
      <c r="T185" s="64"/>
      <c r="U185" s="64"/>
      <c r="W185" s="134"/>
      <c r="Y185" s="64"/>
      <c r="Z185" s="64"/>
      <c r="AA185" s="139"/>
      <c r="AB185" s="275"/>
    </row>
    <row r="186" spans="1:28">
      <c r="A186" s="64"/>
      <c r="B186" s="75"/>
      <c r="C186" s="76"/>
      <c r="D186" s="77"/>
      <c r="E186" s="78"/>
      <c r="F186" s="79"/>
      <c r="G186" s="79"/>
      <c r="H186" s="79"/>
      <c r="I186" s="80"/>
      <c r="J186" s="80"/>
      <c r="K186" s="81"/>
      <c r="L186" s="79"/>
      <c r="M186" s="79"/>
      <c r="N186" s="79"/>
      <c r="O186" s="79"/>
      <c r="P186" s="82"/>
      <c r="Q186" s="83"/>
      <c r="R186" s="83"/>
      <c r="S186" s="64"/>
      <c r="T186" s="64"/>
      <c r="U186" s="64"/>
      <c r="W186" s="134"/>
      <c r="Y186" s="64"/>
      <c r="Z186" s="64"/>
      <c r="AA186" s="139"/>
      <c r="AB186" s="275"/>
    </row>
    <row r="187" spans="1:28">
      <c r="A187" s="64"/>
      <c r="B187" s="75"/>
      <c r="C187" s="76"/>
      <c r="D187" s="77"/>
      <c r="E187" s="78"/>
      <c r="F187" s="79"/>
      <c r="G187" s="79"/>
      <c r="H187" s="79"/>
      <c r="I187" s="80"/>
      <c r="J187" s="80"/>
      <c r="K187" s="81"/>
      <c r="L187" s="79"/>
      <c r="M187" s="79"/>
      <c r="N187" s="79"/>
      <c r="O187" s="79"/>
      <c r="P187" s="82"/>
      <c r="Q187" s="83"/>
      <c r="R187" s="83"/>
      <c r="S187" s="64"/>
      <c r="T187" s="64"/>
      <c r="U187" s="64"/>
      <c r="W187" s="134"/>
      <c r="Y187" s="64"/>
      <c r="Z187" s="64"/>
      <c r="AA187" s="139"/>
      <c r="AB187" s="275"/>
    </row>
    <row r="188" spans="1:28">
      <c r="A188" s="64"/>
      <c r="B188" s="75"/>
      <c r="C188" s="76"/>
      <c r="D188" s="77"/>
      <c r="E188" s="78"/>
      <c r="F188" s="79"/>
      <c r="G188" s="79"/>
      <c r="H188" s="79"/>
      <c r="I188" s="80"/>
      <c r="J188" s="80"/>
      <c r="K188" s="81"/>
      <c r="L188" s="79"/>
      <c r="M188" s="79"/>
      <c r="N188" s="79"/>
      <c r="O188" s="79"/>
      <c r="P188" s="82"/>
      <c r="Q188" s="83"/>
      <c r="R188" s="83"/>
      <c r="S188" s="64"/>
      <c r="T188" s="64"/>
      <c r="U188" s="64"/>
      <c r="W188" s="134"/>
      <c r="Y188" s="64"/>
      <c r="Z188" s="64"/>
      <c r="AA188" s="139"/>
      <c r="AB188" s="275"/>
    </row>
    <row r="189" spans="1:28">
      <c r="A189" s="64"/>
      <c r="B189" s="75"/>
      <c r="C189" s="76"/>
      <c r="D189" s="77"/>
      <c r="E189" s="78"/>
      <c r="F189" s="79"/>
      <c r="G189" s="79"/>
      <c r="H189" s="79"/>
      <c r="I189" s="80"/>
      <c r="J189" s="80"/>
      <c r="K189" s="81"/>
      <c r="L189" s="79"/>
      <c r="M189" s="79"/>
      <c r="N189" s="79"/>
      <c r="O189" s="79"/>
      <c r="P189" s="82"/>
      <c r="Q189" s="83"/>
      <c r="R189" s="83"/>
      <c r="S189" s="64"/>
      <c r="T189" s="64"/>
      <c r="U189" s="64"/>
      <c r="W189" s="134"/>
      <c r="Y189" s="64"/>
      <c r="Z189" s="64"/>
      <c r="AA189" s="139"/>
      <c r="AB189" s="275"/>
    </row>
    <row r="190" spans="1:28">
      <c r="A190" s="64"/>
      <c r="B190" s="75"/>
      <c r="C190" s="76"/>
      <c r="D190" s="77"/>
      <c r="E190" s="78"/>
      <c r="F190" s="79"/>
      <c r="G190" s="79"/>
      <c r="H190" s="79"/>
      <c r="I190" s="80"/>
      <c r="J190" s="80"/>
      <c r="K190" s="81"/>
      <c r="L190" s="79"/>
      <c r="M190" s="79"/>
      <c r="N190" s="79"/>
      <c r="O190" s="79"/>
      <c r="P190" s="82"/>
      <c r="Q190" s="83"/>
      <c r="R190" s="83"/>
      <c r="S190" s="64"/>
      <c r="T190" s="64"/>
      <c r="U190" s="64"/>
      <c r="W190" s="134"/>
      <c r="Y190" s="64"/>
      <c r="Z190" s="64"/>
      <c r="AA190" s="139"/>
      <c r="AB190" s="275"/>
    </row>
    <row r="191" spans="1:28">
      <c r="A191" s="64"/>
      <c r="B191" s="75"/>
      <c r="C191" s="76"/>
      <c r="D191" s="77"/>
      <c r="E191" s="78"/>
      <c r="F191" s="79"/>
      <c r="G191" s="79"/>
      <c r="H191" s="79"/>
      <c r="I191" s="80"/>
      <c r="J191" s="80"/>
      <c r="K191" s="81"/>
      <c r="L191" s="79"/>
      <c r="M191" s="79"/>
      <c r="N191" s="79"/>
      <c r="O191" s="79"/>
      <c r="P191" s="82"/>
      <c r="Q191" s="83"/>
      <c r="R191" s="83"/>
      <c r="S191" s="64"/>
      <c r="T191" s="64"/>
      <c r="U191" s="64"/>
      <c r="W191" s="134"/>
      <c r="Y191" s="64"/>
      <c r="Z191" s="64"/>
      <c r="AA191" s="139"/>
      <c r="AB191" s="275"/>
    </row>
    <row r="192" spans="1:28">
      <c r="A192" s="64"/>
      <c r="B192" s="75"/>
      <c r="C192" s="76"/>
      <c r="D192" s="77"/>
      <c r="E192" s="78"/>
      <c r="F192" s="79"/>
      <c r="G192" s="79"/>
      <c r="H192" s="79"/>
      <c r="I192" s="80"/>
      <c r="J192" s="80"/>
      <c r="K192" s="81"/>
      <c r="L192" s="79"/>
      <c r="M192" s="79"/>
      <c r="N192" s="79"/>
      <c r="O192" s="79"/>
      <c r="P192" s="82"/>
      <c r="Q192" s="83"/>
      <c r="R192" s="83"/>
      <c r="S192" s="64"/>
      <c r="T192" s="64"/>
      <c r="U192" s="64"/>
      <c r="W192" s="134"/>
      <c r="Y192" s="64"/>
      <c r="Z192" s="64"/>
      <c r="AA192" s="139"/>
      <c r="AB192" s="275"/>
    </row>
    <row r="193" spans="1:28">
      <c r="A193" s="64"/>
      <c r="B193" s="75"/>
      <c r="C193" s="76"/>
      <c r="D193" s="77"/>
      <c r="E193" s="78"/>
      <c r="F193" s="79"/>
      <c r="G193" s="79"/>
      <c r="H193" s="79"/>
      <c r="I193" s="80"/>
      <c r="J193" s="80"/>
      <c r="K193" s="81"/>
      <c r="L193" s="79"/>
      <c r="M193" s="79"/>
      <c r="N193" s="79"/>
      <c r="O193" s="79"/>
      <c r="P193" s="82"/>
      <c r="Q193" s="83"/>
      <c r="R193" s="83"/>
      <c r="S193" s="64"/>
      <c r="T193" s="64"/>
      <c r="U193" s="64"/>
      <c r="W193" s="134"/>
      <c r="Y193" s="64"/>
      <c r="Z193" s="64"/>
      <c r="AA193" s="139"/>
      <c r="AB193" s="275"/>
    </row>
    <row r="194" spans="1:28">
      <c r="A194" s="64"/>
      <c r="B194" s="75"/>
      <c r="C194" s="76"/>
      <c r="D194" s="77"/>
      <c r="E194" s="78"/>
      <c r="F194" s="79"/>
      <c r="G194" s="79"/>
      <c r="H194" s="79"/>
      <c r="I194" s="80"/>
      <c r="J194" s="80"/>
      <c r="K194" s="81"/>
      <c r="L194" s="79"/>
      <c r="M194" s="79"/>
      <c r="N194" s="79"/>
      <c r="O194" s="79"/>
      <c r="P194" s="82"/>
      <c r="Q194" s="83"/>
      <c r="R194" s="83"/>
      <c r="S194" s="64"/>
      <c r="T194" s="64"/>
      <c r="U194" s="64"/>
      <c r="W194" s="134"/>
      <c r="Y194" s="64"/>
      <c r="Z194" s="64"/>
      <c r="AA194" s="139"/>
      <c r="AB194" s="275"/>
    </row>
    <row r="195" spans="1:28">
      <c r="A195" s="64"/>
      <c r="B195" s="75"/>
      <c r="C195" s="76"/>
      <c r="D195" s="77"/>
      <c r="E195" s="78"/>
      <c r="F195" s="79"/>
      <c r="G195" s="79"/>
      <c r="H195" s="79"/>
      <c r="I195" s="80"/>
      <c r="J195" s="80"/>
      <c r="K195" s="81"/>
      <c r="L195" s="79"/>
      <c r="M195" s="79"/>
      <c r="N195" s="79"/>
      <c r="O195" s="79"/>
      <c r="P195" s="82"/>
      <c r="Q195" s="83"/>
      <c r="R195" s="83"/>
      <c r="S195" s="64"/>
      <c r="T195" s="64"/>
      <c r="U195" s="64"/>
      <c r="W195" s="134"/>
      <c r="Y195" s="64"/>
      <c r="Z195" s="64"/>
      <c r="AA195" s="139"/>
      <c r="AB195" s="275"/>
    </row>
    <row r="196" spans="1:28">
      <c r="A196" s="64"/>
      <c r="B196" s="75"/>
      <c r="C196" s="76"/>
      <c r="D196" s="77"/>
      <c r="E196" s="78"/>
      <c r="F196" s="79"/>
      <c r="G196" s="79"/>
      <c r="H196" s="79"/>
      <c r="I196" s="80"/>
      <c r="J196" s="80"/>
      <c r="K196" s="81"/>
      <c r="L196" s="79"/>
      <c r="M196" s="79"/>
      <c r="N196" s="79"/>
      <c r="O196" s="79"/>
      <c r="P196" s="82"/>
      <c r="Q196" s="83"/>
      <c r="R196" s="83"/>
      <c r="S196" s="64"/>
      <c r="T196" s="64"/>
      <c r="U196" s="64"/>
      <c r="W196" s="134"/>
      <c r="Y196" s="64"/>
      <c r="Z196" s="64"/>
      <c r="AA196" s="139"/>
      <c r="AB196" s="275"/>
    </row>
    <row r="197" spans="1:28">
      <c r="A197" s="64"/>
      <c r="B197" s="75"/>
      <c r="C197" s="76"/>
      <c r="D197" s="77"/>
      <c r="E197" s="78"/>
      <c r="F197" s="79"/>
      <c r="G197" s="79"/>
      <c r="H197" s="79"/>
      <c r="I197" s="80"/>
      <c r="J197" s="80"/>
      <c r="K197" s="81"/>
      <c r="L197" s="79"/>
      <c r="M197" s="79"/>
      <c r="N197" s="79"/>
      <c r="O197" s="79"/>
      <c r="P197" s="82"/>
      <c r="Q197" s="83"/>
      <c r="R197" s="83"/>
      <c r="S197" s="64"/>
      <c r="T197" s="64"/>
      <c r="U197" s="64"/>
      <c r="Y197" s="64"/>
      <c r="Z197" s="64"/>
      <c r="AA197" s="139"/>
      <c r="AB197" s="275"/>
    </row>
    <row r="198" spans="1:28">
      <c r="A198" s="64"/>
      <c r="B198" s="75"/>
      <c r="C198" s="76"/>
      <c r="D198" s="77"/>
      <c r="E198" s="78"/>
      <c r="F198" s="79"/>
      <c r="G198" s="79"/>
      <c r="H198" s="79"/>
      <c r="I198" s="80"/>
      <c r="J198" s="80"/>
      <c r="K198" s="81"/>
      <c r="L198" s="79"/>
      <c r="M198" s="79"/>
      <c r="N198" s="79"/>
      <c r="O198" s="79"/>
      <c r="P198" s="82"/>
      <c r="Q198" s="83"/>
      <c r="R198" s="83"/>
      <c r="S198" s="64"/>
      <c r="T198" s="64"/>
      <c r="U198" s="64"/>
      <c r="Y198" s="64"/>
      <c r="Z198" s="64"/>
      <c r="AA198" s="139"/>
      <c r="AB198" s="275"/>
    </row>
    <row r="199" spans="1:28">
      <c r="A199" s="64"/>
      <c r="B199" s="75"/>
      <c r="C199" s="76"/>
      <c r="D199" s="77"/>
      <c r="E199" s="78"/>
      <c r="F199" s="79"/>
      <c r="G199" s="79"/>
      <c r="H199" s="79"/>
      <c r="I199" s="80"/>
      <c r="J199" s="80"/>
      <c r="K199" s="81"/>
      <c r="L199" s="79"/>
      <c r="M199" s="79"/>
      <c r="N199" s="79"/>
      <c r="O199" s="79"/>
      <c r="P199" s="82"/>
      <c r="Q199" s="83"/>
      <c r="R199" s="83"/>
      <c r="S199" s="64"/>
      <c r="T199" s="64"/>
      <c r="U199" s="64"/>
      <c r="Y199" s="64"/>
      <c r="Z199" s="64"/>
      <c r="AA199" s="139"/>
      <c r="AB199" s="275"/>
    </row>
    <row r="200" spans="1:28">
      <c r="A200" s="64"/>
      <c r="B200" s="75"/>
      <c r="C200" s="76"/>
      <c r="D200" s="77"/>
      <c r="E200" s="78"/>
      <c r="F200" s="79"/>
      <c r="G200" s="79"/>
      <c r="H200" s="79"/>
      <c r="I200" s="80"/>
      <c r="J200" s="80"/>
      <c r="K200" s="81"/>
      <c r="L200" s="79"/>
      <c r="M200" s="79"/>
      <c r="N200" s="79"/>
      <c r="O200" s="79"/>
      <c r="P200" s="82"/>
      <c r="Q200" s="83"/>
      <c r="R200" s="83"/>
      <c r="S200" s="64"/>
      <c r="T200" s="64"/>
      <c r="U200" s="64"/>
      <c r="Y200" s="64"/>
      <c r="Z200" s="64"/>
      <c r="AA200" s="139"/>
      <c r="AB200" s="275"/>
    </row>
    <row r="201" spans="1:28">
      <c r="A201" s="64"/>
      <c r="B201" s="75"/>
      <c r="C201" s="76"/>
      <c r="D201" s="77"/>
      <c r="E201" s="78"/>
      <c r="F201" s="79"/>
      <c r="G201" s="79"/>
      <c r="H201" s="79"/>
      <c r="I201" s="80"/>
      <c r="J201" s="80"/>
      <c r="K201" s="81"/>
      <c r="L201" s="79"/>
      <c r="M201" s="79"/>
      <c r="N201" s="79"/>
      <c r="O201" s="79"/>
      <c r="P201" s="82"/>
      <c r="Q201" s="83"/>
      <c r="R201" s="83"/>
      <c r="S201" s="64"/>
      <c r="T201" s="64"/>
      <c r="U201" s="64"/>
      <c r="Y201" s="64"/>
      <c r="Z201" s="64"/>
      <c r="AA201" s="139"/>
      <c r="AB201" s="275"/>
    </row>
    <row r="202" spans="1:28">
      <c r="A202" s="64"/>
      <c r="B202" s="75"/>
      <c r="C202" s="76"/>
      <c r="D202" s="77"/>
      <c r="E202" s="78"/>
      <c r="F202" s="79"/>
      <c r="G202" s="79"/>
      <c r="H202" s="79"/>
      <c r="I202" s="80"/>
      <c r="J202" s="80"/>
      <c r="K202" s="81"/>
      <c r="L202" s="79"/>
      <c r="M202" s="79"/>
      <c r="N202" s="79"/>
      <c r="O202" s="79"/>
      <c r="P202" s="82"/>
      <c r="Q202" s="83"/>
      <c r="R202" s="83"/>
      <c r="S202" s="64"/>
      <c r="T202" s="64"/>
      <c r="U202" s="64"/>
      <c r="Y202" s="64"/>
      <c r="Z202" s="64"/>
      <c r="AA202" s="139"/>
      <c r="AB202" s="275"/>
    </row>
    <row r="203" spans="1:28">
      <c r="A203" s="64"/>
      <c r="B203" s="75"/>
      <c r="C203" s="76"/>
      <c r="D203" s="77"/>
      <c r="E203" s="78"/>
      <c r="F203" s="79"/>
      <c r="G203" s="79"/>
      <c r="H203" s="79"/>
      <c r="I203" s="80"/>
      <c r="J203" s="80"/>
      <c r="K203" s="81"/>
      <c r="L203" s="79"/>
      <c r="M203" s="79"/>
      <c r="N203" s="79"/>
      <c r="O203" s="79"/>
      <c r="P203" s="82"/>
      <c r="Q203" s="83"/>
      <c r="R203" s="83"/>
      <c r="S203" s="64"/>
      <c r="T203" s="64"/>
      <c r="U203" s="64"/>
      <c r="Y203" s="64"/>
      <c r="Z203" s="64"/>
      <c r="AA203" s="139"/>
      <c r="AB203" s="275"/>
    </row>
    <row r="204" spans="1:28">
      <c r="A204" s="64"/>
      <c r="B204" s="75"/>
      <c r="C204" s="76"/>
      <c r="D204" s="77"/>
      <c r="E204" s="78"/>
      <c r="F204" s="79"/>
      <c r="G204" s="79"/>
      <c r="H204" s="79"/>
      <c r="I204" s="80"/>
      <c r="J204" s="80"/>
      <c r="K204" s="81"/>
      <c r="L204" s="79"/>
      <c r="M204" s="79"/>
      <c r="N204" s="79"/>
      <c r="O204" s="79"/>
      <c r="P204" s="82"/>
      <c r="Q204" s="83"/>
      <c r="R204" s="83"/>
      <c r="S204" s="64"/>
      <c r="T204" s="64"/>
      <c r="U204" s="64"/>
      <c r="Y204" s="64"/>
      <c r="Z204" s="64"/>
      <c r="AA204" s="139"/>
      <c r="AB204" s="275"/>
    </row>
    <row r="205" spans="1:28">
      <c r="A205" s="64"/>
      <c r="B205" s="75"/>
      <c r="C205" s="76"/>
      <c r="D205" s="77"/>
      <c r="E205" s="78"/>
      <c r="F205" s="79"/>
      <c r="G205" s="79"/>
      <c r="H205" s="79"/>
      <c r="I205" s="80"/>
      <c r="J205" s="80"/>
      <c r="K205" s="81"/>
      <c r="L205" s="79"/>
      <c r="M205" s="79"/>
      <c r="N205" s="79"/>
      <c r="O205" s="79"/>
      <c r="P205" s="82"/>
      <c r="Q205" s="83"/>
      <c r="R205" s="83"/>
      <c r="S205" s="64"/>
      <c r="T205" s="64"/>
      <c r="U205" s="64"/>
      <c r="Y205" s="64"/>
      <c r="Z205" s="64"/>
      <c r="AA205" s="139"/>
      <c r="AB205" s="275"/>
    </row>
    <row r="206" spans="1:28">
      <c r="A206" s="64"/>
      <c r="B206" s="75"/>
      <c r="C206" s="76"/>
      <c r="D206" s="77"/>
      <c r="E206" s="78"/>
      <c r="F206" s="79"/>
      <c r="G206" s="79"/>
      <c r="H206" s="79"/>
      <c r="I206" s="80"/>
      <c r="J206" s="80"/>
      <c r="K206" s="81"/>
      <c r="L206" s="79"/>
      <c r="M206" s="79"/>
      <c r="N206" s="79"/>
      <c r="O206" s="79"/>
      <c r="P206" s="82"/>
      <c r="Q206" s="83"/>
      <c r="R206" s="83"/>
      <c r="S206" s="64"/>
      <c r="T206" s="64"/>
      <c r="U206" s="64"/>
      <c r="Y206" s="64"/>
      <c r="Z206" s="64"/>
      <c r="AA206" s="139"/>
      <c r="AB206" s="275"/>
    </row>
    <row r="207" spans="1:28">
      <c r="A207" s="64"/>
      <c r="B207" s="75"/>
      <c r="C207" s="76"/>
      <c r="D207" s="77"/>
      <c r="E207" s="78"/>
      <c r="F207" s="79"/>
      <c r="G207" s="79"/>
      <c r="H207" s="79"/>
      <c r="I207" s="80"/>
      <c r="J207" s="80"/>
      <c r="K207" s="81"/>
      <c r="L207" s="79"/>
      <c r="M207" s="79"/>
      <c r="N207" s="79"/>
      <c r="O207" s="79"/>
      <c r="P207" s="82"/>
      <c r="Q207" s="83"/>
      <c r="R207" s="83"/>
      <c r="S207" s="64"/>
      <c r="T207" s="64"/>
      <c r="U207" s="64"/>
      <c r="Y207" s="64"/>
      <c r="Z207" s="64"/>
      <c r="AA207" s="139"/>
      <c r="AB207" s="275"/>
    </row>
    <row r="208" spans="1:28">
      <c r="A208" s="64"/>
      <c r="B208" s="75"/>
      <c r="C208" s="76"/>
      <c r="D208" s="77"/>
      <c r="E208" s="78"/>
      <c r="F208" s="79"/>
      <c r="G208" s="79"/>
      <c r="H208" s="79"/>
      <c r="I208" s="80"/>
      <c r="J208" s="80"/>
      <c r="K208" s="81"/>
      <c r="L208" s="79"/>
      <c r="M208" s="79"/>
      <c r="N208" s="79"/>
      <c r="O208" s="79"/>
      <c r="P208" s="82"/>
      <c r="Q208" s="83"/>
      <c r="R208" s="83"/>
      <c r="S208" s="64"/>
      <c r="T208" s="64"/>
      <c r="U208" s="64"/>
      <c r="Y208" s="64"/>
      <c r="Z208" s="64"/>
      <c r="AA208" s="139"/>
      <c r="AB208" s="275"/>
    </row>
    <row r="209" spans="1:28">
      <c r="A209" s="64"/>
      <c r="B209" s="75"/>
      <c r="C209" s="76"/>
      <c r="D209" s="77"/>
      <c r="E209" s="78"/>
      <c r="F209" s="79"/>
      <c r="G209" s="79"/>
      <c r="H209" s="79"/>
      <c r="I209" s="80"/>
      <c r="J209" s="80"/>
      <c r="K209" s="81"/>
      <c r="L209" s="79"/>
      <c r="M209" s="79"/>
      <c r="N209" s="79"/>
      <c r="O209" s="79"/>
      <c r="P209" s="82"/>
      <c r="Q209" s="83"/>
      <c r="R209" s="83"/>
      <c r="S209" s="64"/>
      <c r="T209" s="64"/>
      <c r="U209" s="64"/>
      <c r="Y209" s="64"/>
      <c r="Z209" s="64"/>
      <c r="AA209" s="139"/>
      <c r="AB209" s="275"/>
    </row>
    <row r="210" spans="1:28">
      <c r="A210" s="64"/>
      <c r="B210" s="75"/>
      <c r="C210" s="76"/>
      <c r="D210" s="77"/>
      <c r="E210" s="78"/>
      <c r="F210" s="79"/>
      <c r="G210" s="79"/>
      <c r="H210" s="79"/>
      <c r="I210" s="80"/>
      <c r="J210" s="80"/>
      <c r="K210" s="81"/>
      <c r="L210" s="79"/>
      <c r="M210" s="79"/>
      <c r="N210" s="79"/>
      <c r="O210" s="79"/>
      <c r="P210" s="82"/>
      <c r="Q210" s="83"/>
      <c r="R210" s="83"/>
      <c r="S210" s="64"/>
      <c r="T210" s="64"/>
      <c r="U210" s="64"/>
      <c r="Y210" s="64"/>
      <c r="Z210" s="64"/>
      <c r="AA210" s="139"/>
      <c r="AB210" s="275"/>
    </row>
    <row r="211" spans="1:28">
      <c r="A211" s="64"/>
      <c r="B211" s="75"/>
      <c r="C211" s="76"/>
      <c r="D211" s="77"/>
      <c r="E211" s="78"/>
      <c r="F211" s="79"/>
      <c r="G211" s="79"/>
      <c r="H211" s="79"/>
      <c r="I211" s="80"/>
      <c r="J211" s="80"/>
      <c r="K211" s="81"/>
      <c r="L211" s="79"/>
      <c r="M211" s="79"/>
      <c r="N211" s="79"/>
      <c r="O211" s="79"/>
      <c r="P211" s="82"/>
      <c r="Q211" s="83"/>
      <c r="R211" s="83"/>
      <c r="S211" s="64"/>
      <c r="T211" s="64"/>
      <c r="U211" s="64"/>
      <c r="Y211" s="64"/>
      <c r="Z211" s="64"/>
      <c r="AA211" s="139"/>
      <c r="AB211" s="275"/>
    </row>
    <row r="212" spans="1:28">
      <c r="A212" s="64"/>
      <c r="B212" s="75"/>
      <c r="C212" s="76"/>
      <c r="D212" s="77"/>
      <c r="E212" s="78"/>
      <c r="F212" s="79"/>
      <c r="G212" s="79"/>
      <c r="H212" s="79"/>
      <c r="I212" s="80"/>
      <c r="J212" s="80"/>
      <c r="K212" s="81"/>
      <c r="L212" s="79"/>
      <c r="M212" s="79"/>
      <c r="N212" s="79"/>
      <c r="O212" s="79"/>
      <c r="P212" s="82"/>
      <c r="Q212" s="83"/>
      <c r="R212" s="83"/>
      <c r="S212" s="64"/>
      <c r="T212" s="64"/>
      <c r="U212" s="64"/>
      <c r="Y212" s="64"/>
      <c r="Z212" s="64"/>
      <c r="AA212" s="139"/>
      <c r="AB212" s="275"/>
    </row>
    <row r="213" spans="1:28">
      <c r="A213" s="64"/>
      <c r="B213" s="75"/>
      <c r="C213" s="76"/>
      <c r="D213" s="77"/>
      <c r="E213" s="78"/>
      <c r="F213" s="79"/>
      <c r="G213" s="79"/>
      <c r="H213" s="79"/>
      <c r="I213" s="80"/>
      <c r="J213" s="80"/>
      <c r="K213" s="81"/>
      <c r="L213" s="79"/>
      <c r="M213" s="79"/>
      <c r="N213" s="79"/>
      <c r="O213" s="79"/>
      <c r="P213" s="82"/>
      <c r="Q213" s="83"/>
      <c r="R213" s="83"/>
      <c r="S213" s="64"/>
      <c r="T213" s="64"/>
      <c r="U213" s="64"/>
      <c r="Y213" s="64"/>
      <c r="Z213" s="64"/>
      <c r="AA213" s="139"/>
      <c r="AB213" s="275"/>
    </row>
    <row r="214" spans="1:28">
      <c r="A214" s="64"/>
      <c r="B214" s="75"/>
      <c r="C214" s="76"/>
      <c r="D214" s="77"/>
      <c r="E214" s="78"/>
      <c r="F214" s="79"/>
      <c r="G214" s="79"/>
      <c r="H214" s="79"/>
      <c r="I214" s="80"/>
      <c r="J214" s="80"/>
      <c r="K214" s="81"/>
      <c r="L214" s="79"/>
      <c r="M214" s="79"/>
      <c r="N214" s="79"/>
      <c r="O214" s="79"/>
      <c r="P214" s="82"/>
      <c r="Q214" s="83"/>
      <c r="R214" s="83"/>
      <c r="S214" s="64"/>
      <c r="T214" s="64"/>
      <c r="U214" s="64"/>
      <c r="Y214" s="64"/>
      <c r="Z214" s="64"/>
      <c r="AA214" s="139"/>
      <c r="AB214" s="275"/>
    </row>
    <row r="215" spans="1:28">
      <c r="A215" s="64"/>
      <c r="B215" s="75"/>
      <c r="C215" s="76"/>
      <c r="D215" s="77"/>
      <c r="E215" s="78"/>
      <c r="F215" s="79"/>
      <c r="G215" s="79"/>
      <c r="H215" s="79"/>
      <c r="I215" s="80"/>
      <c r="J215" s="80"/>
      <c r="K215" s="81"/>
      <c r="L215" s="79"/>
      <c r="M215" s="79"/>
      <c r="N215" s="79"/>
      <c r="O215" s="79"/>
      <c r="P215" s="82"/>
      <c r="Q215" s="83"/>
      <c r="R215" s="83"/>
      <c r="S215" s="64"/>
      <c r="T215" s="64"/>
      <c r="U215" s="64"/>
      <c r="Y215" s="64"/>
      <c r="Z215" s="64"/>
      <c r="AA215" s="139"/>
      <c r="AB215" s="275"/>
    </row>
    <row r="216" spans="1:28">
      <c r="A216" s="64"/>
      <c r="B216" s="75"/>
      <c r="C216" s="76"/>
      <c r="D216" s="77"/>
      <c r="E216" s="78"/>
      <c r="F216" s="79"/>
      <c r="G216" s="79"/>
      <c r="H216" s="79"/>
      <c r="I216" s="80"/>
      <c r="J216" s="80"/>
      <c r="K216" s="81"/>
      <c r="L216" s="79"/>
      <c r="M216" s="79"/>
      <c r="N216" s="79"/>
      <c r="O216" s="79"/>
      <c r="P216" s="82"/>
      <c r="Q216" s="83"/>
      <c r="R216" s="83"/>
      <c r="S216" s="64"/>
      <c r="T216" s="64"/>
      <c r="U216" s="64"/>
      <c r="Y216" s="64"/>
      <c r="Z216" s="64"/>
      <c r="AA216" s="139"/>
      <c r="AB216" s="275"/>
    </row>
    <row r="217" spans="1:28">
      <c r="A217" s="64"/>
      <c r="B217" s="75"/>
      <c r="C217" s="76"/>
      <c r="D217" s="77"/>
      <c r="E217" s="78"/>
      <c r="F217" s="79"/>
      <c r="G217" s="79"/>
      <c r="H217" s="79"/>
      <c r="I217" s="80"/>
      <c r="J217" s="80"/>
      <c r="K217" s="81"/>
      <c r="L217" s="79"/>
      <c r="M217" s="79"/>
      <c r="N217" s="79"/>
      <c r="O217" s="79"/>
      <c r="P217" s="82"/>
      <c r="Q217" s="83"/>
      <c r="R217" s="83"/>
      <c r="S217" s="64"/>
      <c r="T217" s="64"/>
      <c r="U217" s="64"/>
      <c r="Y217" s="64"/>
      <c r="Z217" s="64"/>
      <c r="AA217" s="139"/>
      <c r="AB217" s="275"/>
    </row>
    <row r="218" spans="1:28">
      <c r="A218" s="64"/>
      <c r="B218" s="75"/>
      <c r="C218" s="76"/>
      <c r="D218" s="77"/>
      <c r="E218" s="78"/>
      <c r="F218" s="79"/>
      <c r="G218" s="79"/>
      <c r="H218" s="79"/>
      <c r="I218" s="80"/>
      <c r="J218" s="80"/>
      <c r="K218" s="81"/>
      <c r="L218" s="79"/>
      <c r="M218" s="79"/>
      <c r="N218" s="79"/>
      <c r="O218" s="79"/>
      <c r="P218" s="82"/>
      <c r="Q218" s="83"/>
      <c r="R218" s="83"/>
      <c r="S218" s="64"/>
      <c r="T218" s="64"/>
      <c r="U218" s="64"/>
      <c r="Y218" s="64"/>
      <c r="Z218" s="64"/>
      <c r="AA218" s="139"/>
      <c r="AB218" s="275"/>
    </row>
    <row r="219" spans="1:28">
      <c r="A219" s="64"/>
      <c r="B219" s="75"/>
      <c r="C219" s="76"/>
      <c r="D219" s="77"/>
      <c r="E219" s="78"/>
      <c r="F219" s="79"/>
      <c r="G219" s="79"/>
      <c r="H219" s="79"/>
      <c r="I219" s="80"/>
      <c r="J219" s="80"/>
      <c r="K219" s="81"/>
      <c r="L219" s="79"/>
      <c r="M219" s="79"/>
      <c r="N219" s="79"/>
      <c r="O219" s="79"/>
      <c r="P219" s="82"/>
      <c r="Q219" s="83"/>
      <c r="R219" s="83"/>
      <c r="S219" s="64"/>
      <c r="T219" s="64"/>
      <c r="U219" s="64"/>
      <c r="Y219" s="64"/>
      <c r="Z219" s="64"/>
      <c r="AA219" s="139"/>
      <c r="AB219" s="275"/>
    </row>
    <row r="220" spans="1:28">
      <c r="A220" s="64"/>
      <c r="B220" s="75"/>
      <c r="C220" s="76"/>
      <c r="D220" s="77"/>
      <c r="E220" s="78"/>
      <c r="F220" s="79"/>
      <c r="G220" s="79"/>
      <c r="H220" s="79"/>
      <c r="I220" s="80"/>
      <c r="J220" s="80"/>
      <c r="K220" s="81"/>
      <c r="L220" s="79"/>
      <c r="M220" s="79"/>
      <c r="N220" s="79"/>
      <c r="O220" s="79"/>
      <c r="P220" s="82"/>
      <c r="Q220" s="83"/>
      <c r="R220" s="83"/>
      <c r="S220" s="64"/>
      <c r="T220" s="64"/>
      <c r="U220" s="64"/>
      <c r="Y220" s="64"/>
      <c r="Z220" s="64"/>
      <c r="AA220" s="139"/>
      <c r="AB220" s="275"/>
    </row>
    <row r="221" spans="1:28">
      <c r="A221" s="64"/>
      <c r="B221" s="75"/>
      <c r="D221" s="77"/>
      <c r="E221" s="78"/>
      <c r="F221" s="79"/>
      <c r="G221" s="79"/>
      <c r="H221" s="79"/>
      <c r="I221" s="80"/>
      <c r="J221" s="80"/>
      <c r="K221" s="81"/>
      <c r="L221" s="79"/>
      <c r="M221" s="79"/>
      <c r="N221" s="79"/>
      <c r="O221" s="79"/>
      <c r="P221" s="82"/>
      <c r="Q221" s="83"/>
      <c r="R221" s="83"/>
      <c r="S221" s="64"/>
      <c r="T221" s="64"/>
      <c r="U221" s="64"/>
      <c r="Y221" s="64"/>
      <c r="Z221" s="64"/>
      <c r="AA221" s="139"/>
      <c r="AB221" s="275"/>
    </row>
    <row r="222" spans="1:28">
      <c r="A222" s="64"/>
      <c r="B222" s="75"/>
      <c r="D222" s="90"/>
      <c r="E222" s="90"/>
      <c r="F222" s="90"/>
      <c r="G222" s="90"/>
      <c r="H222" s="90"/>
      <c r="I222" s="71"/>
      <c r="J222" s="71"/>
      <c r="K222" s="91"/>
      <c r="L222" s="90"/>
      <c r="M222" s="90"/>
      <c r="N222" s="90"/>
      <c r="O222" s="90"/>
      <c r="S222" s="64"/>
      <c r="T222" s="64"/>
      <c r="U222" s="64"/>
      <c r="Y222" s="64"/>
      <c r="Z222" s="64"/>
      <c r="AA222" s="139"/>
      <c r="AB222" s="275"/>
    </row>
    <row r="223" spans="1:28">
      <c r="A223" s="64"/>
      <c r="B223" s="75"/>
      <c r="D223" s="90"/>
      <c r="E223" s="90"/>
      <c r="F223" s="90"/>
      <c r="G223" s="90"/>
      <c r="H223" s="90"/>
      <c r="I223" s="71"/>
      <c r="J223" s="71"/>
      <c r="K223" s="91"/>
      <c r="L223" s="90"/>
      <c r="M223" s="90"/>
      <c r="N223" s="90"/>
      <c r="O223" s="90"/>
      <c r="S223" s="64"/>
      <c r="T223" s="64"/>
      <c r="U223" s="64"/>
      <c r="Y223" s="64"/>
      <c r="Z223" s="64"/>
      <c r="AA223" s="139"/>
      <c r="AB223" s="275"/>
    </row>
    <row r="224" spans="1:28">
      <c r="A224" s="64"/>
      <c r="B224" s="75"/>
      <c r="D224" s="90"/>
      <c r="E224" s="90"/>
      <c r="F224" s="90"/>
      <c r="G224" s="90"/>
      <c r="H224" s="90"/>
      <c r="I224" s="71"/>
      <c r="J224" s="71"/>
      <c r="K224" s="91"/>
      <c r="L224" s="90"/>
      <c r="M224" s="90"/>
      <c r="N224" s="90"/>
      <c r="O224" s="90"/>
      <c r="S224" s="64"/>
      <c r="T224" s="64"/>
      <c r="U224" s="64"/>
      <c r="Y224" s="64"/>
      <c r="Z224" s="64"/>
      <c r="AA224" s="139"/>
      <c r="AB224" s="275"/>
    </row>
    <row r="225" spans="1:28">
      <c r="A225" s="64"/>
      <c r="B225" s="75"/>
      <c r="D225" s="90"/>
      <c r="E225" s="90"/>
      <c r="F225" s="90"/>
      <c r="G225" s="90"/>
      <c r="H225" s="90"/>
      <c r="I225" s="71"/>
      <c r="J225" s="71"/>
      <c r="K225" s="91"/>
      <c r="L225" s="90"/>
      <c r="M225" s="90"/>
      <c r="N225" s="90"/>
      <c r="O225" s="90"/>
      <c r="S225" s="64"/>
      <c r="T225" s="64"/>
      <c r="U225" s="64"/>
      <c r="Y225" s="64"/>
      <c r="Z225" s="64"/>
      <c r="AA225" s="139"/>
      <c r="AB225" s="275"/>
    </row>
    <row r="226" spans="1:28">
      <c r="A226" s="64"/>
      <c r="B226" s="75"/>
      <c r="D226" s="90"/>
      <c r="E226" s="90"/>
      <c r="F226" s="90"/>
      <c r="G226" s="90"/>
      <c r="H226" s="90"/>
      <c r="I226" s="71"/>
      <c r="J226" s="71"/>
      <c r="K226" s="91"/>
      <c r="L226" s="90"/>
      <c r="M226" s="90"/>
      <c r="N226" s="90"/>
      <c r="O226" s="90"/>
      <c r="S226" s="64"/>
      <c r="T226" s="64"/>
      <c r="U226" s="64"/>
      <c r="Y226" s="64"/>
      <c r="Z226" s="64"/>
      <c r="AA226" s="139"/>
      <c r="AB226" s="275"/>
    </row>
    <row r="227" spans="1:28">
      <c r="A227" s="64"/>
      <c r="B227" s="75"/>
      <c r="D227" s="90"/>
      <c r="E227" s="90"/>
      <c r="F227" s="90"/>
      <c r="G227" s="90"/>
      <c r="H227" s="90"/>
      <c r="I227" s="71"/>
      <c r="J227" s="71"/>
      <c r="K227" s="91"/>
      <c r="L227" s="90"/>
      <c r="M227" s="90"/>
      <c r="N227" s="90"/>
      <c r="O227" s="90"/>
      <c r="S227" s="64"/>
      <c r="T227" s="64"/>
      <c r="U227" s="64"/>
      <c r="Y227" s="64"/>
      <c r="Z227" s="64"/>
      <c r="AA227" s="139"/>
      <c r="AB227" s="275"/>
    </row>
    <row r="228" spans="1:28">
      <c r="A228" s="64"/>
      <c r="B228" s="75"/>
      <c r="D228" s="90"/>
      <c r="E228" s="90"/>
      <c r="F228" s="90"/>
      <c r="G228" s="90"/>
      <c r="H228" s="90"/>
      <c r="I228" s="71"/>
      <c r="J228" s="71"/>
      <c r="K228" s="91"/>
      <c r="L228" s="90"/>
      <c r="M228" s="90"/>
      <c r="N228" s="90"/>
      <c r="O228" s="90"/>
      <c r="S228" s="64"/>
      <c r="T228" s="64"/>
      <c r="U228" s="64"/>
      <c r="Y228" s="64"/>
      <c r="Z228" s="64"/>
      <c r="AA228" s="139"/>
      <c r="AB228" s="275"/>
    </row>
    <row r="229" spans="1:28">
      <c r="A229" s="64"/>
      <c r="B229" s="75"/>
      <c r="D229" s="90"/>
      <c r="E229" s="90"/>
      <c r="F229" s="90"/>
      <c r="G229" s="90"/>
      <c r="H229" s="90"/>
      <c r="I229" s="71"/>
      <c r="J229" s="71"/>
      <c r="K229" s="91"/>
      <c r="L229" s="90"/>
      <c r="M229" s="90"/>
      <c r="N229" s="90"/>
      <c r="O229" s="90"/>
      <c r="S229" s="64"/>
      <c r="T229" s="64"/>
      <c r="U229" s="64"/>
      <c r="Y229" s="64"/>
      <c r="Z229" s="64"/>
      <c r="AA229" s="139"/>
      <c r="AB229" s="275"/>
    </row>
    <row r="230" spans="1:28">
      <c r="A230" s="64"/>
      <c r="B230" s="75"/>
      <c r="D230" s="90"/>
      <c r="E230" s="90"/>
      <c r="F230" s="90"/>
      <c r="G230" s="90"/>
      <c r="H230" s="90"/>
      <c r="I230" s="71"/>
      <c r="J230" s="71"/>
      <c r="K230" s="91"/>
      <c r="L230" s="90"/>
      <c r="M230" s="90"/>
      <c r="N230" s="90"/>
      <c r="O230" s="90"/>
      <c r="S230" s="64"/>
      <c r="T230" s="64"/>
      <c r="U230" s="64"/>
      <c r="Y230" s="64"/>
      <c r="Z230" s="64"/>
      <c r="AA230" s="139"/>
      <c r="AB230" s="275"/>
    </row>
    <row r="231" spans="1:28">
      <c r="A231" s="64"/>
      <c r="B231" s="75"/>
      <c r="D231" s="90"/>
      <c r="E231" s="90"/>
      <c r="F231" s="90"/>
      <c r="G231" s="90"/>
      <c r="H231" s="90"/>
      <c r="I231" s="71"/>
      <c r="J231" s="71"/>
      <c r="K231" s="91"/>
      <c r="L231" s="90"/>
      <c r="M231" s="90"/>
      <c r="N231" s="90"/>
      <c r="O231" s="90"/>
      <c r="S231" s="64"/>
      <c r="T231" s="64"/>
      <c r="U231" s="64"/>
      <c r="Y231" s="64"/>
      <c r="Z231" s="64"/>
      <c r="AA231" s="139"/>
      <c r="AB231" s="275"/>
    </row>
    <row r="232" spans="1:28">
      <c r="A232" s="64"/>
      <c r="B232" s="75"/>
      <c r="D232" s="90"/>
      <c r="E232" s="90"/>
      <c r="F232" s="90"/>
      <c r="G232" s="90"/>
      <c r="H232" s="90"/>
      <c r="I232" s="71"/>
      <c r="J232" s="71"/>
      <c r="K232" s="91"/>
      <c r="L232" s="90"/>
      <c r="M232" s="90"/>
      <c r="N232" s="90"/>
      <c r="O232" s="90"/>
      <c r="S232" s="64"/>
      <c r="T232" s="64"/>
      <c r="U232" s="64"/>
      <c r="Y232" s="64"/>
      <c r="Z232" s="64"/>
      <c r="AA232" s="139"/>
      <c r="AB232" s="275"/>
    </row>
    <row r="233" spans="1:28">
      <c r="A233" s="64"/>
      <c r="B233" s="75"/>
      <c r="D233" s="90"/>
      <c r="E233" s="90"/>
      <c r="F233" s="90"/>
      <c r="G233" s="90"/>
      <c r="H233" s="90"/>
      <c r="I233" s="71"/>
      <c r="J233" s="71"/>
      <c r="K233" s="91"/>
      <c r="L233" s="90"/>
      <c r="M233" s="90"/>
      <c r="N233" s="90"/>
      <c r="O233" s="90"/>
      <c r="S233" s="64"/>
      <c r="T233" s="64"/>
      <c r="U233" s="64"/>
      <c r="Y233" s="64"/>
      <c r="Z233" s="64"/>
      <c r="AA233" s="139"/>
      <c r="AB233" s="275"/>
    </row>
    <row r="234" spans="1:28">
      <c r="A234" s="64"/>
      <c r="B234" s="75"/>
      <c r="C234" s="64"/>
      <c r="D234" s="74"/>
      <c r="E234" s="74"/>
      <c r="F234" s="74"/>
      <c r="G234" s="74"/>
      <c r="H234" s="74"/>
      <c r="I234" s="74"/>
      <c r="J234" s="74"/>
      <c r="K234" s="74"/>
      <c r="L234" s="90"/>
      <c r="M234" s="90"/>
      <c r="N234" s="90"/>
      <c r="O234" s="90"/>
      <c r="Q234" s="64"/>
      <c r="R234" s="64"/>
      <c r="S234" s="64"/>
      <c r="T234" s="64"/>
      <c r="U234" s="64"/>
      <c r="Y234" s="64"/>
      <c r="Z234" s="64"/>
      <c r="AA234" s="139"/>
      <c r="AB234" s="275"/>
    </row>
    <row r="235" spans="1:28">
      <c r="A235" s="64"/>
      <c r="B235" s="75"/>
      <c r="C235" s="64"/>
      <c r="D235" s="74"/>
      <c r="E235" s="74"/>
      <c r="F235" s="74"/>
      <c r="G235" s="74"/>
      <c r="H235" s="74"/>
      <c r="I235" s="74"/>
      <c r="J235" s="74"/>
      <c r="K235" s="74"/>
      <c r="L235" s="90"/>
      <c r="M235" s="90"/>
      <c r="N235" s="90"/>
      <c r="O235" s="90"/>
      <c r="Q235" s="64"/>
      <c r="R235" s="64"/>
      <c r="S235" s="64"/>
      <c r="T235" s="64"/>
      <c r="U235" s="64"/>
      <c r="Y235" s="64"/>
      <c r="Z235" s="64"/>
      <c r="AA235" s="139"/>
      <c r="AB235" s="275"/>
    </row>
    <row r="236" spans="1:28">
      <c r="A236" s="64"/>
      <c r="B236" s="75"/>
      <c r="C236" s="64"/>
      <c r="D236" s="74"/>
      <c r="E236" s="74"/>
      <c r="F236" s="74"/>
      <c r="G236" s="74"/>
      <c r="H236" s="74"/>
      <c r="I236" s="74"/>
      <c r="J236" s="74"/>
      <c r="K236" s="74"/>
      <c r="L236" s="90"/>
      <c r="M236" s="90"/>
      <c r="N236" s="90"/>
      <c r="O236" s="90"/>
      <c r="Q236" s="64"/>
      <c r="R236" s="64"/>
      <c r="S236" s="64"/>
      <c r="T236" s="64"/>
      <c r="U236" s="64"/>
      <c r="Y236" s="64"/>
      <c r="Z236" s="64"/>
      <c r="AA236" s="139"/>
      <c r="AB236" s="275"/>
    </row>
    <row r="237" spans="1:28">
      <c r="A237" s="64"/>
      <c r="B237" s="75"/>
      <c r="C237" s="64"/>
      <c r="D237" s="74"/>
      <c r="E237" s="74"/>
      <c r="F237" s="74"/>
      <c r="G237" s="74"/>
      <c r="H237" s="74"/>
      <c r="I237" s="74"/>
      <c r="J237" s="74"/>
      <c r="K237" s="74"/>
      <c r="L237" s="90"/>
      <c r="M237" s="90"/>
      <c r="N237" s="90"/>
      <c r="O237" s="90"/>
      <c r="Q237" s="64"/>
      <c r="R237" s="64"/>
      <c r="S237" s="64"/>
      <c r="T237" s="64"/>
      <c r="U237" s="64"/>
      <c r="Y237" s="64"/>
      <c r="Z237" s="64"/>
      <c r="AA237" s="139"/>
      <c r="AB237" s="275"/>
    </row>
    <row r="238" spans="1:28">
      <c r="A238" s="64"/>
      <c r="B238" s="75"/>
      <c r="C238" s="64"/>
      <c r="D238" s="74"/>
      <c r="E238" s="74"/>
      <c r="F238" s="74"/>
      <c r="G238" s="74"/>
      <c r="H238" s="74"/>
      <c r="I238" s="74"/>
      <c r="J238" s="74"/>
      <c r="K238" s="74"/>
      <c r="L238" s="90"/>
      <c r="M238" s="90"/>
      <c r="N238" s="90"/>
      <c r="O238" s="90"/>
      <c r="Q238" s="64"/>
      <c r="R238" s="64"/>
      <c r="S238" s="64"/>
      <c r="T238" s="64"/>
      <c r="U238" s="64"/>
      <c r="Y238" s="64"/>
      <c r="Z238" s="64"/>
      <c r="AA238" s="139"/>
      <c r="AB238" s="275"/>
    </row>
    <row r="239" spans="1:28">
      <c r="A239" s="64"/>
      <c r="B239" s="75"/>
      <c r="C239" s="64"/>
      <c r="D239" s="74"/>
      <c r="E239" s="74"/>
      <c r="F239" s="74"/>
      <c r="G239" s="74"/>
      <c r="H239" s="74"/>
      <c r="I239" s="74"/>
      <c r="J239" s="74"/>
      <c r="K239" s="74"/>
      <c r="L239" s="90"/>
      <c r="M239" s="90"/>
      <c r="N239" s="90"/>
      <c r="O239" s="90"/>
      <c r="Q239" s="64"/>
      <c r="R239" s="64"/>
      <c r="S239" s="64"/>
      <c r="T239" s="64"/>
      <c r="U239" s="64"/>
      <c r="Y239" s="64"/>
      <c r="Z239" s="64"/>
      <c r="AA239" s="139"/>
      <c r="AB239" s="275"/>
    </row>
    <row r="240" spans="1:28">
      <c r="A240" s="64"/>
      <c r="B240" s="75"/>
      <c r="C240" s="64"/>
      <c r="D240" s="74"/>
      <c r="E240" s="74"/>
      <c r="F240" s="74"/>
      <c r="G240" s="74"/>
      <c r="H240" s="74"/>
      <c r="I240" s="74"/>
      <c r="J240" s="74"/>
      <c r="K240" s="74"/>
      <c r="L240" s="90"/>
      <c r="M240" s="90"/>
      <c r="N240" s="90"/>
      <c r="O240" s="90"/>
      <c r="Q240" s="64"/>
      <c r="R240" s="64"/>
      <c r="S240" s="64"/>
      <c r="T240" s="64"/>
      <c r="U240" s="64"/>
      <c r="Y240" s="64"/>
      <c r="Z240" s="64"/>
      <c r="AA240" s="139"/>
      <c r="AB240" s="275"/>
    </row>
    <row r="241" spans="1:28">
      <c r="A241" s="64"/>
      <c r="B241" s="75"/>
      <c r="C241" s="64"/>
      <c r="D241" s="74"/>
      <c r="E241" s="74"/>
      <c r="F241" s="74"/>
      <c r="G241" s="74"/>
      <c r="H241" s="74"/>
      <c r="I241" s="74"/>
      <c r="J241" s="74"/>
      <c r="K241" s="74"/>
      <c r="L241" s="90"/>
      <c r="M241" s="90"/>
      <c r="N241" s="90"/>
      <c r="O241" s="90"/>
      <c r="Q241" s="64"/>
      <c r="R241" s="64"/>
      <c r="S241" s="64"/>
      <c r="T241" s="64"/>
      <c r="U241" s="64"/>
      <c r="Y241" s="64"/>
      <c r="Z241" s="64"/>
      <c r="AA241" s="139"/>
      <c r="AB241" s="275"/>
    </row>
    <row r="242" spans="1:28">
      <c r="A242" s="64"/>
      <c r="B242" s="75"/>
      <c r="C242" s="64"/>
      <c r="D242" s="74"/>
      <c r="E242" s="74"/>
      <c r="F242" s="74"/>
      <c r="G242" s="74"/>
      <c r="H242" s="74"/>
      <c r="I242" s="74"/>
      <c r="J242" s="74"/>
      <c r="K242" s="74"/>
      <c r="L242" s="90"/>
      <c r="M242" s="90"/>
      <c r="N242" s="90"/>
      <c r="O242" s="90"/>
      <c r="Q242" s="64"/>
      <c r="R242" s="64"/>
      <c r="S242" s="64"/>
      <c r="T242" s="64"/>
      <c r="U242" s="64"/>
      <c r="Y242" s="64"/>
      <c r="Z242" s="64"/>
      <c r="AA242" s="139"/>
      <c r="AB242" s="275"/>
    </row>
    <row r="243" spans="1:28">
      <c r="A243" s="64"/>
      <c r="B243" s="75"/>
      <c r="C243" s="64"/>
      <c r="D243" s="74"/>
      <c r="E243" s="74"/>
      <c r="F243" s="74"/>
      <c r="G243" s="74"/>
      <c r="H243" s="74"/>
      <c r="I243" s="74"/>
      <c r="J243" s="74"/>
      <c r="K243" s="74"/>
      <c r="L243" s="90"/>
      <c r="M243" s="90"/>
      <c r="N243" s="90"/>
      <c r="O243" s="90"/>
      <c r="Q243" s="64"/>
      <c r="R243" s="64"/>
      <c r="S243" s="64"/>
      <c r="T243" s="64"/>
      <c r="U243" s="64"/>
      <c r="Y243" s="64"/>
      <c r="Z243" s="64"/>
      <c r="AA243" s="139"/>
      <c r="AB243" s="275"/>
    </row>
    <row r="244" spans="1:28">
      <c r="A244" s="64"/>
      <c r="B244" s="75"/>
      <c r="C244" s="64"/>
      <c r="D244" s="74"/>
      <c r="E244" s="74"/>
      <c r="F244" s="74"/>
      <c r="G244" s="74"/>
      <c r="H244" s="74"/>
      <c r="I244" s="74"/>
      <c r="J244" s="74"/>
      <c r="K244" s="74"/>
      <c r="L244" s="90"/>
      <c r="M244" s="90"/>
      <c r="N244" s="90"/>
      <c r="O244" s="90"/>
      <c r="Q244" s="64"/>
      <c r="R244" s="64"/>
      <c r="S244" s="64"/>
      <c r="T244" s="64"/>
      <c r="U244" s="64"/>
      <c r="Y244" s="64"/>
      <c r="Z244" s="64"/>
      <c r="AA244" s="139"/>
      <c r="AB244" s="275"/>
    </row>
    <row r="245" spans="1:28">
      <c r="A245" s="64"/>
      <c r="B245" s="75"/>
      <c r="C245" s="64"/>
      <c r="D245" s="74"/>
      <c r="E245" s="74"/>
      <c r="F245" s="74"/>
      <c r="G245" s="74"/>
      <c r="H245" s="74"/>
      <c r="I245" s="74"/>
      <c r="J245" s="74"/>
      <c r="K245" s="74"/>
      <c r="L245" s="90"/>
      <c r="M245" s="90"/>
      <c r="N245" s="90"/>
      <c r="O245" s="90"/>
      <c r="Q245" s="64"/>
      <c r="R245" s="64"/>
      <c r="S245" s="64"/>
      <c r="T245" s="64"/>
      <c r="U245" s="64"/>
      <c r="Y245" s="64"/>
      <c r="Z245" s="64"/>
      <c r="AA245" s="139"/>
      <c r="AB245" s="275"/>
    </row>
    <row r="246" spans="1:28">
      <c r="A246" s="64"/>
      <c r="B246" s="75"/>
      <c r="C246" s="64"/>
      <c r="D246" s="74"/>
      <c r="E246" s="74"/>
      <c r="F246" s="74"/>
      <c r="G246" s="74"/>
      <c r="H246" s="74"/>
      <c r="I246" s="74"/>
      <c r="J246" s="74"/>
      <c r="K246" s="74"/>
      <c r="L246" s="90"/>
      <c r="M246" s="90"/>
      <c r="N246" s="90"/>
      <c r="O246" s="90"/>
      <c r="Q246" s="64"/>
      <c r="R246" s="64"/>
      <c r="S246" s="64"/>
      <c r="T246" s="64"/>
      <c r="U246" s="64"/>
      <c r="Y246" s="64"/>
      <c r="Z246" s="64"/>
      <c r="AA246" s="139"/>
      <c r="AB246" s="275"/>
    </row>
    <row r="247" spans="1:28">
      <c r="A247" s="64"/>
      <c r="B247" s="75"/>
      <c r="C247" s="64"/>
      <c r="D247" s="74"/>
      <c r="E247" s="74"/>
      <c r="F247" s="74"/>
      <c r="G247" s="74"/>
      <c r="H247" s="74"/>
      <c r="I247" s="74"/>
      <c r="J247" s="74"/>
      <c r="K247" s="74"/>
      <c r="L247" s="90"/>
      <c r="M247" s="90"/>
      <c r="N247" s="90"/>
      <c r="O247" s="90"/>
      <c r="Q247" s="64"/>
      <c r="R247" s="64"/>
      <c r="S247" s="64"/>
      <c r="T247" s="64"/>
      <c r="U247" s="64"/>
      <c r="Y247" s="64"/>
      <c r="Z247" s="64"/>
      <c r="AA247" s="139"/>
      <c r="AB247" s="275"/>
    </row>
    <row r="248" spans="1:28">
      <c r="A248" s="64"/>
      <c r="B248" s="75"/>
      <c r="C248" s="64"/>
      <c r="D248" s="74"/>
      <c r="E248" s="74"/>
      <c r="F248" s="74"/>
      <c r="G248" s="74"/>
      <c r="H248" s="74"/>
      <c r="I248" s="74"/>
      <c r="J248" s="74"/>
      <c r="K248" s="74"/>
      <c r="L248" s="90"/>
      <c r="M248" s="90"/>
      <c r="N248" s="90"/>
      <c r="O248" s="90"/>
      <c r="Q248" s="64"/>
      <c r="R248" s="64"/>
      <c r="S248" s="64"/>
      <c r="T248" s="64"/>
      <c r="U248" s="64"/>
      <c r="Y248" s="64"/>
      <c r="Z248" s="64"/>
      <c r="AA248" s="139"/>
      <c r="AB248" s="275"/>
    </row>
    <row r="249" spans="1:28">
      <c r="A249" s="64"/>
      <c r="B249" s="75"/>
      <c r="C249" s="64"/>
      <c r="D249" s="74"/>
      <c r="E249" s="74"/>
      <c r="F249" s="74"/>
      <c r="G249" s="74"/>
      <c r="H249" s="74"/>
      <c r="I249" s="74"/>
      <c r="J249" s="74"/>
      <c r="K249" s="74"/>
      <c r="L249" s="90"/>
      <c r="M249" s="90"/>
      <c r="N249" s="90"/>
      <c r="O249" s="90"/>
      <c r="Q249" s="64"/>
      <c r="R249" s="64"/>
      <c r="S249" s="64"/>
      <c r="T249" s="64"/>
      <c r="U249" s="64"/>
      <c r="Y249" s="64"/>
      <c r="Z249" s="64"/>
      <c r="AA249" s="139"/>
      <c r="AB249" s="275"/>
    </row>
    <row r="250" spans="1:28">
      <c r="A250" s="64"/>
      <c r="B250" s="75"/>
      <c r="C250" s="64"/>
      <c r="D250" s="74"/>
      <c r="E250" s="74"/>
      <c r="F250" s="74"/>
      <c r="G250" s="74"/>
      <c r="H250" s="74"/>
      <c r="I250" s="74"/>
      <c r="J250" s="74"/>
      <c r="K250" s="74"/>
      <c r="L250" s="90"/>
      <c r="M250" s="90"/>
      <c r="N250" s="90"/>
      <c r="O250" s="90"/>
      <c r="Q250" s="64"/>
      <c r="R250" s="64"/>
      <c r="S250" s="64"/>
      <c r="T250" s="64"/>
      <c r="U250" s="64"/>
      <c r="Y250" s="64"/>
      <c r="Z250" s="64"/>
      <c r="AA250" s="139"/>
      <c r="AB250" s="275"/>
    </row>
    <row r="251" spans="1:28">
      <c r="A251" s="64"/>
      <c r="B251" s="75"/>
      <c r="C251" s="64"/>
      <c r="D251" s="74"/>
      <c r="E251" s="74"/>
      <c r="F251" s="74"/>
      <c r="G251" s="74"/>
      <c r="H251" s="74"/>
      <c r="I251" s="74"/>
      <c r="J251" s="74"/>
      <c r="K251" s="74"/>
      <c r="L251" s="90"/>
      <c r="M251" s="90"/>
      <c r="N251" s="90"/>
      <c r="O251" s="90"/>
      <c r="Q251" s="64"/>
      <c r="R251" s="64"/>
      <c r="S251" s="64"/>
      <c r="T251" s="64"/>
      <c r="U251" s="64"/>
      <c r="Y251" s="64"/>
      <c r="Z251" s="64"/>
      <c r="AA251" s="139"/>
      <c r="AB251" s="275"/>
    </row>
    <row r="252" spans="1:28">
      <c r="A252" s="64"/>
      <c r="B252" s="75"/>
      <c r="C252" s="64"/>
      <c r="D252" s="74"/>
      <c r="E252" s="74"/>
      <c r="F252" s="74"/>
      <c r="G252" s="74"/>
      <c r="H252" s="74"/>
      <c r="I252" s="74"/>
      <c r="J252" s="74"/>
      <c r="K252" s="74"/>
      <c r="L252" s="90"/>
      <c r="M252" s="90"/>
      <c r="N252" s="90"/>
      <c r="O252" s="90"/>
      <c r="Q252" s="64"/>
      <c r="R252" s="64"/>
      <c r="S252" s="64"/>
      <c r="T252" s="64"/>
      <c r="U252" s="64"/>
      <c r="Y252" s="64"/>
      <c r="Z252" s="64"/>
      <c r="AA252" s="139"/>
      <c r="AB252" s="275"/>
    </row>
    <row r="253" spans="1:28">
      <c r="A253" s="64"/>
      <c r="B253" s="75"/>
      <c r="C253" s="64"/>
      <c r="D253" s="74"/>
      <c r="E253" s="74"/>
      <c r="F253" s="74"/>
      <c r="G253" s="74"/>
      <c r="H253" s="74"/>
      <c r="I253" s="74"/>
      <c r="J253" s="74"/>
      <c r="K253" s="74"/>
      <c r="L253" s="90"/>
      <c r="M253" s="90"/>
      <c r="N253" s="90"/>
      <c r="O253" s="90"/>
      <c r="Q253" s="64"/>
      <c r="R253" s="64"/>
      <c r="S253" s="64"/>
      <c r="T253" s="64"/>
      <c r="U253" s="64"/>
      <c r="Y253" s="64"/>
      <c r="Z253" s="64"/>
      <c r="AA253" s="139"/>
      <c r="AB253" s="275"/>
    </row>
    <row r="254" spans="1:28">
      <c r="A254" s="64"/>
      <c r="B254" s="75"/>
      <c r="C254" s="64"/>
      <c r="D254" s="74"/>
      <c r="E254" s="74"/>
      <c r="F254" s="74"/>
      <c r="G254" s="74"/>
      <c r="H254" s="74"/>
      <c r="I254" s="74"/>
      <c r="J254" s="74"/>
      <c r="K254" s="74"/>
      <c r="L254" s="90"/>
      <c r="M254" s="90"/>
      <c r="N254" s="90"/>
      <c r="O254" s="90"/>
      <c r="Q254" s="64"/>
      <c r="R254" s="64"/>
      <c r="S254" s="64"/>
      <c r="T254" s="64"/>
      <c r="U254" s="64"/>
      <c r="Y254" s="64"/>
      <c r="Z254" s="64"/>
      <c r="AA254" s="139"/>
      <c r="AB254" s="275"/>
    </row>
    <row r="255" spans="1:28">
      <c r="A255" s="64"/>
      <c r="B255" s="75"/>
      <c r="C255" s="64"/>
      <c r="D255" s="74"/>
      <c r="E255" s="74"/>
      <c r="F255" s="74"/>
      <c r="G255" s="74"/>
      <c r="H255" s="74"/>
      <c r="I255" s="74"/>
      <c r="J255" s="74"/>
      <c r="K255" s="74"/>
      <c r="L255" s="90"/>
      <c r="M255" s="90"/>
      <c r="N255" s="90"/>
      <c r="O255" s="90"/>
      <c r="Q255" s="64"/>
      <c r="R255" s="64"/>
      <c r="S255" s="64"/>
      <c r="T255" s="64"/>
      <c r="U255" s="64"/>
      <c r="Y255" s="64"/>
      <c r="Z255" s="64"/>
      <c r="AA255" s="139"/>
      <c r="AB255" s="275"/>
    </row>
    <row r="256" spans="1:28">
      <c r="A256" s="64"/>
      <c r="B256" s="75"/>
      <c r="C256" s="64"/>
      <c r="D256" s="74"/>
      <c r="E256" s="74"/>
      <c r="F256" s="74"/>
      <c r="G256" s="74"/>
      <c r="H256" s="74"/>
      <c r="I256" s="74"/>
      <c r="J256" s="74"/>
      <c r="K256" s="74"/>
      <c r="L256" s="90"/>
      <c r="M256" s="90"/>
      <c r="N256" s="90"/>
      <c r="O256" s="90"/>
      <c r="Q256" s="64"/>
      <c r="R256" s="64"/>
      <c r="S256" s="64"/>
      <c r="T256" s="64"/>
      <c r="U256" s="64"/>
      <c r="Y256" s="64"/>
      <c r="Z256" s="64"/>
      <c r="AA256" s="139"/>
      <c r="AB256" s="275"/>
    </row>
    <row r="257" spans="1:28">
      <c r="A257" s="64"/>
      <c r="B257" s="75"/>
      <c r="C257" s="64"/>
      <c r="D257" s="74"/>
      <c r="E257" s="74"/>
      <c r="F257" s="74"/>
      <c r="G257" s="74"/>
      <c r="H257" s="74"/>
      <c r="I257" s="74"/>
      <c r="J257" s="74"/>
      <c r="K257" s="74"/>
      <c r="L257" s="90"/>
      <c r="M257" s="90"/>
      <c r="N257" s="90"/>
      <c r="O257" s="90"/>
      <c r="Q257" s="64"/>
      <c r="R257" s="64"/>
      <c r="S257" s="64"/>
      <c r="T257" s="64"/>
      <c r="U257" s="64"/>
      <c r="Y257" s="64"/>
      <c r="Z257" s="64"/>
      <c r="AA257" s="139"/>
      <c r="AB257" s="275"/>
    </row>
    <row r="258" spans="1:28">
      <c r="A258" s="64"/>
      <c r="B258" s="75"/>
      <c r="C258" s="64"/>
      <c r="D258" s="74"/>
      <c r="E258" s="74"/>
      <c r="F258" s="74"/>
      <c r="G258" s="74"/>
      <c r="H258" s="74"/>
      <c r="I258" s="74"/>
      <c r="J258" s="74"/>
      <c r="K258" s="74"/>
      <c r="L258" s="90"/>
      <c r="M258" s="90"/>
      <c r="N258" s="90"/>
      <c r="O258" s="90"/>
      <c r="Q258" s="64"/>
      <c r="R258" s="64"/>
      <c r="S258" s="64"/>
      <c r="T258" s="64"/>
      <c r="U258" s="64"/>
      <c r="Y258" s="64"/>
      <c r="Z258" s="64"/>
      <c r="AA258" s="139"/>
      <c r="AB258" s="275"/>
    </row>
    <row r="259" spans="1:28">
      <c r="A259" s="64"/>
      <c r="B259" s="75"/>
      <c r="C259" s="64"/>
      <c r="D259" s="74"/>
      <c r="E259" s="74"/>
      <c r="F259" s="74"/>
      <c r="G259" s="74"/>
      <c r="H259" s="74"/>
      <c r="I259" s="74"/>
      <c r="J259" s="74"/>
      <c r="K259" s="74"/>
      <c r="L259" s="90"/>
      <c r="M259" s="90"/>
      <c r="N259" s="90"/>
      <c r="O259" s="90"/>
      <c r="Q259" s="64"/>
      <c r="R259" s="64"/>
      <c r="S259" s="64"/>
      <c r="T259" s="64"/>
      <c r="U259" s="64"/>
      <c r="Y259" s="64"/>
      <c r="Z259" s="64"/>
      <c r="AA259" s="139"/>
      <c r="AB259" s="275"/>
    </row>
    <row r="260" spans="1:28">
      <c r="A260" s="64"/>
      <c r="B260" s="75"/>
      <c r="C260" s="64"/>
      <c r="D260" s="74"/>
      <c r="E260" s="74"/>
      <c r="F260" s="74"/>
      <c r="G260" s="74"/>
      <c r="H260" s="74"/>
      <c r="I260" s="74"/>
      <c r="J260" s="74"/>
      <c r="K260" s="74"/>
      <c r="L260" s="90"/>
      <c r="M260" s="90"/>
      <c r="N260" s="90"/>
      <c r="O260" s="90"/>
      <c r="Q260" s="64"/>
      <c r="R260" s="64"/>
      <c r="S260" s="64"/>
      <c r="T260" s="64"/>
      <c r="U260" s="64"/>
      <c r="Y260" s="64"/>
      <c r="Z260" s="64"/>
      <c r="AA260" s="139"/>
      <c r="AB260" s="275"/>
    </row>
    <row r="261" spans="1:28">
      <c r="A261" s="64"/>
      <c r="B261" s="75"/>
      <c r="C261" s="64"/>
      <c r="D261" s="74"/>
      <c r="E261" s="74"/>
      <c r="F261" s="74"/>
      <c r="G261" s="74"/>
      <c r="H261" s="74"/>
      <c r="I261" s="74"/>
      <c r="J261" s="74"/>
      <c r="K261" s="74"/>
      <c r="L261" s="90"/>
      <c r="M261" s="90"/>
      <c r="N261" s="90"/>
      <c r="O261" s="90"/>
      <c r="Q261" s="64"/>
      <c r="R261" s="64"/>
      <c r="S261" s="64"/>
      <c r="T261" s="64"/>
      <c r="U261" s="64"/>
      <c r="Y261" s="64"/>
      <c r="Z261" s="64"/>
      <c r="AA261" s="139"/>
      <c r="AB261" s="275"/>
    </row>
    <row r="262" spans="1:28">
      <c r="A262" s="64"/>
      <c r="B262" s="75"/>
      <c r="C262" s="64"/>
      <c r="D262" s="74"/>
      <c r="E262" s="74"/>
      <c r="F262" s="74"/>
      <c r="G262" s="74"/>
      <c r="H262" s="74"/>
      <c r="I262" s="74"/>
      <c r="J262" s="74"/>
      <c r="K262" s="74"/>
      <c r="L262" s="90"/>
      <c r="M262" s="90"/>
      <c r="N262" s="90"/>
      <c r="O262" s="90"/>
      <c r="Q262" s="64"/>
      <c r="R262" s="64"/>
      <c r="S262" s="64"/>
      <c r="T262" s="64"/>
      <c r="U262" s="64"/>
      <c r="Y262" s="64"/>
      <c r="Z262" s="64"/>
      <c r="AA262" s="139"/>
      <c r="AB262" s="275"/>
    </row>
    <row r="263" spans="1:28">
      <c r="A263" s="64"/>
      <c r="B263" s="75"/>
      <c r="C263" s="64"/>
      <c r="D263" s="74"/>
      <c r="E263" s="74"/>
      <c r="F263" s="74"/>
      <c r="G263" s="74"/>
      <c r="H263" s="74"/>
      <c r="I263" s="74"/>
      <c r="J263" s="74"/>
      <c r="K263" s="74"/>
      <c r="L263" s="90"/>
      <c r="M263" s="90"/>
      <c r="N263" s="90"/>
      <c r="O263" s="90"/>
      <c r="Q263" s="64"/>
      <c r="R263" s="64"/>
      <c r="S263" s="64"/>
      <c r="T263" s="64"/>
      <c r="U263" s="64"/>
      <c r="Y263" s="64"/>
      <c r="Z263" s="64"/>
      <c r="AA263" s="139"/>
      <c r="AB263" s="275"/>
    </row>
    <row r="264" spans="1:28">
      <c r="A264" s="64"/>
      <c r="B264" s="75"/>
      <c r="C264" s="64"/>
      <c r="D264" s="74"/>
      <c r="E264" s="74"/>
      <c r="F264" s="74"/>
      <c r="G264" s="74"/>
      <c r="H264" s="74"/>
      <c r="I264" s="74"/>
      <c r="J264" s="74"/>
      <c r="K264" s="74"/>
      <c r="L264" s="90"/>
      <c r="M264" s="90"/>
      <c r="N264" s="90"/>
      <c r="O264" s="90"/>
      <c r="Q264" s="64"/>
      <c r="R264" s="64"/>
      <c r="S264" s="64"/>
      <c r="T264" s="64"/>
      <c r="U264" s="64"/>
      <c r="Y264" s="64"/>
      <c r="Z264" s="64"/>
      <c r="AA264" s="139"/>
      <c r="AB264" s="275"/>
    </row>
    <row r="265" spans="1:28">
      <c r="A265" s="64"/>
      <c r="B265" s="75"/>
      <c r="C265" s="64"/>
      <c r="D265" s="74"/>
      <c r="E265" s="74"/>
      <c r="F265" s="74"/>
      <c r="G265" s="74"/>
      <c r="H265" s="74"/>
      <c r="I265" s="74"/>
      <c r="J265" s="74"/>
      <c r="K265" s="74"/>
      <c r="L265" s="90"/>
      <c r="M265" s="90"/>
      <c r="N265" s="90"/>
      <c r="O265" s="90"/>
      <c r="Q265" s="64"/>
      <c r="R265" s="64"/>
      <c r="S265" s="64"/>
      <c r="T265" s="64"/>
      <c r="U265" s="64"/>
      <c r="Y265" s="64"/>
      <c r="Z265" s="64"/>
      <c r="AA265" s="139"/>
      <c r="AB265" s="275"/>
    </row>
    <row r="266" spans="1:28">
      <c r="A266" s="64"/>
      <c r="B266" s="75"/>
      <c r="C266" s="64"/>
      <c r="D266" s="74"/>
      <c r="E266" s="74"/>
      <c r="F266" s="74"/>
      <c r="G266" s="74"/>
      <c r="H266" s="74"/>
      <c r="I266" s="74"/>
      <c r="J266" s="74"/>
      <c r="K266" s="74"/>
      <c r="L266" s="90"/>
      <c r="M266" s="90"/>
      <c r="N266" s="90"/>
      <c r="O266" s="90"/>
      <c r="Q266" s="64"/>
      <c r="R266" s="64"/>
      <c r="S266" s="64"/>
      <c r="T266" s="64"/>
      <c r="U266" s="64"/>
      <c r="Y266" s="64"/>
      <c r="Z266" s="64"/>
      <c r="AA266" s="139"/>
      <c r="AB266" s="275"/>
    </row>
    <row r="267" spans="1:28">
      <c r="A267" s="64"/>
      <c r="B267" s="75"/>
      <c r="C267" s="64"/>
      <c r="D267" s="74"/>
      <c r="E267" s="74"/>
      <c r="F267" s="74"/>
      <c r="G267" s="74"/>
      <c r="H267" s="74"/>
      <c r="I267" s="74"/>
      <c r="J267" s="74"/>
      <c r="K267" s="74"/>
      <c r="L267" s="90"/>
      <c r="M267" s="90"/>
      <c r="N267" s="90"/>
      <c r="O267" s="90"/>
      <c r="Q267" s="64"/>
      <c r="R267" s="64"/>
      <c r="S267" s="64"/>
      <c r="T267" s="64"/>
      <c r="U267" s="64"/>
      <c r="Y267" s="64"/>
      <c r="Z267" s="64"/>
      <c r="AA267" s="139"/>
      <c r="AB267" s="275"/>
    </row>
    <row r="268" spans="1:28">
      <c r="A268" s="64"/>
      <c r="B268" s="75"/>
      <c r="C268" s="64"/>
      <c r="D268" s="74"/>
      <c r="E268" s="74"/>
      <c r="F268" s="74"/>
      <c r="G268" s="74"/>
      <c r="H268" s="74"/>
      <c r="I268" s="74"/>
      <c r="J268" s="74"/>
      <c r="K268" s="74"/>
      <c r="L268" s="90"/>
      <c r="M268" s="90"/>
      <c r="N268" s="90"/>
      <c r="O268" s="90"/>
      <c r="Q268" s="64"/>
      <c r="R268" s="64"/>
      <c r="S268" s="64"/>
      <c r="T268" s="64"/>
      <c r="U268" s="64"/>
      <c r="Y268" s="64"/>
      <c r="Z268" s="64"/>
      <c r="AA268" s="139"/>
      <c r="AB268" s="275"/>
    </row>
    <row r="269" spans="1:28">
      <c r="A269" s="64"/>
      <c r="B269" s="75"/>
      <c r="C269" s="64"/>
      <c r="D269" s="74"/>
      <c r="E269" s="74"/>
      <c r="F269" s="74"/>
      <c r="G269" s="74"/>
      <c r="H269" s="74"/>
      <c r="I269" s="74"/>
      <c r="J269" s="74"/>
      <c r="K269" s="74"/>
      <c r="L269" s="90"/>
      <c r="M269" s="90"/>
      <c r="N269" s="90"/>
      <c r="O269" s="90"/>
      <c r="Q269" s="64"/>
      <c r="R269" s="64"/>
      <c r="S269" s="64"/>
      <c r="T269" s="64"/>
      <c r="U269" s="64"/>
      <c r="Y269" s="64"/>
      <c r="Z269" s="64"/>
      <c r="AA269" s="139"/>
      <c r="AB269" s="275"/>
    </row>
    <row r="270" spans="1:28">
      <c r="A270" s="64"/>
      <c r="B270" s="75"/>
      <c r="C270" s="64"/>
      <c r="D270" s="74"/>
      <c r="E270" s="74"/>
      <c r="F270" s="74"/>
      <c r="G270" s="74"/>
      <c r="H270" s="74"/>
      <c r="I270" s="74"/>
      <c r="J270" s="74"/>
      <c r="K270" s="74"/>
      <c r="L270" s="90"/>
      <c r="M270" s="90"/>
      <c r="N270" s="90"/>
      <c r="O270" s="90"/>
      <c r="Q270" s="64"/>
      <c r="R270" s="64"/>
      <c r="S270" s="64"/>
      <c r="T270" s="64"/>
      <c r="U270" s="64"/>
      <c r="Y270" s="64"/>
      <c r="Z270" s="64"/>
      <c r="AA270" s="139"/>
      <c r="AB270" s="275"/>
    </row>
    <row r="271" spans="1:28">
      <c r="A271" s="64"/>
      <c r="B271" s="75"/>
      <c r="C271" s="64"/>
      <c r="D271" s="74"/>
      <c r="E271" s="74"/>
      <c r="F271" s="74"/>
      <c r="G271" s="74"/>
      <c r="H271" s="74"/>
      <c r="I271" s="74"/>
      <c r="J271" s="74"/>
      <c r="K271" s="74"/>
      <c r="L271" s="90"/>
      <c r="M271" s="90"/>
      <c r="N271" s="90"/>
      <c r="O271" s="90"/>
      <c r="Q271" s="64"/>
      <c r="R271" s="64"/>
      <c r="S271" s="64"/>
      <c r="T271" s="64"/>
      <c r="U271" s="64"/>
      <c r="Y271" s="64"/>
      <c r="Z271" s="64"/>
      <c r="AA271" s="139"/>
      <c r="AB271" s="275"/>
    </row>
    <row r="272" spans="1:28">
      <c r="A272" s="64"/>
      <c r="B272" s="75"/>
      <c r="C272" s="64"/>
      <c r="D272" s="74"/>
      <c r="E272" s="74"/>
      <c r="F272" s="74"/>
      <c r="G272" s="74"/>
      <c r="H272" s="74"/>
      <c r="I272" s="74"/>
      <c r="J272" s="74"/>
      <c r="K272" s="74"/>
      <c r="L272" s="90"/>
      <c r="M272" s="90"/>
      <c r="N272" s="90"/>
      <c r="O272" s="90"/>
      <c r="Q272" s="64"/>
      <c r="R272" s="64"/>
      <c r="S272" s="64"/>
      <c r="T272" s="64"/>
      <c r="U272" s="64"/>
      <c r="Y272" s="64"/>
      <c r="Z272" s="64"/>
      <c r="AA272" s="139"/>
      <c r="AB272" s="275"/>
    </row>
    <row r="273" spans="1:28">
      <c r="A273" s="64"/>
      <c r="B273" s="75"/>
      <c r="C273" s="64"/>
      <c r="D273" s="74"/>
      <c r="E273" s="74"/>
      <c r="F273" s="74"/>
      <c r="G273" s="74"/>
      <c r="H273" s="74"/>
      <c r="I273" s="74"/>
      <c r="J273" s="74"/>
      <c r="K273" s="74"/>
      <c r="L273" s="90"/>
      <c r="M273" s="90"/>
      <c r="N273" s="90"/>
      <c r="O273" s="90"/>
      <c r="Q273" s="64"/>
      <c r="R273" s="64"/>
      <c r="S273" s="64"/>
      <c r="T273" s="64"/>
      <c r="U273" s="64"/>
      <c r="Y273" s="64"/>
      <c r="Z273" s="64"/>
      <c r="AA273" s="139"/>
      <c r="AB273" s="275"/>
    </row>
    <row r="274" spans="1:28">
      <c r="A274" s="64"/>
      <c r="B274" s="75"/>
      <c r="C274" s="64"/>
      <c r="D274" s="74"/>
      <c r="E274" s="74"/>
      <c r="F274" s="74"/>
      <c r="G274" s="74"/>
      <c r="H274" s="74"/>
      <c r="I274" s="74"/>
      <c r="J274" s="74"/>
      <c r="K274" s="74"/>
      <c r="L274" s="90"/>
      <c r="M274" s="90"/>
      <c r="N274" s="90"/>
      <c r="O274" s="90"/>
      <c r="Q274" s="64"/>
      <c r="R274" s="64"/>
      <c r="S274" s="64"/>
      <c r="T274" s="64"/>
      <c r="U274" s="64"/>
      <c r="Y274" s="64"/>
      <c r="Z274" s="64"/>
      <c r="AA274" s="139"/>
      <c r="AB274" s="275"/>
    </row>
    <row r="275" spans="1:28">
      <c r="A275" s="64"/>
      <c r="B275" s="75"/>
      <c r="C275" s="64"/>
      <c r="D275" s="74"/>
      <c r="E275" s="74"/>
      <c r="F275" s="74"/>
      <c r="G275" s="74"/>
      <c r="H275" s="74"/>
      <c r="I275" s="74"/>
      <c r="J275" s="74"/>
      <c r="K275" s="74"/>
      <c r="L275" s="90"/>
      <c r="M275" s="90"/>
      <c r="N275" s="90"/>
      <c r="O275" s="90"/>
      <c r="Q275" s="64"/>
      <c r="R275" s="64"/>
      <c r="S275" s="64"/>
      <c r="T275" s="64"/>
      <c r="U275" s="64"/>
      <c r="Y275" s="64"/>
      <c r="Z275" s="64"/>
      <c r="AA275" s="139"/>
      <c r="AB275" s="275"/>
    </row>
    <row r="276" spans="1:28">
      <c r="A276" s="64"/>
      <c r="B276" s="75"/>
      <c r="C276" s="64"/>
      <c r="D276" s="74"/>
      <c r="E276" s="74"/>
      <c r="F276" s="74"/>
      <c r="G276" s="74"/>
      <c r="H276" s="74"/>
      <c r="I276" s="74"/>
      <c r="J276" s="74"/>
      <c r="K276" s="74"/>
      <c r="L276" s="90"/>
      <c r="M276" s="90"/>
      <c r="N276" s="90"/>
      <c r="O276" s="90"/>
      <c r="Q276" s="64"/>
      <c r="R276" s="64"/>
      <c r="S276" s="64"/>
      <c r="T276" s="64"/>
      <c r="U276" s="64"/>
      <c r="Y276" s="64"/>
      <c r="Z276" s="64"/>
      <c r="AA276" s="139"/>
      <c r="AB276" s="275"/>
    </row>
    <row r="277" spans="1:28">
      <c r="A277" s="64"/>
      <c r="B277" s="75"/>
      <c r="C277" s="64"/>
      <c r="D277" s="74"/>
      <c r="E277" s="74"/>
      <c r="F277" s="74"/>
      <c r="G277" s="74"/>
      <c r="H277" s="74"/>
      <c r="I277" s="74"/>
      <c r="J277" s="74"/>
      <c r="K277" s="74"/>
      <c r="L277" s="90"/>
      <c r="M277" s="90"/>
      <c r="N277" s="90"/>
      <c r="O277" s="90"/>
      <c r="Q277" s="64"/>
      <c r="R277" s="64"/>
      <c r="S277" s="64"/>
      <c r="T277" s="64"/>
      <c r="U277" s="64"/>
      <c r="Y277" s="64"/>
      <c r="Z277" s="64"/>
      <c r="AA277" s="139"/>
      <c r="AB277" s="275"/>
    </row>
    <row r="278" spans="1:28">
      <c r="A278" s="64"/>
      <c r="B278" s="75"/>
      <c r="C278" s="64"/>
      <c r="D278" s="74"/>
      <c r="E278" s="74"/>
      <c r="F278" s="74"/>
      <c r="G278" s="74"/>
      <c r="H278" s="74"/>
      <c r="I278" s="74"/>
      <c r="J278" s="74"/>
      <c r="K278" s="74"/>
      <c r="L278" s="90"/>
      <c r="M278" s="90"/>
      <c r="N278" s="90"/>
      <c r="O278" s="90"/>
      <c r="Q278" s="64"/>
      <c r="R278" s="64"/>
      <c r="S278" s="64"/>
      <c r="T278" s="64"/>
      <c r="U278" s="64"/>
      <c r="Y278" s="64"/>
      <c r="Z278" s="64"/>
      <c r="AA278" s="139"/>
      <c r="AB278" s="275"/>
    </row>
    <row r="279" spans="1:28">
      <c r="A279" s="64"/>
      <c r="B279" s="75"/>
      <c r="C279" s="64"/>
      <c r="D279" s="74"/>
      <c r="E279" s="74"/>
      <c r="F279" s="74"/>
      <c r="G279" s="74"/>
      <c r="H279" s="74"/>
      <c r="I279" s="74"/>
      <c r="J279" s="74"/>
      <c r="K279" s="74"/>
      <c r="L279" s="90"/>
      <c r="M279" s="90"/>
      <c r="N279" s="90"/>
      <c r="O279" s="90"/>
      <c r="Q279" s="64"/>
      <c r="R279" s="64"/>
      <c r="S279" s="64"/>
      <c r="T279" s="64"/>
      <c r="U279" s="64"/>
      <c r="Y279" s="64"/>
      <c r="Z279" s="64"/>
      <c r="AA279" s="139"/>
      <c r="AB279" s="275"/>
    </row>
    <row r="280" spans="1:28">
      <c r="A280" s="64"/>
      <c r="B280" s="75"/>
      <c r="C280" s="64"/>
      <c r="D280" s="74"/>
      <c r="E280" s="74"/>
      <c r="F280" s="74"/>
      <c r="G280" s="74"/>
      <c r="H280" s="74"/>
      <c r="I280" s="74"/>
      <c r="J280" s="74"/>
      <c r="K280" s="74"/>
      <c r="L280" s="90"/>
      <c r="M280" s="90"/>
      <c r="N280" s="90"/>
      <c r="O280" s="90"/>
      <c r="Q280" s="64"/>
      <c r="R280" s="64"/>
      <c r="S280" s="64"/>
      <c r="T280" s="64"/>
      <c r="U280" s="64"/>
      <c r="Y280" s="64"/>
      <c r="Z280" s="64"/>
      <c r="AA280" s="139"/>
      <c r="AB280" s="275"/>
    </row>
    <row r="281" spans="1:28">
      <c r="A281" s="64"/>
      <c r="B281" s="75"/>
      <c r="C281" s="64"/>
      <c r="D281" s="74"/>
      <c r="E281" s="74"/>
      <c r="F281" s="74"/>
      <c r="G281" s="74"/>
      <c r="H281" s="74"/>
      <c r="I281" s="74"/>
      <c r="J281" s="74"/>
      <c r="K281" s="74"/>
      <c r="L281" s="90"/>
      <c r="M281" s="90"/>
      <c r="N281" s="90"/>
      <c r="O281" s="90"/>
      <c r="Q281" s="64"/>
      <c r="R281" s="64"/>
      <c r="S281" s="64"/>
      <c r="T281" s="64"/>
      <c r="U281" s="64"/>
      <c r="Y281" s="64"/>
      <c r="Z281" s="64"/>
      <c r="AA281" s="139"/>
      <c r="AB281" s="275"/>
    </row>
    <row r="282" spans="1:28">
      <c r="A282" s="64"/>
      <c r="B282" s="75"/>
      <c r="C282" s="64"/>
      <c r="D282" s="74"/>
      <c r="E282" s="74"/>
      <c r="F282" s="74"/>
      <c r="G282" s="74"/>
      <c r="H282" s="74"/>
      <c r="I282" s="74"/>
      <c r="J282" s="74"/>
      <c r="K282" s="74"/>
      <c r="L282" s="90"/>
      <c r="M282" s="90"/>
      <c r="N282" s="90"/>
      <c r="O282" s="90"/>
      <c r="Q282" s="64"/>
      <c r="R282" s="64"/>
      <c r="S282" s="64"/>
      <c r="T282" s="64"/>
      <c r="U282" s="64"/>
      <c r="Y282" s="64"/>
      <c r="Z282" s="64"/>
      <c r="AA282" s="139"/>
      <c r="AB282" s="275"/>
    </row>
    <row r="283" spans="1:28">
      <c r="A283" s="64"/>
      <c r="B283" s="75"/>
      <c r="C283" s="64"/>
      <c r="D283" s="74"/>
      <c r="E283" s="74"/>
      <c r="F283" s="74"/>
      <c r="G283" s="74"/>
      <c r="H283" s="74"/>
      <c r="I283" s="74"/>
      <c r="J283" s="74"/>
      <c r="K283" s="74"/>
      <c r="L283" s="90"/>
      <c r="M283" s="90"/>
      <c r="N283" s="90"/>
      <c r="O283" s="90"/>
      <c r="Q283" s="64"/>
      <c r="R283" s="64"/>
      <c r="S283" s="64"/>
      <c r="T283" s="64"/>
      <c r="U283" s="64"/>
      <c r="Y283" s="64"/>
      <c r="Z283" s="64"/>
      <c r="AA283" s="139"/>
      <c r="AB283" s="275"/>
    </row>
    <row r="284" spans="1:28">
      <c r="A284" s="64"/>
      <c r="B284" s="75"/>
      <c r="C284" s="64"/>
      <c r="D284" s="74"/>
      <c r="E284" s="74"/>
      <c r="F284" s="74"/>
      <c r="G284" s="74"/>
      <c r="H284" s="74"/>
      <c r="I284" s="74"/>
      <c r="J284" s="74"/>
      <c r="K284" s="74"/>
      <c r="L284" s="90"/>
      <c r="M284" s="90"/>
      <c r="N284" s="90"/>
      <c r="O284" s="90"/>
      <c r="Q284" s="64"/>
      <c r="R284" s="64"/>
      <c r="S284" s="64"/>
      <c r="T284" s="64"/>
      <c r="U284" s="64"/>
      <c r="Y284" s="64"/>
      <c r="Z284" s="64"/>
      <c r="AA284" s="139"/>
      <c r="AB284" s="275"/>
    </row>
    <row r="285" spans="1:28">
      <c r="A285" s="64"/>
      <c r="B285" s="75"/>
      <c r="C285" s="64"/>
      <c r="D285" s="74"/>
      <c r="E285" s="74"/>
      <c r="F285" s="74"/>
      <c r="G285" s="74"/>
      <c r="H285" s="74"/>
      <c r="I285" s="74"/>
      <c r="J285" s="74"/>
      <c r="K285" s="74"/>
      <c r="L285" s="90"/>
      <c r="M285" s="90"/>
      <c r="N285" s="90"/>
      <c r="O285" s="90"/>
      <c r="Q285" s="64"/>
      <c r="R285" s="64"/>
      <c r="S285" s="64"/>
      <c r="T285" s="64"/>
      <c r="U285" s="64"/>
      <c r="Y285" s="64"/>
      <c r="Z285" s="64"/>
      <c r="AA285" s="139"/>
      <c r="AB285" s="275"/>
    </row>
    <row r="286" spans="1:28">
      <c r="A286" s="64"/>
      <c r="B286" s="75"/>
      <c r="C286" s="64"/>
      <c r="D286" s="64"/>
      <c r="E286" s="64"/>
      <c r="F286" s="64"/>
      <c r="G286" s="64"/>
      <c r="H286" s="64"/>
      <c r="I286" s="64"/>
      <c r="J286" s="64"/>
      <c r="K286" s="64"/>
      <c r="Q286" s="64"/>
      <c r="R286" s="64"/>
      <c r="S286" s="64"/>
      <c r="T286" s="64"/>
      <c r="U286" s="64"/>
      <c r="Y286" s="64"/>
      <c r="Z286" s="64"/>
      <c r="AA286" s="139"/>
      <c r="AB286" s="275"/>
    </row>
    <row r="287" spans="1:28">
      <c r="A287" s="64"/>
      <c r="B287" s="75"/>
      <c r="C287" s="64"/>
      <c r="D287" s="64"/>
      <c r="E287" s="64"/>
      <c r="F287" s="64"/>
      <c r="G287" s="64"/>
      <c r="H287" s="64"/>
      <c r="I287" s="64"/>
      <c r="J287" s="64"/>
      <c r="K287" s="64"/>
      <c r="Q287" s="64"/>
      <c r="R287" s="64"/>
      <c r="S287" s="64"/>
      <c r="T287" s="64"/>
      <c r="U287" s="64"/>
      <c r="Y287" s="64"/>
      <c r="Z287" s="64"/>
      <c r="AA287" s="139"/>
      <c r="AB287" s="275"/>
    </row>
    <row r="288" spans="1:28">
      <c r="A288" s="64"/>
      <c r="B288" s="75"/>
      <c r="C288" s="64"/>
      <c r="D288" s="64"/>
      <c r="E288" s="64"/>
      <c r="F288" s="64"/>
      <c r="G288" s="64"/>
      <c r="H288" s="64"/>
      <c r="I288" s="64"/>
      <c r="J288" s="64"/>
      <c r="K288" s="64"/>
      <c r="Q288" s="64"/>
      <c r="R288" s="64"/>
      <c r="S288" s="64"/>
      <c r="T288" s="64"/>
      <c r="U288" s="64"/>
      <c r="Y288" s="64"/>
      <c r="Z288" s="64"/>
      <c r="AA288" s="139"/>
      <c r="AB288" s="275"/>
    </row>
    <row r="289" spans="1:28">
      <c r="A289" s="64"/>
      <c r="B289" s="75"/>
      <c r="C289" s="64"/>
      <c r="D289" s="64"/>
      <c r="E289" s="64"/>
      <c r="F289" s="64"/>
      <c r="G289" s="64"/>
      <c r="H289" s="64"/>
      <c r="I289" s="64"/>
      <c r="J289" s="64"/>
      <c r="K289" s="64"/>
      <c r="Q289" s="64"/>
      <c r="R289" s="64"/>
      <c r="S289" s="64"/>
      <c r="T289" s="64"/>
      <c r="U289" s="64"/>
      <c r="Y289" s="64"/>
      <c r="Z289" s="64"/>
      <c r="AA289" s="139"/>
      <c r="AB289" s="275"/>
    </row>
    <row r="290" spans="1:28">
      <c r="A290" s="64"/>
      <c r="B290" s="75"/>
      <c r="C290" s="64"/>
      <c r="D290" s="64"/>
      <c r="E290" s="64"/>
      <c r="F290" s="64"/>
      <c r="G290" s="64"/>
      <c r="H290" s="64"/>
      <c r="I290" s="64"/>
      <c r="J290" s="64"/>
      <c r="K290" s="64"/>
      <c r="Q290" s="64"/>
      <c r="R290" s="64"/>
      <c r="S290" s="64"/>
      <c r="T290" s="64"/>
      <c r="U290" s="64"/>
      <c r="Y290" s="64"/>
      <c r="Z290" s="64"/>
      <c r="AA290" s="139"/>
      <c r="AB290" s="275"/>
    </row>
    <row r="291" spans="1:28">
      <c r="A291" s="64"/>
      <c r="B291" s="75"/>
      <c r="C291" s="64"/>
      <c r="D291" s="64"/>
      <c r="E291" s="64"/>
      <c r="F291" s="64"/>
      <c r="G291" s="64"/>
      <c r="H291" s="64"/>
      <c r="I291" s="64"/>
      <c r="J291" s="64"/>
      <c r="K291" s="64"/>
      <c r="Q291" s="64"/>
      <c r="R291" s="64"/>
      <c r="S291" s="64"/>
      <c r="T291" s="64"/>
      <c r="U291" s="64"/>
      <c r="Y291" s="64"/>
      <c r="Z291" s="64"/>
      <c r="AA291" s="139"/>
      <c r="AB291" s="275"/>
    </row>
    <row r="292" spans="1:28">
      <c r="A292" s="64"/>
      <c r="B292" s="75"/>
      <c r="C292" s="64"/>
      <c r="D292" s="64"/>
      <c r="E292" s="64"/>
      <c r="F292" s="64"/>
      <c r="G292" s="64"/>
      <c r="H292" s="64"/>
      <c r="I292" s="64"/>
      <c r="J292" s="64"/>
      <c r="K292" s="64"/>
      <c r="Q292" s="64"/>
      <c r="R292" s="64"/>
      <c r="S292" s="64"/>
      <c r="T292" s="64"/>
      <c r="U292" s="64"/>
      <c r="Y292" s="64"/>
      <c r="Z292" s="64"/>
      <c r="AA292" s="139"/>
      <c r="AB292" s="275"/>
    </row>
    <row r="293" spans="1:28">
      <c r="A293" s="64"/>
      <c r="B293" s="75"/>
      <c r="C293" s="64"/>
      <c r="D293" s="64"/>
      <c r="E293" s="64"/>
      <c r="F293" s="64"/>
      <c r="G293" s="64"/>
      <c r="H293" s="64"/>
      <c r="I293" s="64"/>
      <c r="J293" s="64"/>
      <c r="K293" s="64"/>
      <c r="Q293" s="64"/>
      <c r="R293" s="64"/>
      <c r="S293" s="64"/>
      <c r="T293" s="64"/>
      <c r="U293" s="64"/>
      <c r="Y293" s="64"/>
      <c r="Z293" s="64"/>
      <c r="AA293" s="139"/>
      <c r="AB293" s="275"/>
    </row>
    <row r="294" spans="1:28">
      <c r="A294" s="64"/>
      <c r="B294" s="75"/>
      <c r="C294" s="64"/>
      <c r="D294" s="64"/>
      <c r="E294" s="64"/>
      <c r="F294" s="64"/>
      <c r="G294" s="64"/>
      <c r="H294" s="64"/>
      <c r="I294" s="64"/>
      <c r="J294" s="64"/>
      <c r="K294" s="64"/>
      <c r="Q294" s="64"/>
      <c r="R294" s="64"/>
      <c r="S294" s="64"/>
      <c r="T294" s="64"/>
      <c r="U294" s="64"/>
      <c r="Y294" s="64"/>
      <c r="Z294" s="64"/>
      <c r="AA294" s="139"/>
      <c r="AB294" s="275"/>
    </row>
    <row r="295" spans="1:28">
      <c r="A295" s="64"/>
      <c r="B295" s="75"/>
      <c r="C295" s="64"/>
      <c r="D295" s="64"/>
      <c r="E295" s="64"/>
      <c r="F295" s="64"/>
      <c r="G295" s="64"/>
      <c r="H295" s="64"/>
      <c r="I295" s="64"/>
      <c r="J295" s="64"/>
      <c r="K295" s="64"/>
      <c r="Q295" s="64"/>
      <c r="R295" s="64"/>
      <c r="S295" s="64"/>
      <c r="T295" s="64"/>
      <c r="U295" s="64"/>
      <c r="Y295" s="64"/>
      <c r="Z295" s="64"/>
      <c r="AA295" s="139"/>
      <c r="AB295" s="275"/>
    </row>
  </sheetData>
  <autoFilter ref="A2:AA73"/>
  <conditionalFormatting sqref="Z57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{34493806-2FFC-4FA6-B2AE-A235C95167F2}</x14:id>
        </ext>
      </extLst>
    </cfRule>
  </conditionalFormatting>
  <conditionalFormatting sqref="Z55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{E0222DC8-D3C1-4213-865B-CE6D2D240E58}</x14:id>
        </ext>
      </extLst>
    </cfRule>
  </conditionalFormatting>
  <conditionalFormatting sqref="Z54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{471C4C08-6E99-4FAE-B67B-5046D01DE9BF}</x14:id>
        </ext>
      </extLst>
    </cfRule>
  </conditionalFormatting>
  <conditionalFormatting sqref="Z4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{75C86BE6-1844-44A5-BAD2-332BD7763BA2}</x14:id>
        </ext>
      </extLst>
    </cfRule>
  </conditionalFormatting>
  <conditionalFormatting sqref="Z33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{79DA3482-920A-4069-943B-2E4553FB51B5}</x14:id>
        </ext>
      </extLst>
    </cfRule>
  </conditionalFormatting>
  <conditionalFormatting sqref="Z1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{EC47671D-2656-4AD9-9495-2929E77CE3EB}</x14:id>
        </ext>
      </extLst>
    </cfRule>
  </conditionalFormatting>
  <conditionalFormatting sqref="Z58:Z74 Z3:Z15 Z56 Z47:Z53 Z17:Z23 Z25:Z32 Z34:Z45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{D65A3B68-CCB6-4A9A-98A0-D18BCEFD0C4B}</x14:id>
        </ext>
      </extLst>
    </cfRule>
  </conditionalFormatting>
  <conditionalFormatting sqref="V3:V23 V25:V74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24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{F1C1641A-AB33-4924-85E0-B8BE0057AF92}</x14:id>
        </ext>
      </extLst>
    </cfRule>
  </conditionalFormatting>
  <conditionalFormatting sqref="V24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ignoredErrors>
    <ignoredError sqref="L17 L54 L31 O58:O59 O54 R2 L67 O67 L44:P44 L21:P21 O56 R7:R10 L47 L37 O37 O47 O25 L25" formula="1"/>
    <ignoredError sqref="E76:E79 K76:K78 T5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4493806-2FFC-4FA6-B2AE-A235C95167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Z57</xm:sqref>
        </x14:conditionalFormatting>
        <x14:conditionalFormatting xmlns:xm="http://schemas.microsoft.com/office/excel/2006/main">
          <x14:cfRule type="dataBar" id="{E0222DC8-D3C1-4213-865B-CE6D2D240E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Z55</xm:sqref>
        </x14:conditionalFormatting>
        <x14:conditionalFormatting xmlns:xm="http://schemas.microsoft.com/office/excel/2006/main">
          <x14:cfRule type="dataBar" id="{471C4C08-6E99-4FAE-B67B-5046D01DE9B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Z54</xm:sqref>
        </x14:conditionalFormatting>
        <x14:conditionalFormatting xmlns:xm="http://schemas.microsoft.com/office/excel/2006/main">
          <x14:cfRule type="dataBar" id="{75C86BE6-1844-44A5-BAD2-332BD7763BA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Z46</xm:sqref>
        </x14:conditionalFormatting>
        <x14:conditionalFormatting xmlns:xm="http://schemas.microsoft.com/office/excel/2006/main">
          <x14:cfRule type="dataBar" id="{79DA3482-920A-4069-943B-2E4553FB51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Z33</xm:sqref>
        </x14:conditionalFormatting>
        <x14:conditionalFormatting xmlns:xm="http://schemas.microsoft.com/office/excel/2006/main">
          <x14:cfRule type="dataBar" id="{EC47671D-2656-4AD9-9495-2929E77CE3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Z16</xm:sqref>
        </x14:conditionalFormatting>
        <x14:conditionalFormatting xmlns:xm="http://schemas.microsoft.com/office/excel/2006/main">
          <x14:cfRule type="dataBar" id="{D65A3B68-CCB6-4A9A-98A0-D18BCEFD0C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Z58:Z74 Z3:Z15 Z56 Z47:Z53 Z17:Z23 Z25:Z32 Z34:Z45</xm:sqref>
        </x14:conditionalFormatting>
        <x14:conditionalFormatting xmlns:xm="http://schemas.microsoft.com/office/excel/2006/main">
          <x14:cfRule type="dataBar" id="{F1C1641A-AB33-4924-85E0-B8BE0057AF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GK39"/>
  <sheetViews>
    <sheetView topLeftCell="C1" zoomScaleNormal="100" workbookViewId="0">
      <selection activeCell="H64" sqref="H64"/>
    </sheetView>
  </sheetViews>
  <sheetFormatPr defaultColWidth="5" defaultRowHeight="15"/>
  <cols>
    <col min="1" max="1" width="12.5703125" style="183" hidden="1" customWidth="1"/>
    <col min="2" max="2" width="12.85546875" style="183" hidden="1" customWidth="1"/>
    <col min="3" max="3" width="1.7109375" style="183" customWidth="1"/>
    <col min="4" max="4" width="9.5703125" style="104" customWidth="1"/>
    <col min="5" max="5" width="6.5703125" style="104" customWidth="1"/>
    <col min="6" max="6" width="6.85546875" style="104" customWidth="1"/>
    <col min="7" max="7" width="7.28515625" style="104" customWidth="1"/>
    <col min="8" max="8" width="8.140625" style="104" customWidth="1"/>
    <col min="9" max="10" width="10.7109375" style="196" customWidth="1"/>
    <col min="11" max="11" width="5.7109375" style="196" customWidth="1"/>
    <col min="12" max="12" width="5.85546875" style="196" customWidth="1"/>
    <col min="13" max="13" width="6" style="196" customWidth="1"/>
    <col min="14" max="14" width="5.85546875" style="104" customWidth="1"/>
    <col min="15" max="16" width="5.140625" style="196" hidden="1" customWidth="1"/>
    <col min="17" max="17" width="7.42578125" style="196" hidden="1" customWidth="1"/>
    <col min="18" max="18" width="6.28515625" style="196" hidden="1" customWidth="1"/>
    <col min="19" max="19" width="7.42578125" style="196" hidden="1" customWidth="1"/>
    <col min="20" max="20" width="5.85546875" style="196" hidden="1" customWidth="1"/>
    <col min="21" max="21" width="6.42578125" style="196" hidden="1" customWidth="1"/>
    <col min="22" max="22" width="8.85546875" style="196" hidden="1" customWidth="1"/>
    <col min="23" max="24" width="7.42578125" style="196" hidden="1" customWidth="1"/>
    <col min="25" max="25" width="4.28515625" style="196" hidden="1" customWidth="1"/>
    <col min="26" max="26" width="7.7109375" style="196" hidden="1" customWidth="1"/>
    <col min="27" max="27" width="10.7109375" style="196" customWidth="1"/>
    <col min="28" max="28" width="8.28515625" style="183" customWidth="1"/>
    <col min="29" max="29" width="7.28515625" style="183" customWidth="1"/>
    <col min="30" max="30" width="7.28515625" style="72" customWidth="1"/>
    <col min="31" max="31" width="10.7109375" style="183" customWidth="1"/>
    <col min="32" max="33" width="5.7109375" style="183" customWidth="1"/>
    <col min="34" max="16384" width="5" style="183"/>
  </cols>
  <sheetData>
    <row r="1" spans="1:193" ht="21.75" customHeight="1" thickBot="1">
      <c r="V1" s="197" t="s">
        <v>481</v>
      </c>
      <c r="X1" s="198">
        <f>DATEVALUE(_xll.BDP($B14,"T_PLUS_1_SETTLE_DT"))</f>
        <v>42656</v>
      </c>
      <c r="Y1" s="198">
        <f>DATEVALUE(_xll.BDP($B14,"SETTLE_DT"))</f>
        <v>42657</v>
      </c>
      <c r="AC1" s="187">
        <f ca="1">TODAY()</f>
        <v>42655</v>
      </c>
      <c r="AE1" s="187"/>
      <c r="AF1" s="187">
        <v>42654</v>
      </c>
      <c r="AG1" s="187">
        <v>42653</v>
      </c>
      <c r="AH1" s="187">
        <v>42649</v>
      </c>
      <c r="AI1" s="187">
        <v>42646</v>
      </c>
      <c r="AJ1" s="187">
        <v>42643</v>
      </c>
      <c r="AK1" s="187">
        <v>42641</v>
      </c>
      <c r="AL1" s="187">
        <v>42636</v>
      </c>
      <c r="AM1" s="187">
        <v>42633</v>
      </c>
      <c r="AN1" s="187">
        <v>42629</v>
      </c>
      <c r="AO1" s="187">
        <v>42626</v>
      </c>
      <c r="AP1" s="187">
        <v>42625</v>
      </c>
      <c r="AQ1" s="187">
        <v>42621</v>
      </c>
      <c r="AR1" s="187">
        <v>42620</v>
      </c>
      <c r="AS1" s="187">
        <v>42619</v>
      </c>
      <c r="AT1" s="187">
        <v>42618</v>
      </c>
      <c r="AU1" s="187">
        <f ca="1">TODAY()</f>
        <v>42655</v>
      </c>
      <c r="AV1" s="187">
        <v>42615</v>
      </c>
      <c r="AW1" s="187">
        <v>42613</v>
      </c>
      <c r="AX1" s="187">
        <v>42605</v>
      </c>
      <c r="AY1" s="187">
        <v>42600</v>
      </c>
      <c r="AZ1" s="187">
        <v>42598</v>
      </c>
      <c r="BA1" s="187">
        <v>42580</v>
      </c>
      <c r="BB1" s="187">
        <v>42579</v>
      </c>
      <c r="BC1" s="187">
        <v>42578</v>
      </c>
      <c r="BD1" s="187">
        <v>42577</v>
      </c>
      <c r="BE1" s="187">
        <v>42576</v>
      </c>
      <c r="BF1" s="187">
        <v>42573</v>
      </c>
      <c r="BG1" s="187">
        <v>42571</v>
      </c>
      <c r="BH1" s="187">
        <v>42570</v>
      </c>
      <c r="BI1" s="187">
        <v>42569</v>
      </c>
      <c r="BJ1" s="187">
        <v>42558</v>
      </c>
      <c r="BK1" s="187">
        <v>42557</v>
      </c>
      <c r="BL1" s="187">
        <v>42557</v>
      </c>
      <c r="BM1" s="187">
        <v>42556</v>
      </c>
      <c r="BN1" s="187">
        <v>42555</v>
      </c>
      <c r="BO1" s="187">
        <v>42552</v>
      </c>
      <c r="BP1" s="187">
        <v>42550</v>
      </c>
      <c r="BQ1" s="187">
        <v>42544</v>
      </c>
      <c r="BR1" s="187">
        <v>42542</v>
      </c>
      <c r="BS1" s="187">
        <v>42541</v>
      </c>
      <c r="BT1" s="187">
        <v>42538</v>
      </c>
      <c r="BU1" s="187">
        <v>42538</v>
      </c>
      <c r="BV1" s="187">
        <v>42537</v>
      </c>
      <c r="BW1" s="187">
        <v>42536</v>
      </c>
      <c r="BX1" s="187">
        <v>42531</v>
      </c>
      <c r="BY1" s="187">
        <v>42530</v>
      </c>
      <c r="BZ1" s="187">
        <v>42529</v>
      </c>
      <c r="CA1" s="187">
        <v>42529</v>
      </c>
      <c r="CB1" s="187">
        <v>42520</v>
      </c>
      <c r="CC1" s="187">
        <v>42517</v>
      </c>
      <c r="CD1" s="187">
        <v>42516</v>
      </c>
      <c r="CE1" s="187">
        <v>42515</v>
      </c>
      <c r="CF1" s="187">
        <v>42514</v>
      </c>
      <c r="CG1" s="187">
        <v>42514</v>
      </c>
      <c r="CH1" s="187">
        <v>42513</v>
      </c>
      <c r="CI1" s="187">
        <v>42510</v>
      </c>
      <c r="CJ1" s="187">
        <v>42509</v>
      </c>
      <c r="CK1" s="187">
        <v>42507</v>
      </c>
      <c r="CL1" s="187">
        <v>42502</v>
      </c>
      <c r="CM1" s="187">
        <v>42501</v>
      </c>
      <c r="CN1" s="187">
        <v>42500</v>
      </c>
      <c r="CO1" s="187">
        <v>42499</v>
      </c>
      <c r="CP1" s="187">
        <v>42495</v>
      </c>
      <c r="CQ1" s="187">
        <v>42494</v>
      </c>
      <c r="CR1" s="187">
        <v>42493</v>
      </c>
      <c r="CS1" s="187">
        <v>42493</v>
      </c>
      <c r="CT1" s="187">
        <v>42492</v>
      </c>
      <c r="CU1" s="187">
        <v>42488</v>
      </c>
      <c r="CV1" s="187">
        <v>42488</v>
      </c>
      <c r="CW1" s="187">
        <v>42487</v>
      </c>
      <c r="CX1" s="187">
        <v>42486</v>
      </c>
      <c r="CY1" s="187">
        <v>42485</v>
      </c>
      <c r="CZ1" s="187">
        <v>42482</v>
      </c>
      <c r="DA1" s="187">
        <v>42481</v>
      </c>
      <c r="DB1" s="187">
        <v>42478</v>
      </c>
      <c r="DC1" s="187">
        <v>42475</v>
      </c>
      <c r="DD1" s="187">
        <v>42474</v>
      </c>
      <c r="DE1" s="187">
        <v>42471</v>
      </c>
      <c r="DF1" s="187">
        <v>42468</v>
      </c>
      <c r="DG1" s="187">
        <v>42466</v>
      </c>
      <c r="DH1" s="187">
        <v>42466</v>
      </c>
      <c r="DI1" s="187">
        <v>42465</v>
      </c>
      <c r="DJ1" s="187">
        <v>42465</v>
      </c>
      <c r="DK1" s="187">
        <v>42458</v>
      </c>
      <c r="DL1" s="187">
        <v>42452</v>
      </c>
      <c r="DM1" s="187">
        <v>42447</v>
      </c>
      <c r="DN1" s="187">
        <v>42446</v>
      </c>
      <c r="DO1" s="187">
        <v>42444</v>
      </c>
      <c r="DP1" s="187">
        <v>42443</v>
      </c>
      <c r="DQ1" s="187">
        <v>42440</v>
      </c>
      <c r="DR1" s="187">
        <v>42439</v>
      </c>
      <c r="DS1" s="187">
        <v>42438</v>
      </c>
      <c r="DT1" s="187">
        <v>42431</v>
      </c>
      <c r="DU1" s="187">
        <v>42430</v>
      </c>
      <c r="DV1" s="187">
        <v>42429</v>
      </c>
      <c r="DW1" s="187">
        <v>42424</v>
      </c>
      <c r="DX1" s="187">
        <v>42430</v>
      </c>
      <c r="DY1" s="187">
        <v>42423</v>
      </c>
      <c r="DZ1" s="187">
        <v>42422</v>
      </c>
      <c r="EA1" s="187">
        <v>42416</v>
      </c>
      <c r="EB1" s="187">
        <v>42415</v>
      </c>
      <c r="EC1" s="187">
        <v>42411</v>
      </c>
      <c r="ED1" s="187">
        <v>42410</v>
      </c>
      <c r="EE1" s="187">
        <v>42408</v>
      </c>
      <c r="EF1" s="187">
        <v>42405</v>
      </c>
      <c r="EG1" s="187">
        <v>42404</v>
      </c>
      <c r="EH1" s="187">
        <v>42403</v>
      </c>
      <c r="EI1" s="187">
        <v>42402</v>
      </c>
      <c r="EJ1" s="187">
        <v>42398</v>
      </c>
      <c r="EK1" s="187">
        <v>42397</v>
      </c>
      <c r="EL1" s="187">
        <v>42396</v>
      </c>
      <c r="EM1" s="187">
        <v>42395</v>
      </c>
      <c r="EN1" s="187">
        <v>42390</v>
      </c>
      <c r="EO1" s="187">
        <v>42387</v>
      </c>
      <c r="EP1" s="187">
        <v>42384</v>
      </c>
      <c r="EQ1" s="187">
        <v>42383</v>
      </c>
      <c r="ER1" s="187">
        <v>42382</v>
      </c>
      <c r="ES1" s="187">
        <v>42381</v>
      </c>
      <c r="ET1" s="187">
        <v>42380</v>
      </c>
      <c r="EU1" s="187">
        <v>42374</v>
      </c>
      <c r="EV1" s="187">
        <v>42373</v>
      </c>
      <c r="EW1" s="187">
        <v>42361</v>
      </c>
      <c r="EX1" s="187">
        <v>42359</v>
      </c>
      <c r="EY1" s="187">
        <v>42356</v>
      </c>
      <c r="EZ1" s="187">
        <v>42348</v>
      </c>
      <c r="FA1" s="187">
        <v>42346</v>
      </c>
      <c r="FB1" s="187">
        <v>42341</v>
      </c>
      <c r="FC1" s="187">
        <v>42340</v>
      </c>
      <c r="FD1" s="187">
        <v>42339</v>
      </c>
      <c r="FE1" s="187">
        <v>42338</v>
      </c>
      <c r="FF1" s="187">
        <v>42335</v>
      </c>
      <c r="FG1" s="187">
        <v>42334</v>
      </c>
      <c r="FH1" s="187">
        <v>42333</v>
      </c>
      <c r="FI1" s="187">
        <v>42331</v>
      </c>
      <c r="FJ1" s="187">
        <v>42328</v>
      </c>
      <c r="FK1" s="187">
        <v>42328</v>
      </c>
      <c r="FL1" s="187">
        <v>42327</v>
      </c>
      <c r="FM1" s="187">
        <v>42326</v>
      </c>
      <c r="FN1" s="187">
        <v>42325</v>
      </c>
      <c r="FO1" s="187">
        <v>42321</v>
      </c>
      <c r="FP1" s="187">
        <v>42319</v>
      </c>
      <c r="FQ1" s="187">
        <v>42318</v>
      </c>
      <c r="FR1" s="187">
        <v>42317</v>
      </c>
      <c r="FS1" s="187">
        <v>42314</v>
      </c>
      <c r="FT1" s="187">
        <v>42312</v>
      </c>
      <c r="FU1" s="187">
        <v>42311</v>
      </c>
      <c r="FV1" s="187">
        <v>42310</v>
      </c>
      <c r="FW1" s="187">
        <v>42307</v>
      </c>
      <c r="FX1" s="187">
        <v>42306</v>
      </c>
      <c r="FY1" s="187">
        <v>42306</v>
      </c>
      <c r="FZ1" s="187">
        <v>42305</v>
      </c>
      <c r="GA1" s="187">
        <v>42304</v>
      </c>
      <c r="GB1" s="187">
        <v>42304</v>
      </c>
      <c r="GC1" s="187">
        <v>42298</v>
      </c>
      <c r="GD1" s="187">
        <v>42293</v>
      </c>
      <c r="GE1" s="187">
        <v>42292</v>
      </c>
      <c r="GF1" s="187">
        <v>42291</v>
      </c>
      <c r="GG1" s="187">
        <v>42290</v>
      </c>
      <c r="GH1" s="187">
        <v>42289</v>
      </c>
      <c r="GI1" s="187">
        <v>42286</v>
      </c>
      <c r="GJ1" s="187">
        <v>42284</v>
      </c>
      <c r="GK1" s="187">
        <v>42283</v>
      </c>
    </row>
    <row r="2" spans="1:193" s="184" customFormat="1" ht="21.75" customHeight="1">
      <c r="D2" s="199" t="s">
        <v>43</v>
      </c>
      <c r="E2" s="200" t="s">
        <v>670</v>
      </c>
      <c r="F2" s="200" t="s">
        <v>669</v>
      </c>
      <c r="G2" s="200" t="s">
        <v>668</v>
      </c>
      <c r="H2" s="200" t="s">
        <v>667</v>
      </c>
      <c r="I2" s="201" t="s">
        <v>666</v>
      </c>
      <c r="J2" s="202" t="s">
        <v>647</v>
      </c>
      <c r="K2" s="201"/>
      <c r="L2" s="201" t="s">
        <v>748</v>
      </c>
      <c r="M2" s="201"/>
      <c r="N2" s="203" t="s">
        <v>746</v>
      </c>
      <c r="O2" s="204" t="s">
        <v>745</v>
      </c>
      <c r="P2" s="204"/>
      <c r="Q2" s="204"/>
      <c r="R2" s="204"/>
      <c r="S2" s="204"/>
      <c r="T2" s="204"/>
      <c r="U2" s="205" t="s">
        <v>483</v>
      </c>
      <c r="V2" s="205" t="s">
        <v>490</v>
      </c>
      <c r="W2" s="206" t="s">
        <v>665</v>
      </c>
      <c r="X2" s="206" t="s">
        <v>664</v>
      </c>
      <c r="Y2" s="204" t="s">
        <v>747</v>
      </c>
      <c r="Z2" s="204"/>
      <c r="AA2" s="204"/>
      <c r="AD2" s="237"/>
    </row>
    <row r="3" spans="1:193" s="184" customFormat="1" ht="15.75" customHeight="1" thickBot="1">
      <c r="D3" s="207"/>
      <c r="E3" s="208"/>
      <c r="F3" s="208"/>
      <c r="G3" s="208"/>
      <c r="H3" s="208"/>
      <c r="I3" s="209"/>
      <c r="J3" s="210"/>
      <c r="K3" s="209"/>
      <c r="L3" s="209"/>
      <c r="M3" s="209"/>
      <c r="N3" s="211"/>
      <c r="O3" s="204"/>
      <c r="P3" s="204"/>
      <c r="Q3" s="204"/>
      <c r="R3" s="204"/>
      <c r="S3" s="204"/>
      <c r="T3" s="204"/>
      <c r="U3" s="205"/>
      <c r="V3" s="205"/>
      <c r="W3" s="206"/>
      <c r="X3" s="206"/>
      <c r="Y3" s="204"/>
      <c r="Z3" s="204"/>
      <c r="AA3" s="204"/>
      <c r="AD3" s="237" t="s">
        <v>753</v>
      </c>
      <c r="AE3" s="188">
        <v>42353</v>
      </c>
      <c r="AF3" s="189"/>
      <c r="AG3" s="189"/>
      <c r="AH3" s="189"/>
      <c r="AI3" s="189"/>
      <c r="AJ3" s="189"/>
      <c r="AK3" s="189"/>
      <c r="AL3" s="189"/>
      <c r="AM3" s="189"/>
      <c r="AN3" s="189"/>
      <c r="AO3" s="189"/>
      <c r="AP3" s="189"/>
      <c r="AQ3" s="189"/>
      <c r="AR3" s="189"/>
      <c r="AS3" s="189"/>
      <c r="AT3" s="188"/>
      <c r="AU3" s="188"/>
      <c r="AV3" s="188"/>
      <c r="AW3" s="188"/>
      <c r="AX3" s="188"/>
      <c r="AY3" s="188"/>
      <c r="AZ3" s="189"/>
      <c r="BA3" s="189"/>
      <c r="BB3" s="189"/>
      <c r="BC3" s="189"/>
      <c r="BD3" s="189"/>
      <c r="BE3" s="189"/>
      <c r="BF3" s="189"/>
      <c r="BG3" s="189"/>
      <c r="BH3" s="189"/>
      <c r="BI3" s="189"/>
      <c r="BJ3" s="189"/>
      <c r="BK3" s="189"/>
      <c r="BL3" s="189"/>
      <c r="BM3" s="189"/>
      <c r="BN3" s="189"/>
      <c r="BO3" s="189"/>
      <c r="BP3" s="189"/>
      <c r="BQ3" s="189"/>
      <c r="BR3" s="189"/>
      <c r="BS3" s="189"/>
      <c r="BT3" s="189"/>
      <c r="BU3" s="189"/>
      <c r="BV3" s="189"/>
      <c r="BW3" s="189"/>
      <c r="BX3" s="189"/>
      <c r="BY3" s="189"/>
      <c r="BZ3" s="189"/>
      <c r="CA3" s="189"/>
      <c r="CB3" s="189"/>
      <c r="CC3" s="189"/>
      <c r="CD3" s="189"/>
      <c r="CE3" s="189"/>
      <c r="CF3" s="189"/>
      <c r="CG3" s="189"/>
      <c r="CH3" s="189"/>
      <c r="CI3" s="189"/>
      <c r="CJ3" s="189"/>
      <c r="CK3" s="189"/>
      <c r="CL3" s="189"/>
      <c r="CM3" s="189"/>
      <c r="CN3" s="189"/>
      <c r="CO3" s="189"/>
      <c r="CP3" s="189"/>
      <c r="CQ3" s="189"/>
      <c r="CR3" s="189"/>
      <c r="CS3" s="189"/>
      <c r="CT3" s="189"/>
      <c r="CU3" s="189"/>
      <c r="CV3" s="189"/>
      <c r="CW3" s="189"/>
      <c r="CX3" s="189"/>
      <c r="CY3" s="190"/>
      <c r="CZ3" s="189"/>
      <c r="DA3" s="189"/>
      <c r="DB3" s="189"/>
      <c r="DC3" s="189"/>
      <c r="DD3" s="189"/>
      <c r="DE3" s="189"/>
      <c r="DF3" s="189"/>
      <c r="DG3" s="189"/>
      <c r="DH3" s="189"/>
      <c r="DI3" s="189"/>
      <c r="DJ3" s="189"/>
      <c r="DK3" s="189"/>
      <c r="DL3" s="189"/>
      <c r="DM3" s="189"/>
      <c r="DN3" s="189"/>
      <c r="DO3" s="189"/>
      <c r="DP3" s="189"/>
      <c r="DQ3" s="189"/>
      <c r="DR3" s="189"/>
      <c r="DS3" s="189"/>
      <c r="DT3" s="189"/>
      <c r="DU3" s="189"/>
      <c r="DV3" s="189"/>
      <c r="DW3" s="189"/>
      <c r="DX3" s="189"/>
      <c r="DY3" s="189"/>
      <c r="DZ3" s="189"/>
      <c r="EA3" s="191"/>
      <c r="EB3" s="191"/>
      <c r="EC3" s="191"/>
      <c r="ED3" s="191"/>
      <c r="EE3" s="191"/>
      <c r="EF3" s="191"/>
      <c r="EG3" s="191"/>
      <c r="EH3" s="191"/>
      <c r="EI3" s="191"/>
      <c r="EJ3" s="191"/>
      <c r="EK3" s="191"/>
      <c r="EL3" s="191"/>
      <c r="EM3" s="191"/>
      <c r="EN3" s="191"/>
      <c r="EO3" s="191"/>
      <c r="EP3" s="191"/>
      <c r="EQ3" s="191"/>
      <c r="ER3" s="191"/>
      <c r="ES3" s="191"/>
      <c r="ET3" s="191"/>
      <c r="EU3" s="191"/>
      <c r="EV3" s="191"/>
      <c r="EW3" s="191"/>
      <c r="EX3" s="191"/>
      <c r="EY3" s="191"/>
      <c r="EZ3" s="191"/>
      <c r="FA3" s="191"/>
      <c r="FB3" s="191">
        <v>2.9835173834080919</v>
      </c>
      <c r="FC3" s="191">
        <v>-14.476705257393677</v>
      </c>
      <c r="FD3" s="191">
        <v>-25.049308315626032</v>
      </c>
      <c r="FE3" s="191">
        <v>-25.865938114747728</v>
      </c>
      <c r="FF3" s="191">
        <v>-14.564234507780109</v>
      </c>
      <c r="FG3" s="191">
        <v>-33.525989284121941</v>
      </c>
      <c r="FH3" s="191">
        <v>22.504899927936936</v>
      </c>
      <c r="FI3" s="191">
        <v>6.8437419585824779</v>
      </c>
      <c r="FJ3" s="191">
        <v>-10.208023981250385</v>
      </c>
      <c r="FK3" s="191">
        <v>4.9351713697464543</v>
      </c>
      <c r="FL3" s="191">
        <v>-5.201342761995658</v>
      </c>
      <c r="FM3" s="191">
        <v>-0.13219213252918571</v>
      </c>
      <c r="FN3" s="191">
        <v>-0.47902837422512157</v>
      </c>
      <c r="FO3" s="192">
        <v>-1.5582443533964838</v>
      </c>
      <c r="FP3" s="192">
        <v>-1.927797192815822</v>
      </c>
      <c r="FQ3" s="192">
        <v>3.4687956314485522</v>
      </c>
      <c r="FR3" s="192">
        <v>7.6463866515532457</v>
      </c>
      <c r="FS3" s="192">
        <v>4.8560605126402709</v>
      </c>
      <c r="FT3" s="192">
        <v>2.1105488983593865</v>
      </c>
      <c r="FU3" s="192">
        <v>7.2240553567328973</v>
      </c>
      <c r="FV3" s="191">
        <v>8.3056627655695241</v>
      </c>
      <c r="FW3" s="191">
        <v>5.0626229775899461</v>
      </c>
      <c r="FX3" s="191">
        <v>-0.19377713463433466</v>
      </c>
      <c r="FY3" s="191">
        <v>-0.21682381465769218</v>
      </c>
      <c r="FZ3" s="191">
        <v>-3.9313023162131411</v>
      </c>
      <c r="GA3" s="191">
        <v>-1.3773611576957157</v>
      </c>
      <c r="GB3" s="191">
        <v>-2.1021909361658593</v>
      </c>
      <c r="GC3" s="191">
        <v>6.4033104595380586</v>
      </c>
      <c r="GD3" s="191">
        <v>4.4680617463144845</v>
      </c>
      <c r="GE3" s="191">
        <v>0.18512721710351787</v>
      </c>
      <c r="GF3" s="191">
        <v>3.6680570327748048</v>
      </c>
      <c r="GG3" s="191">
        <v>1.6788724271903082</v>
      </c>
      <c r="GH3" s="191">
        <v>0.52713859519145778</v>
      </c>
      <c r="GI3" s="191">
        <v>2.3498916531097254</v>
      </c>
      <c r="GJ3" s="191">
        <v>4.7353635989163472</v>
      </c>
      <c r="GK3" s="191">
        <v>1.7248298225810812</v>
      </c>
    </row>
    <row r="4" spans="1:193" s="184" customFormat="1" ht="15.75" customHeight="1">
      <c r="D4" s="212"/>
      <c r="E4" s="213"/>
      <c r="F4" s="213"/>
      <c r="G4" s="213"/>
      <c r="H4" s="213"/>
      <c r="I4" s="204"/>
      <c r="J4" s="214"/>
      <c r="K4" s="204"/>
      <c r="L4" s="204"/>
      <c r="M4" s="204"/>
      <c r="N4" s="215"/>
      <c r="O4" s="204"/>
      <c r="P4" s="204"/>
      <c r="Q4" s="204"/>
      <c r="R4" s="204"/>
      <c r="S4" s="204"/>
      <c r="T4" s="204"/>
      <c r="U4" s="205"/>
      <c r="V4" s="205"/>
      <c r="W4" s="206"/>
      <c r="X4" s="206"/>
      <c r="Y4" s="204"/>
      <c r="Z4" s="204"/>
      <c r="AA4" s="204"/>
      <c r="AD4" s="237"/>
      <c r="AE4" s="188">
        <v>42552</v>
      </c>
      <c r="AF4" s="189"/>
      <c r="AG4" s="189"/>
      <c r="AH4" s="189"/>
      <c r="AI4" s="189"/>
      <c r="AJ4" s="189"/>
      <c r="AK4" s="189"/>
      <c r="AL4" s="189"/>
      <c r="AM4" s="189"/>
      <c r="AN4" s="189"/>
      <c r="AO4" s="189"/>
      <c r="AP4" s="189"/>
      <c r="AQ4" s="189"/>
      <c r="AR4" s="189"/>
      <c r="AS4" s="189"/>
      <c r="AT4" s="188"/>
      <c r="AU4" s="188"/>
      <c r="AV4" s="188"/>
      <c r="AW4" s="188"/>
      <c r="AX4" s="188"/>
      <c r="AY4" s="188"/>
      <c r="AZ4" s="189"/>
      <c r="BA4" s="189"/>
      <c r="BB4" s="189"/>
      <c r="BC4" s="189"/>
      <c r="BD4" s="189"/>
      <c r="BE4" s="189"/>
      <c r="BF4" s="189"/>
      <c r="BG4" s="189"/>
      <c r="BH4" s="189"/>
      <c r="BI4" s="189"/>
      <c r="BJ4" s="189"/>
      <c r="BK4" s="189"/>
      <c r="BL4" s="189"/>
      <c r="BM4" s="189"/>
      <c r="BN4" s="189"/>
      <c r="BO4" s="189"/>
      <c r="BP4" s="189"/>
      <c r="BQ4" s="189"/>
      <c r="BR4" s="189"/>
      <c r="BS4" s="189"/>
      <c r="BT4" s="189"/>
      <c r="BU4" s="189"/>
      <c r="BV4" s="189"/>
      <c r="BW4" s="189"/>
      <c r="BX4" s="189"/>
      <c r="BY4" s="189"/>
      <c r="BZ4" s="189"/>
      <c r="CA4" s="189"/>
      <c r="CB4" s="189"/>
      <c r="CC4" s="189"/>
      <c r="CD4" s="189"/>
      <c r="CE4" s="189"/>
      <c r="CF4" s="189"/>
      <c r="CG4" s="189"/>
      <c r="CH4" s="189"/>
      <c r="CI4" s="189"/>
      <c r="CJ4" s="189"/>
      <c r="CK4" s="189"/>
      <c r="CL4" s="189"/>
      <c r="CM4" s="189"/>
      <c r="CN4" s="189"/>
      <c r="CO4" s="189"/>
      <c r="CP4" s="189"/>
      <c r="CQ4" s="189"/>
      <c r="CR4" s="189"/>
      <c r="CS4" s="189"/>
      <c r="CT4" s="189"/>
      <c r="CU4" s="189" t="s">
        <v>663</v>
      </c>
      <c r="CV4" s="189" t="s">
        <v>663</v>
      </c>
      <c r="CW4" s="189" t="s">
        <v>663</v>
      </c>
      <c r="CX4" s="189" t="s">
        <v>663</v>
      </c>
      <c r="CY4" s="189" t="s">
        <v>663</v>
      </c>
      <c r="CZ4" s="189"/>
      <c r="DA4" s="189"/>
      <c r="DB4" s="189"/>
      <c r="DC4" s="189">
        <v>419.34161563166765</v>
      </c>
      <c r="DD4" s="189">
        <v>249.12286680202095</v>
      </c>
      <c r="DE4" s="189">
        <v>36.10655100574391</v>
      </c>
      <c r="DF4" s="189">
        <v>24.264522565960007</v>
      </c>
      <c r="DG4" s="189">
        <v>17.448470537527779</v>
      </c>
      <c r="DH4" s="189">
        <v>15.537087068679348</v>
      </c>
      <c r="DI4" s="189">
        <v>9.3823359906500734</v>
      </c>
      <c r="DJ4" s="189">
        <v>14.094100857258301</v>
      </c>
      <c r="DK4" s="189">
        <v>4.8091309593659268</v>
      </c>
      <c r="DL4" s="189">
        <v>11.33487040923082</v>
      </c>
      <c r="DM4" s="189">
        <v>9.1354454840994137</v>
      </c>
      <c r="DN4" s="189">
        <v>8.9487837535115951</v>
      </c>
      <c r="DO4" s="189">
        <v>4.3863785071962056</v>
      </c>
      <c r="DP4" s="189">
        <v>5.5356648904659416</v>
      </c>
      <c r="DQ4" s="189">
        <v>3.7705567841091536</v>
      </c>
      <c r="DR4" s="189">
        <v>1.5919203220713669</v>
      </c>
      <c r="DS4" s="189">
        <v>9.2746190029011153</v>
      </c>
      <c r="DT4" s="189">
        <v>9.9065118660988354</v>
      </c>
      <c r="DU4" s="189">
        <v>11.68180768129659</v>
      </c>
      <c r="DV4" s="189">
        <v>10.663722922004773</v>
      </c>
      <c r="DW4" s="189">
        <v>7.5178079914876292</v>
      </c>
      <c r="DX4" s="189">
        <v>11.68180768129659</v>
      </c>
      <c r="DY4" s="189">
        <v>7.3635053422868211</v>
      </c>
      <c r="DZ4" s="189">
        <v>4.7415368062542207</v>
      </c>
      <c r="EA4" s="191">
        <v>3.5938607970868492</v>
      </c>
      <c r="EB4" s="191">
        <v>6.3130888291955021</v>
      </c>
      <c r="EC4" s="191">
        <v>0.86838994447225382</v>
      </c>
      <c r="ED4" s="191">
        <v>2.8121630861021636</v>
      </c>
      <c r="EE4" s="191">
        <v>3.0575031973441478</v>
      </c>
      <c r="EF4" s="191">
        <v>5.3650925561589435</v>
      </c>
      <c r="EG4" s="191">
        <v>6.6937841923569135</v>
      </c>
      <c r="EH4" s="191">
        <v>4.6065364114769842</v>
      </c>
      <c r="EI4" s="191">
        <v>2.1516060531423769</v>
      </c>
      <c r="EJ4" s="191">
        <v>2.0053034920798414</v>
      </c>
      <c r="EK4" s="191">
        <v>4.1246883111677448</v>
      </c>
      <c r="EL4" s="191">
        <v>3.896190348221428</v>
      </c>
      <c r="EM4" s="191">
        <v>4.0029515749908526</v>
      </c>
      <c r="EN4" s="191">
        <v>1.9396234276422879</v>
      </c>
      <c r="EO4" s="191">
        <v>8.1120955567491548E-2</v>
      </c>
      <c r="EP4" s="191">
        <v>-0.2588943028789894</v>
      </c>
      <c r="EQ4" s="191">
        <v>-0.26400540648403514</v>
      </c>
      <c r="ER4" s="191">
        <v>-1.0627029856758701</v>
      </c>
      <c r="ES4" s="191">
        <v>0.38393814481648869</v>
      </c>
      <c r="ET4" s="191">
        <v>0.67242830194616587</v>
      </c>
      <c r="EU4" s="191">
        <v>-1.7366118646347362</v>
      </c>
      <c r="EV4" s="191">
        <v>-1.5758900507691886</v>
      </c>
      <c r="EW4" s="191">
        <v>4.4442903438615557</v>
      </c>
      <c r="EX4" s="191">
        <v>3.0125222921173163</v>
      </c>
      <c r="EY4" s="191">
        <v>1.2145162216235759</v>
      </c>
      <c r="EZ4" s="191">
        <v>8.0758838830521196</v>
      </c>
      <c r="FA4" s="191">
        <v>5.7877296187298377</v>
      </c>
      <c r="FB4" s="191">
        <v>5.3649223514126891</v>
      </c>
      <c r="FC4" s="191">
        <v>4.7457167423772013</v>
      </c>
      <c r="FD4" s="191">
        <v>4.637502323768441</v>
      </c>
      <c r="FE4" s="191">
        <v>4.6444746022083887</v>
      </c>
      <c r="FF4" s="191">
        <v>5.9545104524821584</v>
      </c>
      <c r="FG4" s="191">
        <v>6.2547630056430226</v>
      </c>
      <c r="FH4" s="191">
        <v>6.4211180726174275</v>
      </c>
      <c r="FI4" s="191">
        <v>5.1702029443396311</v>
      </c>
      <c r="FJ4" s="191">
        <v>4.5297029361005636</v>
      </c>
      <c r="FK4" s="191">
        <v>5.366281083739497</v>
      </c>
      <c r="FL4" s="191">
        <v>4.723073522990437</v>
      </c>
      <c r="FM4" s="191">
        <v>5.286075306134209</v>
      </c>
      <c r="FN4" s="191">
        <v>5.0488090569145303</v>
      </c>
      <c r="FO4" s="192">
        <v>5.1741430315917381</v>
      </c>
      <c r="FP4" s="192">
        <v>6.6665266168052462</v>
      </c>
      <c r="FQ4" s="192">
        <v>6.1605379887771203</v>
      </c>
      <c r="FR4" s="192">
        <v>7.2899638267455087</v>
      </c>
      <c r="FS4" s="192">
        <v>8.2629889676632757</v>
      </c>
      <c r="FT4" s="192">
        <v>6.4955996333788404</v>
      </c>
      <c r="FU4" s="192">
        <v>6.304387174513491</v>
      </c>
      <c r="FV4" s="191">
        <v>6.1033572456157348</v>
      </c>
      <c r="FW4" s="191">
        <v>3.9694283890376223</v>
      </c>
      <c r="FX4" s="191">
        <v>4.7645163226904934</v>
      </c>
      <c r="FY4" s="191">
        <v>5.2885181923345472</v>
      </c>
      <c r="FZ4" s="191">
        <v>8.6203783766774578</v>
      </c>
      <c r="GA4" s="191">
        <v>9.5064470760933286</v>
      </c>
      <c r="GB4" s="191">
        <v>9.6715660117727484</v>
      </c>
      <c r="GC4" s="191">
        <v>10.229105483783595</v>
      </c>
      <c r="GD4" s="191">
        <v>10.203449299226184</v>
      </c>
      <c r="GE4" s="191">
        <v>9.5982915293608837</v>
      </c>
      <c r="GF4" s="191">
        <v>9.4534510703771737</v>
      </c>
      <c r="GG4" s="191">
        <v>9.7074543295008695</v>
      </c>
      <c r="GH4" s="191">
        <v>9.7842582944010488</v>
      </c>
      <c r="GI4" s="191">
        <v>10.035234254889238</v>
      </c>
      <c r="GJ4" s="191">
        <v>10.19417640231287</v>
      </c>
      <c r="GK4" s="191">
        <v>10.52120760937138</v>
      </c>
    </row>
    <row r="5" spans="1:193" ht="15.75" customHeight="1">
      <c r="A5" s="185" t="s">
        <v>722</v>
      </c>
      <c r="B5" s="185" t="str">
        <f t="shared" ref="B5:B14" si="0">A5&amp;" Corp"</f>
        <v>IT0004584204 Corp</v>
      </c>
      <c r="C5" s="185"/>
      <c r="D5" s="216">
        <f>DATEVALUE(_xll.BDP($B5,D$2))</f>
        <v>42795</v>
      </c>
      <c r="E5" s="217">
        <f>_xll.BDP(B5,"FLT_SPREAD")</f>
        <v>30</v>
      </c>
      <c r="F5" s="217">
        <f>_xll.BDP(B5,F$2)</f>
        <v>6.0000000000000012E-2</v>
      </c>
      <c r="G5" s="218">
        <f>_xll.BDP($B5,G$2)</f>
        <v>100.12</v>
      </c>
      <c r="H5" s="104">
        <f>(G5+I5)/2</f>
        <v>100.1225</v>
      </c>
      <c r="I5" s="218">
        <f>_xll.BDP($B5,I$2)</f>
        <v>100.125</v>
      </c>
      <c r="J5" s="219">
        <f>_xll.BDP(B5&amp;"@CBBT Corp",J$2)</f>
        <v>10.932257740703843</v>
      </c>
      <c r="K5" s="241">
        <f>_xll.BDP(B5&amp;"@CBBT Corp","ASSET_SWAP_SPD_MID")</f>
        <v>5.2847956970533723</v>
      </c>
      <c r="L5" s="220">
        <f t="shared" ref="L5:L13" si="1">(H5-V5-Z5)/U5*100</f>
        <v>-1.7481630884752706</v>
      </c>
      <c r="M5" s="220">
        <f t="shared" ref="M5:M13" si="2">R5+(T5-R5)*(D5-Q5)/(S5-Q5)</f>
        <v>-2.687701983468894</v>
      </c>
      <c r="N5" s="221">
        <f t="shared" ref="N5:N13" si="3">J5-M5</f>
        <v>13.619959724172737</v>
      </c>
      <c r="O5" s="222">
        <f>MATCH(D5,$D$22:$D$39,1)</f>
        <v>1</v>
      </c>
      <c r="P5" s="222">
        <f>O5+1</f>
        <v>2</v>
      </c>
      <c r="Q5" s="223">
        <f>VLOOKUP(O5,$C$22:$J$39,2)</f>
        <v>42767</v>
      </c>
      <c r="R5" s="224">
        <f>VLOOKUP(Q5,$D$22:$J$39,7)</f>
        <v>-5.5051986313401056</v>
      </c>
      <c r="S5" s="223">
        <f>VLOOKUP(P5,$C$22:$J$39,2)</f>
        <v>42856</v>
      </c>
      <c r="T5" s="224">
        <f>VLOOKUP(S5,$D$22:$J$39,7)</f>
        <v>3.4504157136791025</v>
      </c>
      <c r="U5" s="225">
        <f>_xll.MKV($V$1&amp;$A5, U$2)</f>
        <v>0.38129999999999997</v>
      </c>
      <c r="V5" s="225">
        <f>_xll.MKV($V$1&amp;$A5, V$2)</f>
        <v>100.129</v>
      </c>
      <c r="W5" s="226">
        <f>DATEVALUE(_xll.BDP($B5,W$2))</f>
        <v>42795</v>
      </c>
      <c r="X5" s="226">
        <f>DATEVALUE(_xll.BDP($B5,X$2))</f>
        <v>42614</v>
      </c>
      <c r="Y5" s="227">
        <f t="shared" ref="Y5:Y14" si="4">F5/2*(Settle-X5)/(W5-X5)</f>
        <v>7.1270718232044217E-3</v>
      </c>
      <c r="Z5" s="228">
        <f t="shared" ref="Z5:Z14" si="5">F5/2/(W5-X5)*(Settle-$X$1)</f>
        <v>1.6574585635359119E-4</v>
      </c>
      <c r="AA5" s="228"/>
      <c r="AD5" s="238">
        <v>3.1139281074397172</v>
      </c>
      <c r="AE5" s="188">
        <v>42795</v>
      </c>
      <c r="AF5" s="189">
        <v>11.337139923127452</v>
      </c>
      <c r="AG5" s="189">
        <v>12.84308557095701</v>
      </c>
      <c r="AH5" s="189">
        <v>6.4831608815189021</v>
      </c>
      <c r="AI5" s="189">
        <v>5.7654872517430231</v>
      </c>
      <c r="AJ5" s="189">
        <v>7.9782737704453099</v>
      </c>
      <c r="AK5" s="189">
        <v>6.8474348318916061</v>
      </c>
      <c r="AL5" s="189">
        <v>4.7821168205437905</v>
      </c>
      <c r="AM5" s="189">
        <v>5.2203860373312239</v>
      </c>
      <c r="AN5" s="189">
        <v>3.9812647343463148</v>
      </c>
      <c r="AO5" s="189">
        <v>-0.3040909065505577</v>
      </c>
      <c r="AP5" s="189">
        <v>0.47428673994490822</v>
      </c>
      <c r="AQ5" s="189">
        <v>2.8296290589872672</v>
      </c>
      <c r="AR5" s="189">
        <v>2.9027736816445184</v>
      </c>
      <c r="AS5" s="189">
        <v>1.2955976796388793</v>
      </c>
      <c r="AT5" s="189">
        <v>3.8836393079162956</v>
      </c>
      <c r="AU5" s="189">
        <v>5.4791865012413741</v>
      </c>
      <c r="AV5" s="189">
        <v>1.7756550509571927</v>
      </c>
      <c r="AW5" s="189">
        <v>8.0082058010932293</v>
      </c>
      <c r="AX5" s="189">
        <v>9.1357115871436694</v>
      </c>
      <c r="AY5" s="189"/>
      <c r="AZ5" s="189">
        <v>10.32700511391519</v>
      </c>
      <c r="BA5" s="189">
        <v>10.256619262621747</v>
      </c>
      <c r="BB5" s="189">
        <v>9.3757915953460795</v>
      </c>
      <c r="BC5" s="189">
        <v>10.761591305181948</v>
      </c>
      <c r="BD5" s="189">
        <v>10.905797495189827</v>
      </c>
      <c r="BE5" s="189">
        <v>11.775448997571544</v>
      </c>
      <c r="BF5" s="189">
        <v>10.92819349256953</v>
      </c>
      <c r="BG5" s="189">
        <v>11.025092032735241</v>
      </c>
      <c r="BH5" s="189">
        <v>9.3840178487899735</v>
      </c>
      <c r="BI5" s="189">
        <v>9.8458681519751359</v>
      </c>
      <c r="BJ5" s="189">
        <v>11.672642089642924</v>
      </c>
      <c r="BK5" s="189">
        <v>11.356723288447128</v>
      </c>
      <c r="BL5" s="189">
        <v>14.629677631759247</v>
      </c>
      <c r="BM5" s="189">
        <v>15.694709428102801</v>
      </c>
      <c r="BN5" s="189">
        <v>15.121055757820368</v>
      </c>
      <c r="BO5" s="189">
        <v>10.384337436288128</v>
      </c>
      <c r="BP5" s="189">
        <v>13.705088374784829</v>
      </c>
      <c r="BQ5" s="189">
        <v>15.696292144416603</v>
      </c>
      <c r="BR5" s="189">
        <v>16.43075074211502</v>
      </c>
      <c r="BS5" s="189">
        <v>14.139403964539518</v>
      </c>
      <c r="BT5" s="189">
        <v>15.238876540105363</v>
      </c>
      <c r="BU5" s="189">
        <v>14.414755289430438</v>
      </c>
      <c r="BV5" s="189">
        <v>16.612781449277335</v>
      </c>
      <c r="BW5" s="189">
        <v>11.980184687301012</v>
      </c>
      <c r="BX5" s="189">
        <v>12.817350003375235</v>
      </c>
      <c r="BY5" s="189">
        <v>12.416560584959964</v>
      </c>
      <c r="BZ5" s="189">
        <v>12.945748348623848</v>
      </c>
      <c r="CA5" s="189">
        <v>13.891189568742242</v>
      </c>
      <c r="CB5" s="189">
        <v>10.894193424498084</v>
      </c>
      <c r="CC5" s="189">
        <v>10.975470854096226</v>
      </c>
      <c r="CD5" s="189">
        <v>10.450267214480714</v>
      </c>
      <c r="CE5" s="189">
        <v>11.899913990052493</v>
      </c>
      <c r="CF5" s="189">
        <v>11.115454667810813</v>
      </c>
      <c r="CG5" s="189">
        <v>12.319377288903045</v>
      </c>
      <c r="CH5" s="189">
        <v>11.789823937787119</v>
      </c>
      <c r="CI5" s="189">
        <v>10.357116384453885</v>
      </c>
      <c r="CJ5" s="189">
        <v>11.261499865744398</v>
      </c>
      <c r="CK5" s="189">
        <v>11.376077254852582</v>
      </c>
      <c r="CL5" s="189">
        <v>11.537529216334139</v>
      </c>
      <c r="CM5" s="189">
        <v>11.702204206545176</v>
      </c>
      <c r="CN5" s="189">
        <v>10.795213713131741</v>
      </c>
      <c r="CO5" s="189">
        <v>10.830541947228493</v>
      </c>
      <c r="CP5" s="189">
        <v>10.077212627741542</v>
      </c>
      <c r="CQ5" s="189">
        <v>9.1274188336229436</v>
      </c>
      <c r="CR5" s="189">
        <v>10.241547394658973</v>
      </c>
      <c r="CS5" s="189">
        <v>10.135669892427011</v>
      </c>
      <c r="CT5" s="189">
        <v>10.183954392738816</v>
      </c>
      <c r="CU5" s="189">
        <v>10.818875148834625</v>
      </c>
      <c r="CV5" s="189">
        <v>11.368416526501932</v>
      </c>
      <c r="CW5" s="189">
        <v>12.531906780168761</v>
      </c>
      <c r="CX5" s="189">
        <v>11.285183990645614</v>
      </c>
      <c r="CY5" s="189">
        <v>11.8184913492838</v>
      </c>
      <c r="CZ5" s="189">
        <v>10.956225513387537</v>
      </c>
      <c r="DA5" s="189">
        <v>11.182382427927148</v>
      </c>
      <c r="DB5" s="189">
        <v>11.613925240453707</v>
      </c>
      <c r="DC5" s="189">
        <v>9.7055895383187085</v>
      </c>
      <c r="DD5" s="189">
        <v>9.6074835071765676</v>
      </c>
      <c r="DE5" s="189">
        <v>8.3525008046837144</v>
      </c>
      <c r="DF5" s="189">
        <v>8.3334924349339801</v>
      </c>
      <c r="DG5" s="189">
        <v>8.2345185044194906</v>
      </c>
      <c r="DH5" s="189">
        <v>9.0462071323074191</v>
      </c>
      <c r="DI5" s="189">
        <v>8.8283404069420257</v>
      </c>
      <c r="DJ5" s="189">
        <v>9.8273834072580222</v>
      </c>
      <c r="DK5" s="189">
        <v>5.8280801268051263</v>
      </c>
      <c r="DL5" s="189">
        <v>7.0377353670892191</v>
      </c>
      <c r="DM5" s="189">
        <v>7.6072204980937812</v>
      </c>
      <c r="DN5" s="189">
        <v>6.7215397787213433</v>
      </c>
      <c r="DO5" s="189">
        <v>6.7725407399835547</v>
      </c>
      <c r="DP5" s="189">
        <v>7.0340640768238281</v>
      </c>
      <c r="DQ5" s="189">
        <v>7.9874301942279793</v>
      </c>
      <c r="DR5" s="189">
        <v>6.1400467196988693</v>
      </c>
      <c r="DS5" s="189">
        <v>5.8578228637132241</v>
      </c>
      <c r="DT5" s="189">
        <v>9.5799060788221269</v>
      </c>
      <c r="DU5" s="189">
        <v>10.313563821821475</v>
      </c>
      <c r="DV5" s="189">
        <v>11.294871434668131</v>
      </c>
      <c r="DW5" s="189">
        <v>7</v>
      </c>
      <c r="DX5" s="189">
        <v>10.313563821821475</v>
      </c>
      <c r="DY5" s="189">
        <v>6.1031953998844415</v>
      </c>
      <c r="DZ5" s="189">
        <v>5.3129761592017033</v>
      </c>
      <c r="EA5" s="191">
        <v>4.3390480729489038</v>
      </c>
      <c r="EB5" s="191">
        <v>4.5918710415009372</v>
      </c>
      <c r="EC5" s="191">
        <v>3.6938146648816339</v>
      </c>
      <c r="ED5" s="191">
        <v>7.6387930084503779</v>
      </c>
      <c r="EE5" s="191">
        <v>9.3631020469199804</v>
      </c>
      <c r="EF5" s="191">
        <v>11.06705455955252</v>
      </c>
      <c r="EG5" s="191">
        <v>11.668568239192414</v>
      </c>
      <c r="EH5" s="191">
        <v>12.177013401447873</v>
      </c>
      <c r="EI5" s="191">
        <v>11.844396924232422</v>
      </c>
      <c r="EJ5" s="191">
        <v>12.739207693081909</v>
      </c>
      <c r="EK5" s="191">
        <v>12.203477141469287</v>
      </c>
      <c r="EL5" s="191">
        <v>12.560086874847958</v>
      </c>
      <c r="EM5" s="191">
        <v>12.686232111023472</v>
      </c>
      <c r="EN5" s="191">
        <v>13.402310492222711</v>
      </c>
      <c r="EO5" s="191">
        <v>10.402085304953147</v>
      </c>
      <c r="EP5" s="191">
        <v>9.6227852818436865</v>
      </c>
      <c r="EQ5" s="191">
        <v>9.0968137500398161</v>
      </c>
      <c r="ER5" s="191">
        <v>7.9146030158112923</v>
      </c>
      <c r="ES5" s="191">
        <v>7.9713021117177387</v>
      </c>
      <c r="ET5" s="191">
        <v>7.6885668197066597</v>
      </c>
      <c r="EU5" s="191">
        <v>6.9377823626344286</v>
      </c>
      <c r="EV5" s="191">
        <v>6.5044635188321145</v>
      </c>
      <c r="EW5" s="191">
        <v>7.1572012581117681</v>
      </c>
      <c r="EX5" s="191">
        <v>4.3413199660111577</v>
      </c>
      <c r="EY5" s="191">
        <v>4.3243135012465288</v>
      </c>
      <c r="EZ5" s="191">
        <v>4.3584737269349088</v>
      </c>
      <c r="FA5" s="191">
        <v>5.2336046102739786</v>
      </c>
      <c r="FB5" s="191">
        <v>6.4936261595012725</v>
      </c>
      <c r="FC5" s="191">
        <v>3.6431032453412717</v>
      </c>
      <c r="FD5" s="191">
        <v>3.8939712248098166</v>
      </c>
      <c r="FE5" s="191">
        <v>4.6937249718932623</v>
      </c>
      <c r="FF5" s="191">
        <v>5.5944299299271689</v>
      </c>
      <c r="FG5" s="191">
        <v>6.4484267298487463</v>
      </c>
      <c r="FH5" s="191">
        <v>5.9292731919732162</v>
      </c>
      <c r="FI5" s="191">
        <v>4.0901961516832959</v>
      </c>
      <c r="FJ5" s="191">
        <v>4.3605102840692203</v>
      </c>
      <c r="FK5" s="191">
        <v>4.6027110347354174</v>
      </c>
      <c r="FL5" s="191">
        <v>4.7003644108649425</v>
      </c>
      <c r="FM5" s="191">
        <v>4.9704029816832129</v>
      </c>
      <c r="FN5" s="191">
        <v>4.2536139801294439</v>
      </c>
      <c r="FO5" s="192">
        <v>4.4583602745238924</v>
      </c>
      <c r="FP5" s="192">
        <v>5.1681660509205862</v>
      </c>
      <c r="FQ5" s="192">
        <v>4.9812720242726689</v>
      </c>
      <c r="FR5" s="192">
        <v>5.9985228641027444</v>
      </c>
      <c r="FS5" s="192">
        <v>5.3018118223274167</v>
      </c>
      <c r="FT5" s="192">
        <v>4.8382840938745808</v>
      </c>
      <c r="FU5" s="192">
        <v>4.1905568308954262</v>
      </c>
      <c r="FV5" s="191">
        <v>4.9149350499880757</v>
      </c>
      <c r="FW5" s="191">
        <v>4.2046001963030104</v>
      </c>
      <c r="FX5" s="191">
        <v>5.1275523344683585</v>
      </c>
      <c r="FY5" s="191">
        <v>4.329783795636116</v>
      </c>
      <c r="FZ5" s="191">
        <v>5.0710458132595146</v>
      </c>
      <c r="GA5" s="191">
        <v>5.0205258569316182</v>
      </c>
      <c r="GB5" s="191">
        <v>4.288096642307039</v>
      </c>
      <c r="GC5" s="191">
        <v>5.6134897643562836</v>
      </c>
      <c r="GD5" s="191">
        <v>5.3114507594406621</v>
      </c>
      <c r="GE5" s="191">
        <v>4.78379517312068</v>
      </c>
      <c r="GF5" s="191">
        <v>4.8015350327293795</v>
      </c>
      <c r="GG5" s="191">
        <v>5.194805219569079</v>
      </c>
      <c r="GH5" s="191">
        <v>4.6590603185587494</v>
      </c>
      <c r="GI5" s="191">
        <v>5.9246782937494444</v>
      </c>
      <c r="GJ5" s="191">
        <v>7.166109601619441</v>
      </c>
      <c r="GK5" s="191">
        <v>6.3535660048284583</v>
      </c>
    </row>
    <row r="6" spans="1:193" ht="15.75" customHeight="1">
      <c r="A6" s="185" t="s">
        <v>723</v>
      </c>
      <c r="B6" s="185" t="str">
        <f t="shared" si="0"/>
        <v>IT0004809809 Corp</v>
      </c>
      <c r="C6" s="185"/>
      <c r="D6" s="216">
        <f>DATEVALUE(_xll.BDP($B6,D$2))</f>
        <v>42901</v>
      </c>
      <c r="E6" s="217">
        <f>_xll.BDP(B6,"FLT_SPREAD")</f>
        <v>250</v>
      </c>
      <c r="F6" s="217">
        <f>_xll.BDP(B6,F$2)</f>
        <v>2.3420000000000001</v>
      </c>
      <c r="G6" s="218">
        <f>_xll.BDP($B6,G$2)</f>
        <v>101.76</v>
      </c>
      <c r="H6" s="104">
        <f t="shared" ref="H6:H14" si="6">(G6+I6)/2</f>
        <v>101.7625</v>
      </c>
      <c r="I6" s="218">
        <f>_xll.BDP($B6,I$2)</f>
        <v>101.765</v>
      </c>
      <c r="J6" s="219">
        <f>_xll.BDP(B6&amp;"@CBBT Corp",J$2)</f>
        <v>16.307480444075203</v>
      </c>
      <c r="K6" s="241">
        <f>_xll.BDP(B6&amp;"@CBBT Corp","ASSET_SWAP_SPD_MID")</f>
        <v>76.43050547213258</v>
      </c>
      <c r="L6" s="220">
        <f t="shared" si="1"/>
        <v>-1.621619863683708</v>
      </c>
      <c r="M6" s="220">
        <f t="shared" si="2"/>
        <v>5.608124080430982</v>
      </c>
      <c r="N6" s="221">
        <f t="shared" si="3"/>
        <v>10.69935636364422</v>
      </c>
      <c r="O6" s="222">
        <f t="shared" ref="O6:O14" si="7">MATCH(D6,$D$22:$D$39,1)</f>
        <v>3</v>
      </c>
      <c r="P6" s="222">
        <f t="shared" ref="P6:P14" si="8">O6+1</f>
        <v>4</v>
      </c>
      <c r="Q6" s="223">
        <f t="shared" ref="Q6:Q14" si="9">VLOOKUP(O6,$C$22:$J$39,2)</f>
        <v>42887</v>
      </c>
      <c r="R6" s="224">
        <f t="shared" ref="R6:R14" si="10">VLOOKUP(Q6,$D$22:$J$39,7)</f>
        <v>4.4054333851696983</v>
      </c>
      <c r="S6" s="223">
        <f t="shared" ref="S6:S14" si="11">VLOOKUP(P6,$C$22:$J$39,2)</f>
        <v>42948</v>
      </c>
      <c r="T6" s="224">
        <f t="shared" ref="T6:T14" si="12">VLOOKUP(S6,$D$22:$J$39,7)</f>
        <v>9.6457285573795772</v>
      </c>
      <c r="U6" s="225">
        <f>_xll.MKV($V$1&amp;$A6, U$2)</f>
        <v>0.67210000000000003</v>
      </c>
      <c r="V6" s="225">
        <f>_xll.MKV($V$1&amp;$A6, V$2)</f>
        <v>101.767</v>
      </c>
      <c r="W6" s="226">
        <f>DATEVALUE(_xll.BDP($B6,W$2))</f>
        <v>42719</v>
      </c>
      <c r="X6" s="226">
        <f>DATEVALUE(_xll.BDP($B6,X$2))</f>
        <v>42536</v>
      </c>
      <c r="Y6" s="227">
        <f t="shared" si="4"/>
        <v>0.77426775956284155</v>
      </c>
      <c r="Z6" s="228">
        <f t="shared" si="5"/>
        <v>6.3989071038251365E-3</v>
      </c>
      <c r="AA6" s="228"/>
      <c r="AD6" s="238">
        <v>14.514266068232848</v>
      </c>
      <c r="AE6" s="188">
        <v>42901</v>
      </c>
      <c r="AF6" s="189">
        <v>10.223279793331724</v>
      </c>
      <c r="AG6" s="189">
        <v>10.984146358279462</v>
      </c>
      <c r="AH6" s="189">
        <v>13.251533074029631</v>
      </c>
      <c r="AI6" s="189">
        <v>13.697571869597244</v>
      </c>
      <c r="AJ6" s="189">
        <v>15.422971236715275</v>
      </c>
      <c r="AK6" s="189">
        <v>15.774617372344025</v>
      </c>
      <c r="AL6" s="189">
        <v>14.529173428479609</v>
      </c>
      <c r="AM6" s="189">
        <v>14.865625256648288</v>
      </c>
      <c r="AN6" s="189">
        <v>13.892778299777646</v>
      </c>
      <c r="AO6" s="189">
        <v>10.431690333864337</v>
      </c>
      <c r="AP6" s="189">
        <v>8.9141826210841479</v>
      </c>
      <c r="AQ6" s="189">
        <v>10.29354997522363</v>
      </c>
      <c r="AR6" s="189">
        <v>12.4648992571496</v>
      </c>
      <c r="AS6" s="189">
        <v>12.025508935460259</v>
      </c>
      <c r="AT6" s="189">
        <v>11.263759262279232</v>
      </c>
      <c r="AU6" s="189">
        <v>12.263188517361185</v>
      </c>
      <c r="AV6" s="189">
        <v>9.3521775003365821</v>
      </c>
      <c r="AW6" s="189">
        <v>10.174487739137344</v>
      </c>
      <c r="AX6" s="189">
        <v>10.198960303985766</v>
      </c>
      <c r="AY6" s="189">
        <v>12.613826504969676</v>
      </c>
      <c r="AZ6" s="189">
        <v>10.309876703347022</v>
      </c>
      <c r="BA6" s="189">
        <v>9.9862124942030022</v>
      </c>
      <c r="BB6" s="189">
        <v>9.1509660620680044</v>
      </c>
      <c r="BC6" s="189">
        <v>9.7597167895238321</v>
      </c>
      <c r="BD6" s="189">
        <v>10.023454811496865</v>
      </c>
      <c r="BE6" s="189">
        <v>9.9204741471550513</v>
      </c>
      <c r="BF6" s="189">
        <v>8.965037681908818</v>
      </c>
      <c r="BG6" s="189">
        <v>12.171708409387783</v>
      </c>
      <c r="BH6" s="189">
        <v>11.220769986346021</v>
      </c>
      <c r="BI6" s="189">
        <v>10.913918297272939</v>
      </c>
      <c r="BJ6" s="189">
        <v>7.4732876453648061</v>
      </c>
      <c r="BK6" s="189">
        <v>9.1625020140509434</v>
      </c>
      <c r="BL6" s="189">
        <v>9.5556608244779859</v>
      </c>
      <c r="BM6" s="189">
        <v>11.139997699499254</v>
      </c>
      <c r="BN6" s="189">
        <v>11.212183544451857</v>
      </c>
      <c r="BO6" s="189">
        <v>9.0276358691266836</v>
      </c>
      <c r="BP6" s="189">
        <v>13.751822950064817</v>
      </c>
      <c r="BQ6" s="189">
        <v>11.948769700395335</v>
      </c>
      <c r="BR6" s="189">
        <v>15.715453552965684</v>
      </c>
      <c r="BS6" s="189">
        <v>16.970148451269647</v>
      </c>
      <c r="BT6" s="189">
        <v>16.190767777830047</v>
      </c>
      <c r="BU6" s="189">
        <v>17.118683431302145</v>
      </c>
      <c r="BV6" s="189">
        <v>17.846792581403676</v>
      </c>
      <c r="BW6" s="189">
        <v>17.328742264748506</v>
      </c>
      <c r="BX6" s="189">
        <v>14.270464728899114</v>
      </c>
      <c r="BY6" s="189">
        <v>14.24757491127945</v>
      </c>
      <c r="BZ6" s="189">
        <v>12.391240228212844</v>
      </c>
      <c r="CA6" s="189">
        <v>12.975555037274017</v>
      </c>
      <c r="CB6" s="189">
        <v>9.7644232798890833</v>
      </c>
      <c r="CC6" s="189">
        <v>10.518150081368397</v>
      </c>
      <c r="CD6" s="189">
        <v>10.490610915787315</v>
      </c>
      <c r="CE6" s="189">
        <v>10.175569060252784</v>
      </c>
      <c r="CF6" s="189">
        <v>9.7967582961202275</v>
      </c>
      <c r="CG6" s="189">
        <v>9.9416952678338326</v>
      </c>
      <c r="CH6" s="189">
        <v>10.090628319358618</v>
      </c>
      <c r="CI6" s="189">
        <v>10.317594972782793</v>
      </c>
      <c r="CJ6" s="189">
        <v>10.05018870148346</v>
      </c>
      <c r="CK6" s="189">
        <v>11.475924553669707</v>
      </c>
      <c r="CL6" s="189">
        <v>11.585222837812054</v>
      </c>
      <c r="CM6" s="189">
        <v>11.933152675116887</v>
      </c>
      <c r="CN6" s="189">
        <v>10.7237009111631</v>
      </c>
      <c r="CO6" s="189">
        <v>10.408766675687414</v>
      </c>
      <c r="CP6" s="189">
        <v>9.4004269236736562</v>
      </c>
      <c r="CQ6" s="189">
        <v>8.7724544521599483</v>
      </c>
      <c r="CR6" s="189">
        <v>8.8310140639112262</v>
      </c>
      <c r="CS6" s="189">
        <v>8.5815419740452512</v>
      </c>
      <c r="CT6" s="189">
        <v>8.8027769003702545</v>
      </c>
      <c r="CU6" s="189">
        <v>7.7257610200743159</v>
      </c>
      <c r="CV6" s="189">
        <v>7.2493319173474262</v>
      </c>
      <c r="CW6" s="189">
        <v>6.5069935413828546</v>
      </c>
      <c r="CX6" s="189">
        <v>7.9212498672836062</v>
      </c>
      <c r="CY6" s="189">
        <v>6.7874562252139796</v>
      </c>
      <c r="CZ6" s="189">
        <v>6.1028200531805865</v>
      </c>
      <c r="DA6" s="189">
        <v>6.4803754866799395</v>
      </c>
      <c r="DB6" s="189">
        <v>6.5520263084989736</v>
      </c>
      <c r="DC6" s="189">
        <v>6.708179670791047</v>
      </c>
      <c r="DD6" s="189">
        <v>6.3652989255584203</v>
      </c>
      <c r="DE6" s="189">
        <v>7.1107601335980775</v>
      </c>
      <c r="DF6" s="189">
        <v>6.163771260207966</v>
      </c>
      <c r="DG6" s="189">
        <v>6.3123529037637169</v>
      </c>
      <c r="DH6" s="189">
        <v>7.8655896181389124</v>
      </c>
      <c r="DI6" s="189">
        <v>7.358053050362571</v>
      </c>
      <c r="DJ6" s="189">
        <v>8.1959347264746967</v>
      </c>
      <c r="DK6" s="189">
        <v>6.4021077964092754</v>
      </c>
      <c r="DL6" s="189">
        <v>9.3564118714710318</v>
      </c>
      <c r="DM6" s="189">
        <v>8.9575103566357512</v>
      </c>
      <c r="DN6" s="189">
        <v>9.5173115087532878</v>
      </c>
      <c r="DO6" s="189">
        <v>9.6228371710491274</v>
      </c>
      <c r="DP6" s="189">
        <v>9.2552148781156234</v>
      </c>
      <c r="DQ6" s="189">
        <v>10.515690822119655</v>
      </c>
      <c r="DR6" s="189">
        <v>11.242994126499049</v>
      </c>
      <c r="DS6" s="189">
        <v>8.9590825378546555</v>
      </c>
      <c r="DT6" s="189">
        <v>9.8481683472164789</v>
      </c>
      <c r="DU6" s="189">
        <v>11.067975347237443</v>
      </c>
      <c r="DV6" s="189">
        <v>9.4081075758783683</v>
      </c>
      <c r="DW6" s="189">
        <v>4.8083366294178305</v>
      </c>
      <c r="DX6" s="189">
        <v>11.067975347237443</v>
      </c>
      <c r="DY6" s="189">
        <v>4.0148342580608016</v>
      </c>
      <c r="DZ6" s="189">
        <v>3.4082902997127604</v>
      </c>
      <c r="EA6" s="191">
        <v>3.9519053814880731</v>
      </c>
      <c r="EB6" s="191">
        <v>3.9139328315816311</v>
      </c>
      <c r="EC6" s="191">
        <v>2.126525018865788</v>
      </c>
      <c r="ED6" s="191">
        <v>2.9410493531934758</v>
      </c>
      <c r="EE6" s="191">
        <v>2.6003543507490807</v>
      </c>
      <c r="EF6" s="191">
        <v>3.5595637276510619</v>
      </c>
      <c r="EG6" s="191">
        <v>3.3495089348899736</v>
      </c>
      <c r="EH6" s="191">
        <v>2.7128007435750217</v>
      </c>
      <c r="EI6" s="191">
        <v>1.9664495741842227</v>
      </c>
      <c r="EJ6" s="191">
        <v>0.65514874070440143</v>
      </c>
      <c r="EK6" s="191">
        <v>2.2592085012614236</v>
      </c>
      <c r="EL6" s="191">
        <v>2.3508091786002758</v>
      </c>
      <c r="EM6" s="191">
        <v>1.9844865863192798</v>
      </c>
      <c r="EN6" s="191">
        <v>2.5242456576359373</v>
      </c>
      <c r="EO6" s="191">
        <v>1.3216191698352859</v>
      </c>
      <c r="EP6" s="191">
        <v>1.5208531866931057</v>
      </c>
      <c r="EQ6" s="191">
        <v>1.1659280170919448</v>
      </c>
      <c r="ER6" s="191">
        <v>1.3816285943268074</v>
      </c>
      <c r="ES6" s="191">
        <v>1.0316121317911304</v>
      </c>
      <c r="ET6" s="191">
        <v>0.96084178226387662</v>
      </c>
      <c r="EU6" s="191">
        <v>0.53018577170159142</v>
      </c>
      <c r="EV6" s="191">
        <v>3.9105646986828528</v>
      </c>
      <c r="EW6" s="191">
        <v>4.7317395104888433</v>
      </c>
      <c r="EX6" s="191">
        <v>1.7802186488650928</v>
      </c>
      <c r="EY6" s="191">
        <v>1.738580072497145</v>
      </c>
      <c r="EZ6" s="191">
        <v>-0.53185392936814324</v>
      </c>
      <c r="FA6" s="191">
        <v>0.6191284912281203</v>
      </c>
      <c r="FB6" s="191">
        <v>6.8370444686265692</v>
      </c>
      <c r="FC6" s="191">
        <v>-1.3392681594947469</v>
      </c>
      <c r="FD6" s="191">
        <v>-0.86726591078599569</v>
      </c>
      <c r="FE6" s="191">
        <v>-1.1760957820063531</v>
      </c>
      <c r="FF6" s="191">
        <v>-2.2770274004125861</v>
      </c>
      <c r="FG6" s="191">
        <v>9.2253733514652936E-2</v>
      </c>
      <c r="FH6" s="191">
        <v>-1.4024636947003772</v>
      </c>
      <c r="FI6" s="191">
        <v>-1.2794717812465279</v>
      </c>
      <c r="FJ6" s="191">
        <v>9.2841008967644356E-2</v>
      </c>
      <c r="FK6" s="191">
        <v>0.3422358270028969</v>
      </c>
      <c r="FL6" s="191">
        <v>2.3453712596464822</v>
      </c>
      <c r="FM6" s="191">
        <v>1.0851686494654071</v>
      </c>
      <c r="FN6" s="191">
        <v>0.70979291536393241</v>
      </c>
      <c r="FO6" s="192">
        <v>0.78178548017960559</v>
      </c>
      <c r="FP6" s="192">
        <v>1.0052737006806645</v>
      </c>
      <c r="FQ6" s="192">
        <v>1.4056561283211977E-2</v>
      </c>
      <c r="FR6" s="192">
        <v>2.4541926370410376</v>
      </c>
      <c r="FS6" s="192">
        <v>0.24362301219461102</v>
      </c>
      <c r="FT6" s="192">
        <v>1.8843919548490913</v>
      </c>
      <c r="FU6" s="192">
        <v>3.1841818018900625</v>
      </c>
      <c r="FV6" s="191">
        <v>4.0944576910655082</v>
      </c>
      <c r="FW6" s="191">
        <v>3.8299792648470179</v>
      </c>
      <c r="FX6" s="191">
        <v>3.2863870216175508</v>
      </c>
      <c r="FY6" s="191">
        <v>2.7749212996387396</v>
      </c>
      <c r="FZ6" s="191">
        <v>1.8424785266103871</v>
      </c>
      <c r="GA6" s="191">
        <v>1.1764525365037874</v>
      </c>
      <c r="GB6" s="191">
        <v>1.3910253110808455</v>
      </c>
      <c r="GC6" s="191">
        <v>3.9994082589221884</v>
      </c>
      <c r="GD6" s="191">
        <v>3.4127947184057534</v>
      </c>
      <c r="GE6" s="191">
        <v>3.8320660876111585</v>
      </c>
      <c r="GF6" s="191">
        <v>4.3156796109749846</v>
      </c>
      <c r="GG6" s="191">
        <v>4.9569735118026932</v>
      </c>
      <c r="GH6" s="191">
        <v>6.5017777500811036</v>
      </c>
      <c r="GI6" s="191">
        <v>6.8210111414898007</v>
      </c>
      <c r="GJ6" s="191">
        <v>7.9765644628201411</v>
      </c>
      <c r="GK6" s="191">
        <v>7.8794620314729542</v>
      </c>
    </row>
    <row r="7" spans="1:193" ht="15.75" customHeight="1">
      <c r="A7" s="185" t="s">
        <v>724</v>
      </c>
      <c r="B7" s="185" t="str">
        <f t="shared" si="0"/>
        <v>IT0004652175 Corp</v>
      </c>
      <c r="C7" s="185"/>
      <c r="D7" s="216">
        <f>DATEVALUE(_xll.BDP($B7,D$2))</f>
        <v>43023</v>
      </c>
      <c r="E7" s="217">
        <f>_xll.BDP(B7,"FLT_SPREAD")</f>
        <v>80</v>
      </c>
      <c r="F7" s="217">
        <f>_xll.BDP(B7,F$2)</f>
        <v>0.66200000000000003</v>
      </c>
      <c r="G7" s="218">
        <f>_xll.BDP($B7,G$2)</f>
        <v>100.795</v>
      </c>
      <c r="H7" s="104">
        <f t="shared" si="6"/>
        <v>100.80000000000001</v>
      </c>
      <c r="I7" s="218">
        <f>_xll.BDP($B7,I$2)</f>
        <v>100.80500000000001</v>
      </c>
      <c r="J7" s="219">
        <f>_xll.BDP(B7&amp;"@CBBT Corp",J$2)</f>
        <v>32.390823948873233</v>
      </c>
      <c r="K7" s="241">
        <f>_xll.BDP(B7&amp;"@CBBT Corp","ASSET_SWAP_SPD_MID")</f>
        <v>27.546494656714223</v>
      </c>
      <c r="L7" s="220">
        <f t="shared" si="1"/>
        <v>0.11786453256311638</v>
      </c>
      <c r="M7" s="220">
        <f t="shared" si="2"/>
        <v>16.980097921740981</v>
      </c>
      <c r="N7" s="221">
        <f t="shared" si="3"/>
        <v>15.410726027132252</v>
      </c>
      <c r="O7" s="222">
        <f t="shared" si="7"/>
        <v>4</v>
      </c>
      <c r="P7" s="222">
        <f t="shared" si="8"/>
        <v>5</v>
      </c>
      <c r="Q7" s="223">
        <f t="shared" si="9"/>
        <v>42948</v>
      </c>
      <c r="R7" s="224">
        <f t="shared" si="10"/>
        <v>9.6457285573795772</v>
      </c>
      <c r="S7" s="223">
        <f t="shared" si="11"/>
        <v>43040</v>
      </c>
      <c r="T7" s="224">
        <f t="shared" si="12"/>
        <v>18.6425549776629</v>
      </c>
      <c r="U7" s="225">
        <f>_xll.MKV($V$1&amp;$A7, U$2)</f>
        <v>1.0106999999999999</v>
      </c>
      <c r="V7" s="225">
        <f>_xll.MKV($V$1&amp;$A7, V$2)</f>
        <v>100.797</v>
      </c>
      <c r="W7" s="226">
        <f>DATEVALUE(_xll.BDP($B7,W$2))</f>
        <v>42658</v>
      </c>
      <c r="X7" s="226">
        <f>DATEVALUE(_xll.BDP($B7,X$2))</f>
        <v>42475</v>
      </c>
      <c r="Y7" s="227">
        <f t="shared" si="4"/>
        <v>0.32919125683060113</v>
      </c>
      <c r="Z7" s="228">
        <f t="shared" si="5"/>
        <v>1.8087431693989073E-3</v>
      </c>
      <c r="AA7" s="228"/>
      <c r="AD7" s="238">
        <v>14.554930664572037</v>
      </c>
      <c r="AE7" s="188">
        <v>43023</v>
      </c>
      <c r="AF7" s="189">
        <v>15.433656514416104</v>
      </c>
      <c r="AG7" s="189">
        <v>15.946509017425136</v>
      </c>
      <c r="AH7" s="189">
        <v>17.255818465551176</v>
      </c>
      <c r="AI7" s="189">
        <v>17.065998542268993</v>
      </c>
      <c r="AJ7" s="189">
        <v>17.784160993123258</v>
      </c>
      <c r="AK7" s="189">
        <v>17.295704943112753</v>
      </c>
      <c r="AL7" s="189">
        <v>18.556493752556712</v>
      </c>
      <c r="AM7" s="189">
        <v>15.625125379335074</v>
      </c>
      <c r="AN7" s="189">
        <v>14.472474791691024</v>
      </c>
      <c r="AO7" s="189">
        <v>10.320188828926437</v>
      </c>
      <c r="AP7" s="189">
        <v>9.297945207677536</v>
      </c>
      <c r="AQ7" s="189">
        <v>12.104550202366362</v>
      </c>
      <c r="AR7" s="189">
        <v>13.025756602247629</v>
      </c>
      <c r="AS7" s="189">
        <v>13.509953966225911</v>
      </c>
      <c r="AT7" s="189">
        <v>13.607926085342182</v>
      </c>
      <c r="AU7" s="189">
        <v>14.381262330776149</v>
      </c>
      <c r="AV7" s="189">
        <v>10.075354973263966</v>
      </c>
      <c r="AW7" s="189">
        <v>7.4567096193151663</v>
      </c>
      <c r="AX7" s="189">
        <v>8.7830141429816564</v>
      </c>
      <c r="AY7" s="189">
        <v>9.1137973122063549</v>
      </c>
      <c r="AZ7" s="189">
        <v>8.8950478542167417</v>
      </c>
      <c r="BA7" s="189">
        <v>11.666279977719487</v>
      </c>
      <c r="BB7" s="189">
        <v>11.125752333047618</v>
      </c>
      <c r="BC7" s="189">
        <v>11.684105154277745</v>
      </c>
      <c r="BD7" s="189">
        <v>10.583784418122217</v>
      </c>
      <c r="BE7" s="189">
        <v>10.142696888034816</v>
      </c>
      <c r="BF7" s="189">
        <v>10.012115793292601</v>
      </c>
      <c r="BG7" s="189">
        <v>9.9757237866315727</v>
      </c>
      <c r="BH7" s="189">
        <v>8.6312967004368133</v>
      </c>
      <c r="BI7" s="189">
        <v>7.9732059133257707</v>
      </c>
      <c r="BJ7" s="189">
        <v>4.8205255267361409</v>
      </c>
      <c r="BK7" s="189">
        <v>6.7325118944995381</v>
      </c>
      <c r="BL7" s="189">
        <v>7.4553334501750683</v>
      </c>
      <c r="BM7" s="189">
        <v>8.4893462095834131</v>
      </c>
      <c r="BN7" s="189">
        <v>8.0977509397091119</v>
      </c>
      <c r="BO7" s="189">
        <v>6.990048024301057</v>
      </c>
      <c r="BP7" s="189">
        <v>8.8695009576649113</v>
      </c>
      <c r="BQ7" s="189">
        <v>6.5079755638189525</v>
      </c>
      <c r="BR7" s="189">
        <v>6.504682540090009</v>
      </c>
      <c r="BS7" s="189">
        <v>6.7439560678247616</v>
      </c>
      <c r="BT7" s="189">
        <v>7.2104361051377595</v>
      </c>
      <c r="BU7" s="189">
        <v>6.9592201661776798</v>
      </c>
      <c r="BV7" s="189">
        <v>5.3491445195808325</v>
      </c>
      <c r="BW7" s="189">
        <v>2.2383653390794507</v>
      </c>
      <c r="BX7" s="189">
        <v>4.2286977936968384</v>
      </c>
      <c r="BY7" s="189">
        <v>4.065706009450107</v>
      </c>
      <c r="BZ7" s="189">
        <v>2.8450649828571422</v>
      </c>
      <c r="CA7" s="189">
        <v>2.2271574926428812</v>
      </c>
      <c r="CB7" s="189">
        <v>1.2645409189394883</v>
      </c>
      <c r="CC7" s="189">
        <v>1.3427548634834814</v>
      </c>
      <c r="CD7" s="189">
        <v>0.80164527860497969</v>
      </c>
      <c r="CE7" s="189">
        <v>1.7680162335374447</v>
      </c>
      <c r="CF7" s="189">
        <v>1.0176432148209962</v>
      </c>
      <c r="CG7" s="189">
        <v>1.1307306790463336</v>
      </c>
      <c r="CH7" s="189">
        <v>1.0529057301540696</v>
      </c>
      <c r="CI7" s="189">
        <v>5.5112744514147494E-2</v>
      </c>
      <c r="CJ7" s="189">
        <v>0.49219981719892303</v>
      </c>
      <c r="CK7" s="189">
        <v>3.1485284760051826</v>
      </c>
      <c r="CL7" s="189">
        <v>0.62560422883866806</v>
      </c>
      <c r="CM7" s="189">
        <v>1.5407564676036642</v>
      </c>
      <c r="CN7" s="189">
        <v>1.3096363000275346</v>
      </c>
      <c r="CO7" s="189">
        <v>0.8067509232907355</v>
      </c>
      <c r="CP7" s="189">
        <v>0.14790315687154276</v>
      </c>
      <c r="CQ7" s="189">
        <v>0.20648274899455288</v>
      </c>
      <c r="CR7" s="189">
        <v>0.65610834754743053</v>
      </c>
      <c r="CS7" s="189">
        <v>0.64323430490943423</v>
      </c>
      <c r="CT7" s="189">
        <v>1.6427206712626585</v>
      </c>
      <c r="CU7" s="189">
        <v>-0.32986985229965171</v>
      </c>
      <c r="CV7" s="189">
        <v>-1.4594986644350811</v>
      </c>
      <c r="CW7" s="189">
        <v>-0.3140106375245324</v>
      </c>
      <c r="CX7" s="189">
        <v>0.29528899878797432</v>
      </c>
      <c r="CY7" s="189">
        <v>-0.16147921121547171</v>
      </c>
      <c r="CZ7" s="189">
        <v>-0.48064673741507136</v>
      </c>
      <c r="DA7" s="189">
        <v>-0.72867348571353574</v>
      </c>
      <c r="DB7" s="189">
        <v>0.64094902864706427</v>
      </c>
      <c r="DC7" s="189">
        <v>0.83922400412132703</v>
      </c>
      <c r="DD7" s="189">
        <v>1.3555958513549911</v>
      </c>
      <c r="DE7" s="189">
        <v>0.10846161230130491</v>
      </c>
      <c r="DF7" s="189">
        <v>-6.7027923819587443E-2</v>
      </c>
      <c r="DG7" s="189">
        <v>-0.5342269470649228</v>
      </c>
      <c r="DH7" s="189">
        <v>0.52282563973628271</v>
      </c>
      <c r="DI7" s="189">
        <v>0.29367309997999058</v>
      </c>
      <c r="DJ7" s="189">
        <v>0.3664747187345867</v>
      </c>
      <c r="DK7" s="189">
        <v>-0.96148257447441665</v>
      </c>
      <c r="DL7" s="189">
        <v>1.6549824187761075</v>
      </c>
      <c r="DM7" s="189">
        <v>3.2738675151549472</v>
      </c>
      <c r="DN7" s="189">
        <v>4.5842909208018909</v>
      </c>
      <c r="DO7" s="189">
        <v>5.8961765373765829</v>
      </c>
      <c r="DP7" s="189">
        <v>5.50460781279277</v>
      </c>
      <c r="DQ7" s="189">
        <v>6.5078382823734557</v>
      </c>
      <c r="DR7" s="189">
        <v>5.8897240951417444</v>
      </c>
      <c r="DS7" s="189">
        <v>3.5908522234931297</v>
      </c>
      <c r="DT7" s="189">
        <v>3.2195553421497323</v>
      </c>
      <c r="DU7" s="189">
        <v>4.1247586299321242</v>
      </c>
      <c r="DV7" s="189">
        <v>3.920635919676144</v>
      </c>
      <c r="DW7" s="189">
        <v>5.2420180588519685</v>
      </c>
      <c r="DX7" s="189">
        <v>4.3622127812322589</v>
      </c>
      <c r="DY7" s="189">
        <v>4.1335357966542432</v>
      </c>
      <c r="DZ7" s="189">
        <v>3.3611973882779864</v>
      </c>
      <c r="EA7" s="191" t="s">
        <v>663</v>
      </c>
      <c r="EB7" s="191">
        <v>4.9005775757562446</v>
      </c>
      <c r="EC7" s="191">
        <v>2.174714693448184</v>
      </c>
      <c r="ED7" s="191">
        <v>2.8592433977825706</v>
      </c>
      <c r="EE7" s="191">
        <v>1.5077616940263638</v>
      </c>
      <c r="EF7" s="191">
        <v>3.5223666282128363</v>
      </c>
      <c r="EG7" s="191">
        <v>3.2119530982976148</v>
      </c>
      <c r="EH7" s="191">
        <v>2.2868683325147394</v>
      </c>
      <c r="EI7" s="191">
        <v>1.6424129980564395</v>
      </c>
      <c r="EJ7" s="191">
        <v>0.43264307955412029</v>
      </c>
      <c r="EK7" s="191">
        <v>3.4382708230196375</v>
      </c>
      <c r="EL7" s="191">
        <v>3.9812691645631144</v>
      </c>
      <c r="EM7" s="191">
        <v>2.8976600649697044</v>
      </c>
      <c r="EN7" s="191">
        <v>4.7018931870593832</v>
      </c>
      <c r="EO7" s="191">
        <v>1.6962777699262901</v>
      </c>
      <c r="EP7" s="191">
        <v>2.3584547130914606</v>
      </c>
      <c r="EQ7" s="191">
        <v>1.7923023315868782</v>
      </c>
      <c r="ER7" s="191">
        <v>2.7498075652734189</v>
      </c>
      <c r="ES7" s="191">
        <v>2.802101564835894</v>
      </c>
      <c r="ET7" s="191">
        <v>2.8047747303945352</v>
      </c>
      <c r="EU7" s="191">
        <v>1.1362362040219045</v>
      </c>
      <c r="EV7" s="191">
        <v>0.51444166926680901</v>
      </c>
      <c r="EW7" s="191">
        <v>3.6517153018335344</v>
      </c>
      <c r="EX7" s="191">
        <v>4.549134013414502E-3</v>
      </c>
      <c r="EY7" s="191">
        <v>-0.46391275771785523</v>
      </c>
      <c r="EZ7" s="191">
        <v>1.739024658599126</v>
      </c>
      <c r="FA7" s="191">
        <v>1.6434353275683904</v>
      </c>
      <c r="FB7" s="191">
        <v>3.2176791652374259</v>
      </c>
      <c r="FC7" s="191">
        <v>-1.8550505740893666</v>
      </c>
      <c r="FD7" s="191">
        <v>-2.1016400585135973</v>
      </c>
      <c r="FE7" s="191">
        <v>-2.7086192301748557</v>
      </c>
      <c r="FF7" s="191">
        <v>-0.42407357166469328</v>
      </c>
      <c r="FG7" s="191">
        <v>1.1440154616087588</v>
      </c>
      <c r="FH7" s="191">
        <v>0.60007440832271897</v>
      </c>
      <c r="FI7" s="191">
        <v>-2.0092537836424764</v>
      </c>
      <c r="FJ7" s="191">
        <v>-1.2248541835694677</v>
      </c>
      <c r="FK7" s="191">
        <v>-0.3447987124505989</v>
      </c>
      <c r="FL7" s="191">
        <v>0.43831055847311795</v>
      </c>
      <c r="FM7" s="191">
        <v>-0.3468843164824964</v>
      </c>
      <c r="FN7" s="191">
        <v>-0.37353031196022002</v>
      </c>
      <c r="FO7" s="192">
        <v>-0.90936110380703816</v>
      </c>
      <c r="FP7" s="192">
        <v>0.25937485840487717</v>
      </c>
      <c r="FQ7" s="192">
        <v>-0.6718753933079693</v>
      </c>
      <c r="FR7" s="192">
        <v>2.2784385733850421</v>
      </c>
      <c r="FS7" s="192">
        <v>1.6132264835209433</v>
      </c>
      <c r="FT7" s="192">
        <v>1.916914144665391</v>
      </c>
      <c r="FU7" s="192">
        <v>2.6478257823594991</v>
      </c>
      <c r="FV7" s="191">
        <v>4.6613814191344334</v>
      </c>
      <c r="FW7" s="191">
        <v>3.5183205828739794</v>
      </c>
      <c r="FX7" s="191">
        <v>2.8829390548967062</v>
      </c>
      <c r="FY7" s="191">
        <v>2.4163664215929677</v>
      </c>
      <c r="FZ7" s="191">
        <v>1.7124445836613216</v>
      </c>
      <c r="GA7" s="191">
        <v>1.367047161480528</v>
      </c>
      <c r="GB7" s="191">
        <v>1.1776059833068704</v>
      </c>
      <c r="GC7" s="191">
        <v>3.8309604086111388</v>
      </c>
      <c r="GD7" s="191">
        <v>3.9484439128422917</v>
      </c>
      <c r="GE7" s="191">
        <v>4.078944995179449</v>
      </c>
      <c r="GF7" s="191">
        <v>4.5760933160834618</v>
      </c>
      <c r="GG7" s="191">
        <v>5.3388640487451156</v>
      </c>
      <c r="GH7" s="191">
        <v>5.5965852892088943</v>
      </c>
      <c r="GI7" s="191">
        <v>6.6193366167444783</v>
      </c>
      <c r="GJ7" s="191">
        <v>7.15396350404807</v>
      </c>
      <c r="GK7" s="191">
        <v>7.1966139540992025</v>
      </c>
    </row>
    <row r="8" spans="1:193" ht="15.75" customHeight="1">
      <c r="A8" s="185" t="s">
        <v>725</v>
      </c>
      <c r="B8" s="185" t="str">
        <f t="shared" si="0"/>
        <v>IT0004716319 Corp</v>
      </c>
      <c r="C8" s="185"/>
      <c r="D8" s="216">
        <f>DATEVALUE(_xll.BDP($B8,D$2))</f>
        <v>43205</v>
      </c>
      <c r="E8" s="217">
        <f>_xll.BDP(B8,"FLT_SPREAD")</f>
        <v>100</v>
      </c>
      <c r="F8" s="217">
        <f>_xll.BDP(B8,F$2)</f>
        <v>0.86199999999999999</v>
      </c>
      <c r="G8" s="218">
        <f>_xll.BDP($B8,G$2)</f>
        <v>101.36499999999999</v>
      </c>
      <c r="H8" s="104">
        <f t="shared" si="6"/>
        <v>101.37</v>
      </c>
      <c r="I8" s="218">
        <f>_xll.BDP($B8,I$2)</f>
        <v>101.375</v>
      </c>
      <c r="J8" s="219">
        <f>_xll.BDP(B8&amp;"@CBBT Corp",J$2)</f>
        <v>29.681399603884394</v>
      </c>
      <c r="K8" s="241">
        <f>_xll.BDP(B8&amp;"@CBBT Corp","ASSET_SWAP_SPD_MID")</f>
        <v>32.637392134124418</v>
      </c>
      <c r="L8" s="220">
        <f t="shared" si="1"/>
        <v>-0.4881656107271557</v>
      </c>
      <c r="M8" s="220">
        <f t="shared" si="2"/>
        <v>29.720071447628889</v>
      </c>
      <c r="N8" s="221">
        <f t="shared" si="3"/>
        <v>-3.8671843744495504E-2</v>
      </c>
      <c r="O8" s="222">
        <f t="shared" si="7"/>
        <v>6</v>
      </c>
      <c r="P8" s="222">
        <f t="shared" si="8"/>
        <v>7</v>
      </c>
      <c r="Q8" s="223">
        <f t="shared" si="9"/>
        <v>43132</v>
      </c>
      <c r="R8" s="224">
        <f t="shared" si="10"/>
        <v>25.493959252998849</v>
      </c>
      <c r="S8" s="223">
        <f t="shared" si="11"/>
        <v>43235</v>
      </c>
      <c r="T8" s="224">
        <f t="shared" si="12"/>
        <v>31.456829883778223</v>
      </c>
      <c r="U8" s="225">
        <f>_xll.MKV($V$1&amp;$A8, U$2)</f>
        <v>1.5066999999999999</v>
      </c>
      <c r="V8" s="225">
        <f>_xll.MKV($V$1&amp;$A8, V$2)</f>
        <v>101.375</v>
      </c>
      <c r="W8" s="226">
        <f>DATEVALUE(_xll.BDP($B8,W$2))</f>
        <v>42658</v>
      </c>
      <c r="X8" s="226">
        <f>DATEVALUE(_xll.BDP($B8,X$2))</f>
        <v>42475</v>
      </c>
      <c r="Y8" s="227">
        <f t="shared" si="4"/>
        <v>0.42864480874316935</v>
      </c>
      <c r="Z8" s="228">
        <f t="shared" si="5"/>
        <v>2.355191256830601E-3</v>
      </c>
      <c r="AA8" s="228"/>
      <c r="AD8" s="238">
        <v>-3.5362176855891434</v>
      </c>
      <c r="AE8" s="188">
        <v>43205</v>
      </c>
      <c r="AF8" s="189">
        <v>2.5823988054018088E-2</v>
      </c>
      <c r="AG8" s="189">
        <v>-0.27238975825757805</v>
      </c>
      <c r="AH8" s="189">
        <v>0.29058609918438094</v>
      </c>
      <c r="AI8" s="189">
        <v>-0.25050077684719696</v>
      </c>
      <c r="AJ8" s="189">
        <v>0.95617746398184877</v>
      </c>
      <c r="AK8" s="189">
        <v>-0.56348274831482925</v>
      </c>
      <c r="AL8" s="189">
        <v>-1.0129071974854291</v>
      </c>
      <c r="AM8" s="189">
        <v>-2.5365435819771847</v>
      </c>
      <c r="AN8" s="189">
        <v>-3.6302732604865184</v>
      </c>
      <c r="AO8" s="189">
        <v>-5.138984472538084</v>
      </c>
      <c r="AP8" s="189">
        <v>-5.22206029349665</v>
      </c>
      <c r="AQ8" s="189">
        <v>-3.6875185698620783</v>
      </c>
      <c r="AR8" s="189">
        <v>-2.5157886296987932</v>
      </c>
      <c r="AS8" s="189">
        <v>-2.7390551723600467</v>
      </c>
      <c r="AT8" s="189">
        <v>-3.0794166123949438</v>
      </c>
      <c r="AU8" s="189">
        <v>-3.7406755814401293</v>
      </c>
      <c r="AV8" s="189">
        <v>-2.4708162932356466</v>
      </c>
      <c r="AW8" s="189">
        <v>-1.5405865044065976</v>
      </c>
      <c r="AX8" s="189">
        <v>-1.9840739801916492</v>
      </c>
      <c r="AY8" s="189">
        <v>-3.2209799937800483</v>
      </c>
      <c r="AZ8" s="189">
        <v>-1.8458575768340992</v>
      </c>
      <c r="BA8" s="189">
        <v>0.41378061986451087</v>
      </c>
      <c r="BB8" s="189">
        <v>-0.86227503102058733</v>
      </c>
      <c r="BC8" s="189">
        <v>-0.14197269827340619</v>
      </c>
      <c r="BD8" s="189">
        <v>-1.2243030701911763</v>
      </c>
      <c r="BE8" s="189">
        <v>-1.1889631842273118</v>
      </c>
      <c r="BF8" s="189">
        <v>-1.8990270761853907</v>
      </c>
      <c r="BG8" s="189">
        <v>-1.5205253720108658</v>
      </c>
      <c r="BH8" s="189">
        <v>-2.3667065808085326</v>
      </c>
      <c r="BI8" s="189">
        <v>-2.9391815221838939</v>
      </c>
      <c r="BJ8" s="189">
        <v>-3.6853344326295172</v>
      </c>
      <c r="BK8" s="189">
        <v>-2.4906786989222383</v>
      </c>
      <c r="BL8" s="189">
        <v>-2.8593856258325019</v>
      </c>
      <c r="BM8" s="189">
        <v>-0.18820332375637605</v>
      </c>
      <c r="BN8" s="189">
        <v>-0.74556288225703327</v>
      </c>
      <c r="BO8" s="189">
        <v>-0.77381134930477202</v>
      </c>
      <c r="BP8" s="189">
        <v>-0.59156391818563492</v>
      </c>
      <c r="BQ8" s="189">
        <v>-2.2304010223688309</v>
      </c>
      <c r="BR8" s="189">
        <v>-0.55420652370987966</v>
      </c>
      <c r="BS8" s="189">
        <v>-1.5759976343180995</v>
      </c>
      <c r="BT8" s="189">
        <v>-1.5602292530453354</v>
      </c>
      <c r="BU8" s="189">
        <v>-1.8529775772562544</v>
      </c>
      <c r="BV8" s="189">
        <v>-0.33441750578982976</v>
      </c>
      <c r="BW8" s="189">
        <v>-4.1485109150675754</v>
      </c>
      <c r="BX8" s="189">
        <v>-2.831757300280195</v>
      </c>
      <c r="BY8" s="189">
        <v>-1.3840260352417815</v>
      </c>
      <c r="BZ8" s="189">
        <v>-2.2658824261255717</v>
      </c>
      <c r="CA8" s="189">
        <v>-3.1773164676768957</v>
      </c>
      <c r="CB8" s="189">
        <v>-2.0418963352896355</v>
      </c>
      <c r="CC8" s="189">
        <v>-1.5983680634285946</v>
      </c>
      <c r="CD8" s="189">
        <v>-1.2602215700107919</v>
      </c>
      <c r="CE8" s="189">
        <v>-0.88358158467421788</v>
      </c>
      <c r="CF8" s="189">
        <v>-1.4135848863182332</v>
      </c>
      <c r="CG8" s="189">
        <v>-1.2560572781628352</v>
      </c>
      <c r="CH8" s="189">
        <v>-1.8490381808443104</v>
      </c>
      <c r="CI8" s="189">
        <v>-1.586477211076712</v>
      </c>
      <c r="CJ8" s="189">
        <v>-1.4792076510145336</v>
      </c>
      <c r="CK8" s="189">
        <v>1.2557028431411794</v>
      </c>
      <c r="CL8" s="189">
        <v>0.70337373531771163</v>
      </c>
      <c r="CM8" s="189">
        <v>2.1763302649799101</v>
      </c>
      <c r="CN8" s="189">
        <v>2.1740135391321402</v>
      </c>
      <c r="CO8" s="189">
        <v>2.4530871751676315</v>
      </c>
      <c r="CP8" s="189">
        <v>1.5222309319261669</v>
      </c>
      <c r="CQ8" s="189">
        <v>2.0326528576771992</v>
      </c>
      <c r="CR8" s="189">
        <v>2.6388193360770202</v>
      </c>
      <c r="CS8" s="189">
        <v>2.3149046340757948</v>
      </c>
      <c r="CT8" s="189">
        <v>3.0532700153717158</v>
      </c>
      <c r="CU8" s="189">
        <v>3.0279573070881298</v>
      </c>
      <c r="CV8" s="189">
        <v>3.2146581683835365</v>
      </c>
      <c r="CW8" s="189">
        <v>4.0228616586317614</v>
      </c>
      <c r="CX8" s="189">
        <v>4.6475448909069073</v>
      </c>
      <c r="CY8" s="189">
        <v>3.6463501372475946</v>
      </c>
      <c r="CZ8" s="189">
        <v>3.9923645992019345</v>
      </c>
      <c r="DA8" s="189">
        <v>4.3406395726698292</v>
      </c>
      <c r="DB8" s="189">
        <v>4.8381474484984182</v>
      </c>
      <c r="DC8" s="189">
        <v>4.097753044501026</v>
      </c>
      <c r="DD8" s="189">
        <v>2.838933096791763</v>
      </c>
      <c r="DE8" s="189">
        <v>4.6258805975738255</v>
      </c>
      <c r="DF8" s="189">
        <v>3.9548641483225566</v>
      </c>
      <c r="DG8" s="189">
        <v>3.9620361275906646</v>
      </c>
      <c r="DH8" s="189">
        <v>4.4295155621136004</v>
      </c>
      <c r="DI8" s="189">
        <v>3.8971809375646487</v>
      </c>
      <c r="DJ8" s="189">
        <v>2.7760488944496871</v>
      </c>
      <c r="DK8" s="189">
        <v>2.8153353906926384</v>
      </c>
      <c r="DL8" s="189">
        <v>5.3128526282800053</v>
      </c>
      <c r="DM8" s="189">
        <v>6.8025056528569721</v>
      </c>
      <c r="DN8" s="189">
        <v>8.1522822748166845</v>
      </c>
      <c r="DO8" s="189">
        <v>8.9573309404807517</v>
      </c>
      <c r="DP8" s="189">
        <v>7.2223510176401078</v>
      </c>
      <c r="DQ8" s="189">
        <v>8.3047131150837927</v>
      </c>
      <c r="DR8" s="189">
        <v>8.6485466554516037</v>
      </c>
      <c r="DS8" s="189">
        <v>4.4877606431070944</v>
      </c>
      <c r="DT8" s="189">
        <v>7.1512076868035237</v>
      </c>
      <c r="DU8" s="189">
        <v>6.5183056120723322</v>
      </c>
      <c r="DV8" s="189">
        <v>5.0119473641411645</v>
      </c>
      <c r="DW8" s="189">
        <v>5.5060390008930824</v>
      </c>
      <c r="DX8" s="189">
        <v>6.5273492371242057</v>
      </c>
      <c r="DY8" s="189">
        <v>4.2367505177823048</v>
      </c>
      <c r="DZ8" s="189">
        <v>4.6149259077720046</v>
      </c>
      <c r="EA8" s="191">
        <v>5.9778236871541282</v>
      </c>
      <c r="EB8" s="191">
        <v>5.4133711786836258</v>
      </c>
      <c r="EC8" s="191">
        <v>3.8073522450895538</v>
      </c>
      <c r="ED8" s="191">
        <v>5.7310675054530051</v>
      </c>
      <c r="EE8" s="191">
        <v>2.3137487116625408</v>
      </c>
      <c r="EF8" s="191">
        <v>5.7690819500278536</v>
      </c>
      <c r="EG8" s="191">
        <v>5.5585867847202159</v>
      </c>
      <c r="EH8" s="191">
        <v>4.7140932432020932</v>
      </c>
      <c r="EI8" s="191">
        <v>5.4049943367713293</v>
      </c>
      <c r="EJ8" s="191">
        <v>4.9548139088399328</v>
      </c>
      <c r="EK8" s="191">
        <v>6.3948930880089705</v>
      </c>
      <c r="EL8" s="191">
        <v>5.9180633525722612</v>
      </c>
      <c r="EM8" s="191">
        <v>5.544038955952308</v>
      </c>
      <c r="EN8" s="191">
        <v>5.9380166662542511</v>
      </c>
      <c r="EO8" s="191">
        <v>5.9315932977478649</v>
      </c>
      <c r="EP8" s="191">
        <v>5.1550038995325878</v>
      </c>
      <c r="EQ8" s="191">
        <v>4.7015837328129688</v>
      </c>
      <c r="ER8" s="191">
        <v>6.3318010385377761</v>
      </c>
      <c r="ES8" s="191">
        <v>7.0155267723914019</v>
      </c>
      <c r="ET8" s="191">
        <v>5.8552157991689455</v>
      </c>
      <c r="EU8" s="191">
        <v>5.2287736447368705</v>
      </c>
      <c r="EV8" s="191">
        <v>4.1362011416696616</v>
      </c>
      <c r="EW8" s="191">
        <v>6.8338832424343199</v>
      </c>
      <c r="EX8" s="191">
        <v>4.8931391878180541</v>
      </c>
      <c r="EY8" s="191">
        <v>2.8292493234750182</v>
      </c>
      <c r="EZ8" s="191">
        <v>4.2348337759950034</v>
      </c>
      <c r="FA8" s="191">
        <v>5.6583685987310766</v>
      </c>
      <c r="FB8" s="191">
        <v>7.3901756347027998</v>
      </c>
      <c r="FC8" s="191">
        <v>1.6678254166948872</v>
      </c>
      <c r="FD8" s="191">
        <v>5.0347951803001223E-2</v>
      </c>
      <c r="FE8" s="191">
        <v>-1.3485586471037596</v>
      </c>
      <c r="FF8" s="191">
        <v>0.78362064121355068</v>
      </c>
      <c r="FG8" s="191">
        <v>2.5889756648852256</v>
      </c>
      <c r="FH8" s="191">
        <v>4.1258209376237627</v>
      </c>
      <c r="FI8" s="191">
        <v>-0.95300812096592935</v>
      </c>
      <c r="FJ8" s="191">
        <v>-0.40487930592116861</v>
      </c>
      <c r="FK8" s="191">
        <v>-0.65373706150727884</v>
      </c>
      <c r="FL8" s="191">
        <v>1.3121103787843023</v>
      </c>
      <c r="FM8" s="191">
        <v>0.46337956505729849</v>
      </c>
      <c r="FN8" s="191">
        <v>0.84329246163373206</v>
      </c>
      <c r="FO8" s="192">
        <v>-4.4961362121945569E-2</v>
      </c>
      <c r="FP8" s="192">
        <v>3.0064851215463833</v>
      </c>
      <c r="FQ8" s="192">
        <v>1.4075369477013169</v>
      </c>
      <c r="FR8" s="192">
        <v>4.7999458854314536</v>
      </c>
      <c r="FS8" s="192">
        <v>3.3908145552551581</v>
      </c>
      <c r="FT8" s="192">
        <v>3.9417802577579426</v>
      </c>
      <c r="FU8" s="192">
        <v>4.7986257095581877</v>
      </c>
      <c r="FV8" s="191">
        <v>6.5215209986466078</v>
      </c>
      <c r="FW8" s="191">
        <v>4.9792169983366872</v>
      </c>
      <c r="FX8" s="191">
        <v>4.9323840025536292</v>
      </c>
      <c r="FY8" s="191">
        <v>3.8912214557783429</v>
      </c>
      <c r="FZ8" s="191">
        <v>3.2604819141935497</v>
      </c>
      <c r="GA8" s="191">
        <v>2.4655697355171906</v>
      </c>
      <c r="GB8" s="191">
        <v>1.6058837019096845</v>
      </c>
      <c r="GC8" s="191">
        <v>5.0201130701602263</v>
      </c>
      <c r="GD8" s="191">
        <v>4.4516357322658386</v>
      </c>
      <c r="GE8" s="191">
        <v>4.4435223321426705</v>
      </c>
      <c r="GF8" s="191">
        <v>3.4545467258800358</v>
      </c>
      <c r="GG8" s="191">
        <v>4.3681332772195667</v>
      </c>
      <c r="GH8" s="191">
        <v>5.5609177059737505</v>
      </c>
      <c r="GI8" s="191">
        <v>5.9163857259966033</v>
      </c>
      <c r="GJ8" s="191">
        <v>6.9563617717783082</v>
      </c>
      <c r="GK8" s="191">
        <v>7.3232386881743636</v>
      </c>
    </row>
    <row r="9" spans="1:193" ht="15.75" customHeight="1">
      <c r="A9" s="185" t="s">
        <v>726</v>
      </c>
      <c r="B9" s="185" t="str">
        <f t="shared" si="0"/>
        <v>IT0004922909 Corp</v>
      </c>
      <c r="C9" s="185"/>
      <c r="D9" s="216">
        <f>DATEVALUE(_xll.BDP($B9,D$2))</f>
        <v>43405</v>
      </c>
      <c r="E9" s="217">
        <f>_xll.BDP(B9,"FLT_SPREAD")</f>
        <v>180</v>
      </c>
      <c r="F9" s="217">
        <f>_xll.BDP(B9,F$2)</f>
        <v>1.6579999999999999</v>
      </c>
      <c r="G9" s="218">
        <f>_xll.BDP($B9,G$2)</f>
        <v>103.41500000000001</v>
      </c>
      <c r="H9" s="104">
        <f t="shared" si="6"/>
        <v>103.42250000000001</v>
      </c>
      <c r="I9" s="218">
        <f>_xll.BDP($B9,I$2)</f>
        <v>103.43</v>
      </c>
      <c r="J9" s="219">
        <f>_xll.BDP(B9&amp;"@CBBT Corp",J$2)</f>
        <v>36.673423550065301</v>
      </c>
      <c r="K9" s="241">
        <f>_xll.BDP(B9&amp;"@CBBT Corp","ASSET_SWAP_SPD_MID")</f>
        <v>45.757490307548217</v>
      </c>
      <c r="L9" s="220">
        <f t="shared" si="1"/>
        <v>-0.19704027856120115</v>
      </c>
      <c r="M9" s="220">
        <f t="shared" si="2"/>
        <v>35.672083084503605</v>
      </c>
      <c r="N9" s="221">
        <f t="shared" si="3"/>
        <v>1.0013404655616966</v>
      </c>
      <c r="O9" s="222">
        <f t="shared" si="7"/>
        <v>8</v>
      </c>
      <c r="P9" s="222">
        <f t="shared" si="8"/>
        <v>9</v>
      </c>
      <c r="Q9" s="223">
        <f t="shared" si="9"/>
        <v>43313</v>
      </c>
      <c r="R9" s="224">
        <f t="shared" si="10"/>
        <v>35.168566950552744</v>
      </c>
      <c r="S9" s="223">
        <f t="shared" si="11"/>
        <v>43435</v>
      </c>
      <c r="T9" s="224">
        <f t="shared" si="12"/>
        <v>35.836273128183237</v>
      </c>
      <c r="U9" s="225">
        <f>_xll.MKV($V$1&amp;$A9, U$2)</f>
        <v>2.0327999999999999</v>
      </c>
      <c r="V9" s="225">
        <f>_xll.MKV($V$1&amp;$A9, V$2)</f>
        <v>103.422</v>
      </c>
      <c r="W9" s="226">
        <f>DATEVALUE(_xll.BDP($B9,W$2))</f>
        <v>42675</v>
      </c>
      <c r="X9" s="226">
        <f>DATEVALUE(_xll.BDP($B9,X$2))</f>
        <v>42491</v>
      </c>
      <c r="Y9" s="227">
        <f t="shared" si="4"/>
        <v>0.74790217391304348</v>
      </c>
      <c r="Z9" s="228">
        <f t="shared" si="5"/>
        <v>4.5054347826086957E-3</v>
      </c>
      <c r="AA9" s="228"/>
      <c r="AD9" s="238">
        <v>-0.46699649595213089</v>
      </c>
      <c r="AE9" s="188">
        <v>43405</v>
      </c>
      <c r="AF9" s="189">
        <v>0.76788906245916166</v>
      </c>
      <c r="AG9" s="189">
        <v>0.36129090752173454</v>
      </c>
      <c r="AH9" s="189">
        <v>0.23006473969931562</v>
      </c>
      <c r="AI9" s="189">
        <v>-0.49996528500933124</v>
      </c>
      <c r="AJ9" s="189">
        <v>1.0099356403870203</v>
      </c>
      <c r="AK9" s="189">
        <v>1.5764782255196153</v>
      </c>
      <c r="AL9" s="189">
        <v>1.0306075715264811</v>
      </c>
      <c r="AM9" s="189">
        <v>-6.2757477826416164E-2</v>
      </c>
      <c r="AN9" s="189">
        <v>-0.72309230051625661</v>
      </c>
      <c r="AO9" s="189">
        <v>-1.8666352556786734</v>
      </c>
      <c r="AP9" s="189">
        <v>-1.3478854436777326</v>
      </c>
      <c r="AQ9" s="189">
        <v>-1.3806959271586479</v>
      </c>
      <c r="AR9" s="189">
        <v>-0.51275745312631216</v>
      </c>
      <c r="AS9" s="189">
        <v>-1.4131028450253851</v>
      </c>
      <c r="AT9" s="189">
        <v>-0.96546210900950769</v>
      </c>
      <c r="AU9" s="189">
        <v>-1.3709703711270009</v>
      </c>
      <c r="AV9" s="189">
        <v>7.0054592550519601E-2</v>
      </c>
      <c r="AW9" s="189">
        <v>0.38981207247867644</v>
      </c>
      <c r="AX9" s="189">
        <v>-1.0885448156618693</v>
      </c>
      <c r="AY9" s="189">
        <v>0.7492273914714076</v>
      </c>
      <c r="AZ9" s="189">
        <v>-0.91909990654493612</v>
      </c>
      <c r="BA9" s="189">
        <v>0.26106127994151507</v>
      </c>
      <c r="BB9" s="189">
        <v>-0.64602298434542149</v>
      </c>
      <c r="BC9" s="189">
        <v>3.9563730953460663E-2</v>
      </c>
      <c r="BD9" s="189">
        <v>-0.60655387076641176</v>
      </c>
      <c r="BE9" s="189">
        <v>0.18640937988431716</v>
      </c>
      <c r="BF9" s="189">
        <v>-0.35702249046425294</v>
      </c>
      <c r="BG9" s="189">
        <v>-0.49690084235562182</v>
      </c>
      <c r="BH9" s="189">
        <v>-0.96683083999163699</v>
      </c>
      <c r="BI9" s="189">
        <v>-2.3364113198036911</v>
      </c>
      <c r="BJ9" s="189">
        <v>0.64695666479434522</v>
      </c>
      <c r="BK9" s="189">
        <v>2.6693707469174726</v>
      </c>
      <c r="BL9" s="189">
        <v>3.0136268895152654</v>
      </c>
      <c r="BM9" s="189">
        <v>4.5085882438552431</v>
      </c>
      <c r="BN9" s="189">
        <v>4.8687355168944464</v>
      </c>
      <c r="BO9" s="189">
        <v>3.7536449989668625</v>
      </c>
      <c r="BP9" s="189">
        <v>4.5103912191844486</v>
      </c>
      <c r="BQ9" s="189">
        <v>2.6421242766578246</v>
      </c>
      <c r="BR9" s="189">
        <v>3.9609913086873902</v>
      </c>
      <c r="BS9" s="189">
        <v>2.8791083566860962</v>
      </c>
      <c r="BT9" s="189">
        <v>2.7250744397687257</v>
      </c>
      <c r="BU9" s="189">
        <v>3.1989802799458573</v>
      </c>
      <c r="BV9" s="189">
        <v>2.9537541254298674</v>
      </c>
      <c r="BW9" s="189">
        <v>2.985035977041548</v>
      </c>
      <c r="BX9" s="189">
        <v>1.688602749096944</v>
      </c>
      <c r="BY9" s="189">
        <v>2.9676909777113138</v>
      </c>
      <c r="BZ9" s="189">
        <v>2.8577941604584041</v>
      </c>
      <c r="CA9" s="189">
        <v>2.015724475272954</v>
      </c>
      <c r="CB9" s="189">
        <v>2.0603532834970508</v>
      </c>
      <c r="CC9" s="189">
        <v>2.36115419917342</v>
      </c>
      <c r="CD9" s="189">
        <v>2.1189177674986368</v>
      </c>
      <c r="CE9" s="189">
        <v>1.9952181662113091</v>
      </c>
      <c r="CF9" s="189">
        <v>2.3230196333851723</v>
      </c>
      <c r="CG9" s="189">
        <v>1.9779669376939637</v>
      </c>
      <c r="CH9" s="189">
        <v>1.4262293858131017</v>
      </c>
      <c r="CI9" s="189">
        <v>1.8424236012790871</v>
      </c>
      <c r="CJ9" s="189">
        <v>2.0057200799698762</v>
      </c>
      <c r="CK9" s="189">
        <v>3.2312924292453715</v>
      </c>
      <c r="CL9" s="189">
        <v>2.8145329582500835</v>
      </c>
      <c r="CM9" s="189">
        <v>4.316887021872958</v>
      </c>
      <c r="CN9" s="189">
        <v>3.9014739713498585</v>
      </c>
      <c r="CO9" s="189">
        <v>4.8725269649802669</v>
      </c>
      <c r="CP9" s="189">
        <v>4.4482133972499227</v>
      </c>
      <c r="CQ9" s="189">
        <v>7.091453717913403</v>
      </c>
      <c r="CR9" s="189">
        <v>6.6550318811097071</v>
      </c>
      <c r="CS9" s="189">
        <v>5.8694333320325427</v>
      </c>
      <c r="CT9" s="189">
        <v>7.460206773029249</v>
      </c>
      <c r="CU9" s="189">
        <v>7.3945686120876815</v>
      </c>
      <c r="CV9" s="189">
        <v>6.1793327406499046</v>
      </c>
      <c r="CW9" s="189">
        <v>6.1094525205620585</v>
      </c>
      <c r="CX9" s="189">
        <v>7.8307796999328545</v>
      </c>
      <c r="CY9" s="189">
        <v>6.0694156898226979</v>
      </c>
      <c r="CZ9" s="189">
        <v>6.6157194219872792</v>
      </c>
      <c r="DA9" s="189">
        <v>6.4306477877194652</v>
      </c>
      <c r="DB9" s="189">
        <v>6.9270464028645407</v>
      </c>
      <c r="DC9" s="189">
        <v>6.9978073691846348</v>
      </c>
      <c r="DD9" s="189">
        <v>7.183235806597672</v>
      </c>
      <c r="DE9" s="189">
        <v>7.6235231956454825</v>
      </c>
      <c r="DF9" s="189">
        <v>7.0145678087377163</v>
      </c>
      <c r="DG9" s="189">
        <v>6.9660687353940602</v>
      </c>
      <c r="DH9" s="189">
        <v>7.3572289082128535</v>
      </c>
      <c r="DI9" s="189">
        <v>7.6415124431525072</v>
      </c>
      <c r="DJ9" s="189">
        <v>7.2758942359893126</v>
      </c>
      <c r="DK9" s="189">
        <v>8.5684352298692659</v>
      </c>
      <c r="DL9" s="189">
        <v>9.0709095391649868</v>
      </c>
      <c r="DM9" s="189">
        <v>10.22730007648056</v>
      </c>
      <c r="DN9" s="189">
        <v>10.854838732149396</v>
      </c>
      <c r="DO9" s="189">
        <v>10.208185175803806</v>
      </c>
      <c r="DP9" s="189">
        <v>9.6381115710024545</v>
      </c>
      <c r="DQ9" s="189">
        <v>10.748251721583436</v>
      </c>
      <c r="DR9" s="189">
        <v>9.5353199794972312</v>
      </c>
      <c r="DS9" s="189">
        <v>6.5072690333703918</v>
      </c>
      <c r="DT9" s="189">
        <v>8.0728855520216456</v>
      </c>
      <c r="DU9" s="189">
        <v>9.1228394505145118</v>
      </c>
      <c r="DV9" s="189">
        <v>5.6788010753497673</v>
      </c>
      <c r="DW9" s="189">
        <v>6.6593037426157267</v>
      </c>
      <c r="DX9" s="189">
        <v>9.1228394505145118</v>
      </c>
      <c r="DY9" s="189">
        <v>5.7940946307847128</v>
      </c>
      <c r="DZ9" s="189">
        <v>5.9137837597604701</v>
      </c>
      <c r="EA9" s="191">
        <v>5.8931600834581133</v>
      </c>
      <c r="EB9" s="191">
        <v>5.4050519988906771</v>
      </c>
      <c r="EC9" s="191">
        <v>4.6356831630089417</v>
      </c>
      <c r="ED9" s="191">
        <v>5.3154291934893401</v>
      </c>
      <c r="EE9" s="191">
        <v>3.2597204492404153</v>
      </c>
      <c r="EF9" s="191">
        <v>5.6630470853726962</v>
      </c>
      <c r="EG9" s="191">
        <v>5.9606839911399589</v>
      </c>
      <c r="EH9" s="191">
        <v>5.8644359728621041</v>
      </c>
      <c r="EI9" s="191">
        <v>6.0787575081649763</v>
      </c>
      <c r="EJ9" s="191">
        <v>5.557139105431478</v>
      </c>
      <c r="EK9" s="191">
        <v>7.1603828118141948</v>
      </c>
      <c r="EL9" s="191">
        <v>6.4019311082598005</v>
      </c>
      <c r="EM9" s="191">
        <v>6.6716157629066846</v>
      </c>
      <c r="EN9" s="191">
        <v>6.205549882972381</v>
      </c>
      <c r="EO9" s="191">
        <v>5.8585760007697907</v>
      </c>
      <c r="EP9" s="191">
        <v>5.871332375864565</v>
      </c>
      <c r="EQ9" s="191">
        <v>4.9908626148974005</v>
      </c>
      <c r="ER9" s="191">
        <v>6.4999350171895642</v>
      </c>
      <c r="ES9" s="191">
        <v>5.7801830670723167</v>
      </c>
      <c r="ET9" s="191">
        <v>6.0738348207590409</v>
      </c>
      <c r="EU9" s="191">
        <v>6.5990116898611451</v>
      </c>
      <c r="EV9" s="191">
        <v>8.4625033513472054</v>
      </c>
      <c r="EW9" s="191">
        <v>10.440032056730915</v>
      </c>
      <c r="EX9" s="191">
        <v>8.2633157083166964</v>
      </c>
      <c r="EY9" s="191">
        <v>6.1534457009468966</v>
      </c>
      <c r="EZ9" s="191">
        <v>5.6204633890104176</v>
      </c>
      <c r="FA9" s="191">
        <v>7.1828570735998838</v>
      </c>
      <c r="FB9" s="191">
        <v>4.9595107224805606</v>
      </c>
      <c r="FC9" s="191">
        <v>1.6447500627075939</v>
      </c>
      <c r="FD9" s="191">
        <v>1.0880907493897709</v>
      </c>
      <c r="FE9" s="191">
        <v>-8.929289856788003E-2</v>
      </c>
      <c r="FF9" s="191">
        <v>0.12269677904570919</v>
      </c>
      <c r="FG9" s="191">
        <v>1.5734695902640734</v>
      </c>
      <c r="FH9" s="191">
        <v>1.2380453221178094</v>
      </c>
      <c r="FI9" s="191">
        <v>-2.4799615062941704</v>
      </c>
      <c r="FJ9" s="191">
        <v>-1.0674466504169331</v>
      </c>
      <c r="FK9" s="191">
        <v>-1.9093404872341964</v>
      </c>
      <c r="FL9" s="191">
        <v>0.55577489717126483</v>
      </c>
      <c r="FM9" s="191">
        <v>0.29901165708976407</v>
      </c>
      <c r="FN9" s="191">
        <v>0.17974332764476486</v>
      </c>
      <c r="FO9" s="192">
        <v>1.0947482380198643</v>
      </c>
      <c r="FP9" s="192">
        <v>1.7560306993174812</v>
      </c>
      <c r="FQ9" s="192">
        <v>1.7873937908376689</v>
      </c>
      <c r="FR9" s="192">
        <v>3.7046102562062906</v>
      </c>
      <c r="FS9" s="192">
        <v>4.3558066057778895</v>
      </c>
      <c r="FT9" s="192">
        <v>4.6674638516513376</v>
      </c>
      <c r="FU9" s="192">
        <v>4.7476496633245553</v>
      </c>
      <c r="FV9" s="191">
        <v>6.7628522987256918</v>
      </c>
      <c r="FW9" s="191">
        <v>6.077719678097834</v>
      </c>
      <c r="FX9" s="191">
        <v>4.8006429740726944</v>
      </c>
      <c r="FY9" s="191">
        <v>3.9754148664961733</v>
      </c>
      <c r="FZ9" s="191">
        <v>3.340529244529634</v>
      </c>
      <c r="GA9" s="191">
        <v>2.5267378790852799</v>
      </c>
      <c r="GB9" s="191">
        <v>1.1857563552455606</v>
      </c>
      <c r="GC9" s="191">
        <v>3.2623803726896092</v>
      </c>
      <c r="GD9" s="191">
        <v>2.8265797760355831</v>
      </c>
      <c r="GE9" s="191">
        <v>3.4099550000168044</v>
      </c>
      <c r="GF9" s="191">
        <v>2.8640248043944858</v>
      </c>
      <c r="GG9" s="191">
        <v>3.7640796086882453</v>
      </c>
      <c r="GH9" s="191">
        <v>4.9817732973858213</v>
      </c>
      <c r="GI9" s="191">
        <v>4.8422015708380037</v>
      </c>
      <c r="GJ9" s="191">
        <v>6.7120325098678215</v>
      </c>
      <c r="GK9" s="191">
        <v>7.5219277441490711</v>
      </c>
    </row>
    <row r="10" spans="1:193" ht="15.75" customHeight="1">
      <c r="A10" s="185" t="s">
        <v>727</v>
      </c>
      <c r="B10" s="185" t="str">
        <f t="shared" si="0"/>
        <v>IT0005009839 Corp</v>
      </c>
      <c r="C10" s="185"/>
      <c r="D10" s="216">
        <f>DATEVALUE(_xll.BDP($B10,D$2))</f>
        <v>43784</v>
      </c>
      <c r="E10" s="217">
        <f>_xll.BDP(B10,"FLT_SPREAD")</f>
        <v>120</v>
      </c>
      <c r="F10" s="217">
        <f>_xll.BDP(B10,F$2)</f>
        <v>1.056</v>
      </c>
      <c r="G10" s="218">
        <f>_xll.BDP($B10,G$2)</f>
        <v>103.11</v>
      </c>
      <c r="H10" s="104">
        <f t="shared" si="6"/>
        <v>103.12</v>
      </c>
      <c r="I10" s="218">
        <f>_xll.BDP($B10,I$2)</f>
        <v>103.13</v>
      </c>
      <c r="J10" s="219">
        <f>_xll.BDP(B10&amp;"@CBBT Corp",J$2)</f>
        <v>43.660058695836376</v>
      </c>
      <c r="K10" s="241">
        <f>_xll.BDP(B10&amp;"@CBBT Corp","ASSET_SWAP_SPD_MID")</f>
        <v>32.740979763251161</v>
      </c>
      <c r="L10" s="220">
        <f t="shared" si="1"/>
        <v>0.10209493127026688</v>
      </c>
      <c r="M10" s="220">
        <f t="shared" si="2"/>
        <v>47.114888652869709</v>
      </c>
      <c r="N10" s="221">
        <f t="shared" si="3"/>
        <v>-3.4548299570333327</v>
      </c>
      <c r="O10" s="222">
        <f t="shared" si="7"/>
        <v>10</v>
      </c>
      <c r="P10" s="222">
        <f t="shared" si="8"/>
        <v>11</v>
      </c>
      <c r="Q10" s="223">
        <f t="shared" si="9"/>
        <v>43709</v>
      </c>
      <c r="R10" s="224">
        <f t="shared" si="10"/>
        <v>46.396033865138051</v>
      </c>
      <c r="S10" s="223">
        <f t="shared" si="11"/>
        <v>43800</v>
      </c>
      <c r="T10" s="224">
        <f t="shared" si="12"/>
        <v>47.268244340919132</v>
      </c>
      <c r="U10" s="225">
        <f>_xll.MKV($V$1&amp;$A10, U$2)</f>
        <v>3.0661999999999998</v>
      </c>
      <c r="V10" s="225">
        <f>_xll.MKV($V$1&amp;$A10, V$2)</f>
        <v>103.114</v>
      </c>
      <c r="W10" s="226">
        <f>DATEVALUE(_xll.BDP($B10,W$2))</f>
        <v>42689</v>
      </c>
      <c r="X10" s="226">
        <f>DATEVALUE(_xll.BDP($B10,X$2))</f>
        <v>42505</v>
      </c>
      <c r="Y10" s="227">
        <f t="shared" si="4"/>
        <v>0.43617391304347825</v>
      </c>
      <c r="Z10" s="228">
        <f t="shared" si="5"/>
        <v>2.8695652173913043E-3</v>
      </c>
      <c r="AA10" s="228"/>
      <c r="AD10" s="238">
        <v>-6.4005292708092583</v>
      </c>
      <c r="AE10" s="188">
        <v>43784</v>
      </c>
      <c r="AF10" s="189">
        <v>-3.5384521888447509</v>
      </c>
      <c r="AG10" s="189">
        <v>-3.6198170701524077</v>
      </c>
      <c r="AH10" s="189">
        <v>-3.6926687744647992</v>
      </c>
      <c r="AI10" s="189">
        <v>-4.2252418330374226</v>
      </c>
      <c r="AJ10" s="189">
        <v>-3.2963343082034413</v>
      </c>
      <c r="AK10" s="189">
        <v>-2.3024926994785488</v>
      </c>
      <c r="AL10" s="189">
        <v>-3.7448304247122692</v>
      </c>
      <c r="AM10" s="189">
        <v>-5.6702145032255657</v>
      </c>
      <c r="AN10" s="189">
        <v>-6.6887933129081105</v>
      </c>
      <c r="AO10" s="189">
        <v>-6.0471774309474142</v>
      </c>
      <c r="AP10" s="189">
        <v>-6.3112173920241688</v>
      </c>
      <c r="AQ10" s="189">
        <v>-4.9734626365497689</v>
      </c>
      <c r="AR10" s="189">
        <v>-3.5769378001169798</v>
      </c>
      <c r="AS10" s="189">
        <v>-3.3588438092735373</v>
      </c>
      <c r="AT10" s="189">
        <v>-4.1513315714811796</v>
      </c>
      <c r="AU10" s="189">
        <v>-3.8210034620399895</v>
      </c>
      <c r="AV10" s="189">
        <v>-2.5594230227837969</v>
      </c>
      <c r="AW10" s="189">
        <v>-1.551750420915738</v>
      </c>
      <c r="AX10" s="189">
        <v>-2.6056830567560851</v>
      </c>
      <c r="AY10" s="189">
        <v>-2.5748442966544829</v>
      </c>
      <c r="AZ10" s="189">
        <v>-3.9268111713747658</v>
      </c>
      <c r="BA10" s="189">
        <v>-0.7692279266511477</v>
      </c>
      <c r="BB10" s="189">
        <v>-1.1538742312143313</v>
      </c>
      <c r="BC10" s="189">
        <v>-1.013334900436945</v>
      </c>
      <c r="BD10" s="189">
        <v>-3.7486835304747501E-2</v>
      </c>
      <c r="BE10" s="189">
        <v>0.39864414309001006</v>
      </c>
      <c r="BF10" s="189">
        <v>-0.44176196572011861</v>
      </c>
      <c r="BG10" s="189">
        <v>0.87402537697423099</v>
      </c>
      <c r="BH10" s="189">
        <v>-1.3870492173642148</v>
      </c>
      <c r="BI10" s="189">
        <v>-1.7244485992016862</v>
      </c>
      <c r="BJ10" s="189">
        <v>-1.6820860292294597</v>
      </c>
      <c r="BK10" s="189">
        <v>0.26670615414836618</v>
      </c>
      <c r="BL10" s="189">
        <v>1.2167779482630579</v>
      </c>
      <c r="BM10" s="189">
        <v>2.7491152732672859</v>
      </c>
      <c r="BN10" s="189">
        <v>1.227992414601708</v>
      </c>
      <c r="BO10" s="189">
        <v>3.1650404330057995</v>
      </c>
      <c r="BP10" s="189">
        <v>1.4755877186342943</v>
      </c>
      <c r="BQ10" s="189">
        <v>-1.2307797061900558</v>
      </c>
      <c r="BR10" s="189">
        <v>-1.2677426304057562</v>
      </c>
      <c r="BS10" s="189">
        <v>-3.1063776959430953</v>
      </c>
      <c r="BT10" s="189">
        <v>-2.395399150216555</v>
      </c>
      <c r="BU10" s="189">
        <v>-3.0400561691829395</v>
      </c>
      <c r="BV10" s="189">
        <v>-3.37452658617336</v>
      </c>
      <c r="BW10" s="189">
        <v>-2.3959184991952043</v>
      </c>
      <c r="BX10" s="189">
        <v>0.23745019801857836</v>
      </c>
      <c r="BY10" s="189">
        <v>1.5068063367910227</v>
      </c>
      <c r="BZ10" s="189">
        <v>0.9758718795158714</v>
      </c>
      <c r="CA10" s="189">
        <v>0.43361319454221814</v>
      </c>
      <c r="CB10" s="189">
        <v>0.65614097324005627</v>
      </c>
      <c r="CC10" s="189">
        <v>0.26454014423028838</v>
      </c>
      <c r="CD10" s="189">
        <v>-0.39565951496460627</v>
      </c>
      <c r="CE10" s="189">
        <v>-1.3803422798741849</v>
      </c>
      <c r="CF10" s="189">
        <v>-1.7500398147947109</v>
      </c>
      <c r="CG10" s="189">
        <v>-1.9518527937368262</v>
      </c>
      <c r="CH10" s="189">
        <v>-2.9312581336854606</v>
      </c>
      <c r="CI10" s="189">
        <v>-1.5780721845688106</v>
      </c>
      <c r="CJ10" s="189">
        <v>-2.0779559135782861</v>
      </c>
      <c r="CK10" s="189">
        <v>-0.25341940036818045</v>
      </c>
      <c r="CL10" s="189">
        <v>-1.0784561690509875</v>
      </c>
      <c r="CM10" s="189">
        <v>-2.2449460160920864E-2</v>
      </c>
      <c r="CN10" s="189">
        <v>0.207458131219731</v>
      </c>
      <c r="CO10" s="189">
        <v>1.0299433880940612</v>
      </c>
      <c r="CP10" s="189">
        <v>0.63349790549523277</v>
      </c>
      <c r="CQ10" s="189">
        <v>4.0328196447746265</v>
      </c>
      <c r="CR10" s="189">
        <v>2.2105139057802958</v>
      </c>
      <c r="CS10" s="189">
        <v>2.2220017976210968</v>
      </c>
      <c r="CT10" s="189">
        <v>4.5653763463758708</v>
      </c>
      <c r="CU10" s="189">
        <v>2.9826945389148847</v>
      </c>
      <c r="CV10" s="189">
        <v>2.0553018023338296</v>
      </c>
      <c r="CW10" s="189">
        <v>1.8988207323381445</v>
      </c>
      <c r="CX10" s="189">
        <v>3.4245055594471623</v>
      </c>
      <c r="CY10" s="189">
        <v>1.8600720805236364</v>
      </c>
      <c r="CZ10" s="189">
        <v>1.7535169018078918</v>
      </c>
      <c r="DA10" s="189">
        <v>2.4539113752833188</v>
      </c>
      <c r="DB10" s="189">
        <v>3.7647170836587733</v>
      </c>
      <c r="DC10" s="189">
        <v>3.2861577135518516</v>
      </c>
      <c r="DD10" s="189">
        <v>3.1660390652123098</v>
      </c>
      <c r="DE10" s="189">
        <v>2.9130626478901505</v>
      </c>
      <c r="DF10" s="189">
        <v>1.3861758968528406</v>
      </c>
      <c r="DG10" s="189">
        <v>2.9295227889275424</v>
      </c>
      <c r="DH10" s="189">
        <v>3.3068651389917036</v>
      </c>
      <c r="DI10" s="189">
        <v>3.5343692343593673</v>
      </c>
      <c r="DJ10" s="189">
        <v>3.1677749670332318</v>
      </c>
      <c r="DK10" s="189">
        <v>5.1710727796431968</v>
      </c>
      <c r="DL10" s="189">
        <v>5.2395508481228106</v>
      </c>
      <c r="DM10" s="189">
        <v>7.0199967048285004</v>
      </c>
      <c r="DN10" s="189">
        <v>8.7639981319303999</v>
      </c>
      <c r="DO10" s="189">
        <v>10.374342823325023</v>
      </c>
      <c r="DP10" s="189">
        <v>7.127149012808303</v>
      </c>
      <c r="DQ10" s="189">
        <v>9.1433454390603686</v>
      </c>
      <c r="DR10" s="189">
        <v>6.7656964087251694</v>
      </c>
      <c r="DS10" s="189">
        <v>2.892367008532112</v>
      </c>
      <c r="DT10" s="189">
        <v>3.3341948687348193</v>
      </c>
      <c r="DU10" s="189">
        <v>2.8966008167732511</v>
      </c>
      <c r="DV10" s="189">
        <v>0.47622550384694762</v>
      </c>
      <c r="DW10" s="189">
        <v>-0.19550371470823791</v>
      </c>
      <c r="DX10" s="189">
        <v>2.8966008167732511</v>
      </c>
      <c r="DY10" s="189">
        <v>-0.87531604895492876</v>
      </c>
      <c r="DZ10" s="189">
        <v>0.21148363053788444</v>
      </c>
      <c r="EA10" s="191">
        <v>0.19696116879053704</v>
      </c>
      <c r="EB10" s="191">
        <v>-1.8901013930736141</v>
      </c>
      <c r="EC10" s="191">
        <v>-5.4066081137738351</v>
      </c>
      <c r="ED10" s="191">
        <v>-0.59796232251362369</v>
      </c>
      <c r="EE10" s="191">
        <v>-3.8249621418354494</v>
      </c>
      <c r="EF10" s="191">
        <v>1.2575406836363534</v>
      </c>
      <c r="EG10" s="191">
        <v>2.2243347182699864</v>
      </c>
      <c r="EH10" s="191">
        <v>1.7742085620581918</v>
      </c>
      <c r="EI10" s="191">
        <v>1.5134675520832594</v>
      </c>
      <c r="EJ10" s="191">
        <v>1.9133396415362967</v>
      </c>
      <c r="EK10" s="191">
        <v>3.7241456708927068</v>
      </c>
      <c r="EL10" s="191">
        <v>2.8580488143432596</v>
      </c>
      <c r="EM10" s="191">
        <v>3.8051735106968323</v>
      </c>
      <c r="EN10" s="191">
        <v>1.9336332028602179</v>
      </c>
      <c r="EO10" s="191">
        <v>1.2793441778670598</v>
      </c>
      <c r="EP10" s="191">
        <v>0.75394174138969561</v>
      </c>
      <c r="EQ10" s="191">
        <v>-0.45191618287270785</v>
      </c>
      <c r="ER10" s="191">
        <v>0.20423205423232815</v>
      </c>
      <c r="ES10" s="191">
        <v>-0.82564768701355007</v>
      </c>
      <c r="ET10" s="191">
        <v>-6.6097641325626455E-3</v>
      </c>
      <c r="EU10" s="191">
        <v>0.30514334912324514</v>
      </c>
      <c r="EV10" s="191">
        <v>4.0166098958926675</v>
      </c>
      <c r="EW10" s="191">
        <v>3.6285822766081708</v>
      </c>
      <c r="EX10" s="191">
        <v>2.842288160520134</v>
      </c>
      <c r="EY10" s="191">
        <v>1.3478844944678308</v>
      </c>
      <c r="EZ10" s="191">
        <v>-0.67724581172851828</v>
      </c>
      <c r="FA10" s="191">
        <v>2.85407363341211</v>
      </c>
      <c r="FB10" s="191">
        <v>-0.59563251121535998</v>
      </c>
      <c r="FC10" s="191">
        <v>-0.35714126626463027</v>
      </c>
      <c r="FD10" s="191">
        <v>-1.3082799068002622</v>
      </c>
      <c r="FE10" s="191">
        <v>-1.7928619228194194</v>
      </c>
      <c r="FF10" s="191">
        <v>-0.43793258942611502</v>
      </c>
      <c r="FG10" s="191">
        <v>0.88119280701404534</v>
      </c>
      <c r="FH10" s="191">
        <v>-0.99387205499955655</v>
      </c>
      <c r="FI10" s="191">
        <v>-5.5717105735289394</v>
      </c>
      <c r="FJ10" s="191">
        <v>-4.350586969330454</v>
      </c>
      <c r="FK10" s="191">
        <v>-4.7300228010411303</v>
      </c>
      <c r="FL10" s="191">
        <v>-2.3230932675282503</v>
      </c>
      <c r="FM10" s="191">
        <v>-1.6915014730577766</v>
      </c>
      <c r="FN10" s="191">
        <v>-2.5081143865527338</v>
      </c>
      <c r="FO10" s="192">
        <v>-0.46885794824751059</v>
      </c>
      <c r="FP10" s="192">
        <v>-4.9442678024966824E-2</v>
      </c>
      <c r="FQ10" s="192">
        <v>-1.5263279300130392</v>
      </c>
      <c r="FR10" s="192">
        <v>-1.4485104957099679</v>
      </c>
      <c r="FS10" s="192">
        <v>0.28279662797040928</v>
      </c>
      <c r="FT10" s="192">
        <v>2.3251000916862772</v>
      </c>
      <c r="FU10" s="192">
        <v>2.5070180541223301</v>
      </c>
      <c r="FV10" s="191">
        <v>4.3991565024705857</v>
      </c>
      <c r="FW10" s="191">
        <v>3.120685294821353</v>
      </c>
      <c r="FX10" s="191">
        <v>2.7512102937022931</v>
      </c>
      <c r="FY10" s="191">
        <v>1.5395868138367632</v>
      </c>
      <c r="FZ10" s="191">
        <v>0.8522925925363225</v>
      </c>
      <c r="GA10" s="191">
        <v>0.78754122178576935</v>
      </c>
      <c r="GB10" s="191">
        <v>-0.69770264090834289</v>
      </c>
      <c r="GC10" s="191">
        <v>-0.43998394710288835</v>
      </c>
      <c r="GD10" s="191">
        <v>0.10745347898473057</v>
      </c>
      <c r="GE10" s="191">
        <v>-8.0901620142846298E-2</v>
      </c>
      <c r="GF10" s="191">
        <v>-1.2959451368009596</v>
      </c>
      <c r="GG10" s="191">
        <v>0.13372129010389955</v>
      </c>
      <c r="GH10" s="191">
        <v>1.7472239280626596</v>
      </c>
      <c r="GI10" s="191">
        <v>1.2592695248218106</v>
      </c>
      <c r="GJ10" s="191">
        <v>1.584523717229132</v>
      </c>
      <c r="GK10" s="191">
        <v>1.3282736570064344</v>
      </c>
    </row>
    <row r="11" spans="1:193" ht="15.75" customHeight="1">
      <c r="A11" s="185" t="s">
        <v>728</v>
      </c>
      <c r="B11" s="185" t="str">
        <f t="shared" si="0"/>
        <v>IT0005056541 Corp</v>
      </c>
      <c r="C11" s="185"/>
      <c r="D11" s="216">
        <f>DATEVALUE(_xll.BDP($B11,D$2))</f>
        <v>44180</v>
      </c>
      <c r="E11" s="217">
        <f>_xll.BDP(B11,"FLT_SPREAD")</f>
        <v>80</v>
      </c>
      <c r="F11" s="217">
        <f>_xll.BDP(B11,F$2)</f>
        <v>0.64200000000000002</v>
      </c>
      <c r="G11" s="218">
        <f>_xll.BDP($B11,G$2)</f>
        <v>102.22499999999999</v>
      </c>
      <c r="H11" s="104">
        <f t="shared" si="6"/>
        <v>102.2375</v>
      </c>
      <c r="I11" s="218">
        <f>_xll.BDP($B11,I$2)</f>
        <v>102.25</v>
      </c>
      <c r="J11" s="219">
        <f>_xll.BDP(B11&amp;"@CBBT Corp",J$2)</f>
        <v>51.306697179931852</v>
      </c>
      <c r="K11" s="241">
        <f>_xll.BDP(B11&amp;"@CBBT Corp","ASSET_SWAP_SPD_MID")</f>
        <v>31.525405855165072</v>
      </c>
      <c r="L11" s="220">
        <f t="shared" si="1"/>
        <v>-0.34312499062776414</v>
      </c>
      <c r="M11" s="220">
        <f t="shared" si="2"/>
        <v>59.380410914846202</v>
      </c>
      <c r="N11" s="221">
        <f t="shared" si="3"/>
        <v>-8.0737137349143495</v>
      </c>
      <c r="O11" s="222">
        <f t="shared" si="7"/>
        <v>12</v>
      </c>
      <c r="P11" s="222">
        <f t="shared" si="8"/>
        <v>13</v>
      </c>
      <c r="Q11" s="223">
        <f t="shared" si="9"/>
        <v>44075</v>
      </c>
      <c r="R11" s="224">
        <f t="shared" si="10"/>
        <v>55.865705256011019</v>
      </c>
      <c r="S11" s="223">
        <f t="shared" si="11"/>
        <v>44256</v>
      </c>
      <c r="T11" s="224">
        <f t="shared" si="12"/>
        <v>61.924388344098332</v>
      </c>
      <c r="U11" s="225">
        <f>_xll.MKV($V$1&amp;$A11, U$2)</f>
        <v>4.1542000000000003</v>
      </c>
      <c r="V11" s="225">
        <f>_xll.MKV($V$1&amp;$A11, V$2)</f>
        <v>102.25</v>
      </c>
      <c r="W11" s="226">
        <f>DATEVALUE(_xll.BDP($B11,W$2))</f>
        <v>42719</v>
      </c>
      <c r="X11" s="226">
        <f>DATEVALUE(_xll.BDP($B11,X$2))</f>
        <v>42536</v>
      </c>
      <c r="Y11" s="227">
        <f t="shared" si="4"/>
        <v>0.21224590163934426</v>
      </c>
      <c r="Z11" s="228">
        <f t="shared" si="5"/>
        <v>1.7540983606557376E-3</v>
      </c>
      <c r="AA11" s="228"/>
      <c r="AD11" s="238">
        <v>-7.9330644986917704</v>
      </c>
      <c r="AE11" s="188">
        <v>44180</v>
      </c>
      <c r="AF11" s="189">
        <v>-7.877102770568726</v>
      </c>
      <c r="AG11" s="189">
        <v>-7.7890363730078604</v>
      </c>
      <c r="AH11" s="189">
        <v>-7.6243734306699693</v>
      </c>
      <c r="AI11" s="189">
        <v>-7.5391146883041529</v>
      </c>
      <c r="AJ11" s="189">
        <v>-7.013389056412791</v>
      </c>
      <c r="AK11" s="189">
        <v>-5.7967848035231171</v>
      </c>
      <c r="AL11" s="189">
        <v>-5.7525883079351345</v>
      </c>
      <c r="AM11" s="189">
        <v>-6.5796278437757181</v>
      </c>
      <c r="AN11" s="189">
        <v>-8.0477877148282886</v>
      </c>
      <c r="AO11" s="189">
        <v>-6.9081928717398284</v>
      </c>
      <c r="AP11" s="189">
        <v>-6.8903823803014248</v>
      </c>
      <c r="AQ11" s="189">
        <v>-4.2320030397311328</v>
      </c>
      <c r="AR11" s="189">
        <v>-1.8735575226458607</v>
      </c>
      <c r="AS11" s="189">
        <v>-1.5873518490251683</v>
      </c>
      <c r="AT11" s="189">
        <v>-2.4865316396986188</v>
      </c>
      <c r="AU11" s="189">
        <v>-2.7919997099724938</v>
      </c>
      <c r="AV11" s="189">
        <v>-1.5209689861023676</v>
      </c>
      <c r="AW11" s="189">
        <v>-2.4482856513834932</v>
      </c>
      <c r="AX11" s="189">
        <v>-2.4252719920904653</v>
      </c>
      <c r="AY11" s="189">
        <v>-2.2858526348415893</v>
      </c>
      <c r="AZ11" s="189">
        <v>-2.734498340347983</v>
      </c>
      <c r="BA11" s="189">
        <v>-1.1054488603202017</v>
      </c>
      <c r="BB11" s="189">
        <v>-2.4395593948401952</v>
      </c>
      <c r="BC11" s="189">
        <v>-2.9850114263050784</v>
      </c>
      <c r="BD11" s="189">
        <v>-1.6246122122271913</v>
      </c>
      <c r="BE11" s="189">
        <v>-1.753742899662754</v>
      </c>
      <c r="BF11" s="189">
        <v>-2.8468242950012836</v>
      </c>
      <c r="BG11" s="189">
        <v>-2.6150720774623579</v>
      </c>
      <c r="BH11" s="189">
        <v>-4.7223983142810653</v>
      </c>
      <c r="BI11" s="189">
        <v>-4.2780034388011074</v>
      </c>
      <c r="BJ11" s="189">
        <v>-5.911765711702472</v>
      </c>
      <c r="BK11" s="189">
        <v>-3.9030472022802911</v>
      </c>
      <c r="BL11" s="189">
        <v>-2.7140505724942869</v>
      </c>
      <c r="BM11" s="189">
        <v>-1.8661363359604763</v>
      </c>
      <c r="BN11" s="189">
        <v>-3.1359156405686406</v>
      </c>
      <c r="BO11" s="189">
        <v>-1.3894020477778852</v>
      </c>
      <c r="BP11" s="189">
        <v>-3.2093635248914154</v>
      </c>
      <c r="BQ11" s="189">
        <v>-0.31280068355400203</v>
      </c>
      <c r="BR11" s="189">
        <v>-0.65074378048844039</v>
      </c>
      <c r="BS11" s="189">
        <v>-2.2691581739199194</v>
      </c>
      <c r="BT11" s="189">
        <v>-4.0271945433973855</v>
      </c>
      <c r="BU11" s="189">
        <v>-3.0983593373522638</v>
      </c>
      <c r="BV11" s="189">
        <v>-4.2354780070210438</v>
      </c>
      <c r="BW11" s="189">
        <v>-3.1268916836109923</v>
      </c>
      <c r="BX11" s="189">
        <v>-0.4800319492648768</v>
      </c>
      <c r="BY11" s="189">
        <v>0.73302411037597892</v>
      </c>
      <c r="BZ11" s="189">
        <v>-0.60915675853757278</v>
      </c>
      <c r="CA11" s="189">
        <v>-1.5112945414687573</v>
      </c>
      <c r="CB11" s="189">
        <v>-2.6850333121481782</v>
      </c>
      <c r="CC11" s="189">
        <v>-2.6585667796916468</v>
      </c>
      <c r="CD11" s="189">
        <v>-1.9165978845208542</v>
      </c>
      <c r="CE11" s="189">
        <v>-4.7475835171423526</v>
      </c>
      <c r="CF11" s="189">
        <v>-5.7371397534703874</v>
      </c>
      <c r="CG11" s="189">
        <v>-6.9278820570236874</v>
      </c>
      <c r="CH11" s="189">
        <v>-7.8505653650606746</v>
      </c>
      <c r="CI11" s="189">
        <v>-6.6131758807428582</v>
      </c>
      <c r="CJ11" s="189">
        <v>-6.8872419371155331</v>
      </c>
      <c r="CK11" s="189">
        <v>-5.0059031551156679</v>
      </c>
      <c r="CL11" s="189">
        <v>-4.7430132450458018</v>
      </c>
      <c r="CM11" s="189">
        <v>-4.1440428427508067</v>
      </c>
      <c r="CN11" s="189">
        <v>-3.04815496721573</v>
      </c>
      <c r="CO11" s="189">
        <v>-2.0036692108485425</v>
      </c>
      <c r="CP11" s="189">
        <v>-3.1907473794337733</v>
      </c>
      <c r="CQ11" s="189">
        <v>-0.87626134714922443</v>
      </c>
      <c r="CR11" s="189">
        <v>-0.76455417605238551</v>
      </c>
      <c r="CS11" s="189">
        <v>-0.6686126884513186</v>
      </c>
      <c r="CT11" s="189">
        <v>1.0817346927995786</v>
      </c>
      <c r="CU11" s="189">
        <v>-1.8581845906891772</v>
      </c>
      <c r="CV11" s="189">
        <v>-3.3661960723496378</v>
      </c>
      <c r="CW11" s="189">
        <v>-2.1499056429523336</v>
      </c>
      <c r="CX11" s="189">
        <v>-1.4226687995387834</v>
      </c>
      <c r="CY11" s="189">
        <v>-3.7669193089048036</v>
      </c>
      <c r="CZ11" s="189">
        <v>-2.7596721518814604</v>
      </c>
      <c r="DA11" s="189">
        <v>-0.75472087643613861</v>
      </c>
      <c r="DB11" s="189">
        <v>-4.3770140031995197E-2</v>
      </c>
      <c r="DC11" s="189">
        <v>-0.53998548497666832</v>
      </c>
      <c r="DD11" s="189">
        <v>-1.255948198088447</v>
      </c>
      <c r="DE11" s="189">
        <v>-0.81589635543591044</v>
      </c>
      <c r="DF11" s="189">
        <v>-2.0172778073132491</v>
      </c>
      <c r="DG11" s="189">
        <v>0.28296444406480248</v>
      </c>
      <c r="DH11" s="189">
        <v>0.93929420838163935</v>
      </c>
      <c r="DI11" s="189">
        <v>1.1803065477054417</v>
      </c>
      <c r="DJ11" s="189">
        <v>1.0365659766262638</v>
      </c>
      <c r="DK11" s="189">
        <v>1.5594004361728082</v>
      </c>
      <c r="DL11" s="189">
        <v>2.5241015914739862</v>
      </c>
      <c r="DM11" s="189">
        <v>7.7140633817942614</v>
      </c>
      <c r="DN11" s="189">
        <v>7.589154000751499</v>
      </c>
      <c r="DO11" s="189">
        <v>9.1467625605695417</v>
      </c>
      <c r="DP11" s="189">
        <v>6.166598641889145</v>
      </c>
      <c r="DQ11" s="189">
        <v>7.1831424272872724</v>
      </c>
      <c r="DR11" s="189">
        <v>5.5143014446318972</v>
      </c>
      <c r="DS11" s="189">
        <v>-0.18415152113874456</v>
      </c>
      <c r="DT11" s="189">
        <v>-0.39717304762260142</v>
      </c>
      <c r="DU11" s="189">
        <v>-2.3706807495356657</v>
      </c>
      <c r="DV11" s="189">
        <v>-4.8830875498926218</v>
      </c>
      <c r="DW11" s="189">
        <v>-4.6975548162282621</v>
      </c>
      <c r="DX11" s="189">
        <v>-2.3706807495356657</v>
      </c>
      <c r="DY11" s="189">
        <v>-7.4385585616445269</v>
      </c>
      <c r="DZ11" s="189">
        <v>-6.6358945366230131</v>
      </c>
      <c r="EA11" s="191">
        <v>-5.8096224496834594</v>
      </c>
      <c r="EB11" s="191">
        <v>-8.2396039063547093</v>
      </c>
      <c r="EC11" s="191">
        <v>-11.821034390228498</v>
      </c>
      <c r="ED11" s="191">
        <v>-5.573413218515384</v>
      </c>
      <c r="EE11" s="191">
        <v>-6.9438892142858748</v>
      </c>
      <c r="EF11" s="191">
        <v>-3.0156898721501548</v>
      </c>
      <c r="EG11" s="191">
        <v>-1.6452096602990949</v>
      </c>
      <c r="EH11" s="191">
        <v>-1.6952469074313541</v>
      </c>
      <c r="EI11" s="191">
        <v>-1.5425396438434618</v>
      </c>
      <c r="EJ11" s="191">
        <v>0.80771177764727753</v>
      </c>
      <c r="EK11" s="191">
        <v>1.7967601768187436</v>
      </c>
      <c r="EL11" s="191">
        <v>0.36411895875534128</v>
      </c>
      <c r="EM11" s="191">
        <v>0.9731129651016488</v>
      </c>
      <c r="EN11" s="191">
        <v>-0.90592969409658508</v>
      </c>
      <c r="EO11" s="191">
        <v>-1.100872309517051</v>
      </c>
      <c r="EP11" s="191">
        <v>-1.5159924189712441</v>
      </c>
      <c r="EQ11" s="191">
        <v>-2.2601195122414879</v>
      </c>
      <c r="ER11" s="191">
        <v>-3.4522018545344082</v>
      </c>
      <c r="ES11" s="191">
        <v>-3.1726881353209251</v>
      </c>
      <c r="ET11" s="191">
        <v>-1.5764940379777599</v>
      </c>
      <c r="EU11" s="191">
        <v>-0.81712484074547831</v>
      </c>
      <c r="EV11" s="191">
        <v>3.2497959127655527</v>
      </c>
      <c r="EW11" s="191">
        <v>1.8457894676807811</v>
      </c>
      <c r="EX11" s="191">
        <v>0.97967060130750383</v>
      </c>
      <c r="EY11" s="191">
        <v>-1.1033621154933329</v>
      </c>
      <c r="EZ11" s="191">
        <v>-0.50390888791378075</v>
      </c>
      <c r="FA11" s="191">
        <v>-3.817809164002739E-2</v>
      </c>
      <c r="FB11" s="191">
        <v>-2.5982739663735046</v>
      </c>
      <c r="FC11" s="191">
        <v>0.18137705766783796</v>
      </c>
      <c r="FD11" s="191">
        <v>-1.7055980746406618</v>
      </c>
      <c r="FE11" s="191">
        <v>-1.8858617213936917</v>
      </c>
      <c r="FF11" s="191">
        <v>-0.78183454284672393</v>
      </c>
      <c r="FG11" s="191">
        <v>-1.6346446720766536</v>
      </c>
      <c r="FH11" s="191">
        <v>-2.9575704268563143</v>
      </c>
      <c r="FI11" s="191">
        <v>-5.8986117529703748</v>
      </c>
      <c r="FJ11" s="191">
        <v>-4.5936254788528004</v>
      </c>
      <c r="FK11" s="191">
        <v>-4.3487843239791388</v>
      </c>
      <c r="FL11" s="191">
        <v>-1.9622716974053489</v>
      </c>
      <c r="FM11" s="191">
        <v>-2.2041819227547919</v>
      </c>
      <c r="FN11" s="191">
        <v>-1.9279647543332388</v>
      </c>
      <c r="FO11" s="192">
        <v>-0.76436203914982315</v>
      </c>
      <c r="FP11" s="192">
        <v>-2.4219726331774396</v>
      </c>
      <c r="FQ11" s="192">
        <v>-3.8940752027485388</v>
      </c>
      <c r="FR11" s="192">
        <v>-5.0612750518496838</v>
      </c>
      <c r="FS11" s="192">
        <v>-3.6201922542828626</v>
      </c>
      <c r="FT11" s="192">
        <v>-0.74039367324768079</v>
      </c>
      <c r="FU11" s="192">
        <v>-1.365847169824022</v>
      </c>
      <c r="FV11" s="191">
        <v>1.0913891045452999</v>
      </c>
      <c r="FW11" s="191">
        <v>0.6175014287812175</v>
      </c>
      <c r="FX11" s="191">
        <v>0.41197390409782741</v>
      </c>
      <c r="FY11" s="191">
        <v>-0.27148697079252315</v>
      </c>
      <c r="FZ11" s="191">
        <v>-1.4978658871058883</v>
      </c>
      <c r="GA11" s="191">
        <v>-1.9005797428215274</v>
      </c>
      <c r="GB11" s="191">
        <v>-2.9292146026908625</v>
      </c>
      <c r="GC11" s="191">
        <v>-3.2357869795417216</v>
      </c>
      <c r="GD11" s="191">
        <v>-3.1686588825022142</v>
      </c>
      <c r="GE11" s="191">
        <v>-4.2489534302003804</v>
      </c>
      <c r="GF11" s="191">
        <v>-5.1415643946645559</v>
      </c>
      <c r="GG11" s="191">
        <v>-4.0543774673014781</v>
      </c>
      <c r="GH11" s="191">
        <v>-1.8215659487677271</v>
      </c>
      <c r="GI11" s="191">
        <v>-2.8768876932042602</v>
      </c>
      <c r="GJ11" s="191">
        <v>-2.315193411265021</v>
      </c>
      <c r="GK11" s="191">
        <v>-1.6440359864279728</v>
      </c>
    </row>
    <row r="12" spans="1:193" ht="15.75" customHeight="1">
      <c r="A12" s="185" t="s">
        <v>729</v>
      </c>
      <c r="B12" s="185" t="str">
        <f t="shared" si="0"/>
        <v>IT0005104473 Corp</v>
      </c>
      <c r="C12" s="185"/>
      <c r="D12" s="216">
        <f>DATEVALUE(_xll.BDP($B12,D$2))</f>
        <v>44727</v>
      </c>
      <c r="E12" s="217">
        <f>_xll.BDP(B12,"FLT_SPREAD")</f>
        <v>55</v>
      </c>
      <c r="F12" s="217">
        <f>_xll.BDP(B12,F$2)</f>
        <v>0.39200000000000002</v>
      </c>
      <c r="G12" s="218">
        <f>_xll.BDP($B12,G$2)</f>
        <v>100.91500000000001</v>
      </c>
      <c r="H12" s="104">
        <f t="shared" si="6"/>
        <v>100.92750000000001</v>
      </c>
      <c r="I12" s="218">
        <f>_xll.BDP($B12,I$2)</f>
        <v>100.94</v>
      </c>
      <c r="J12" s="219">
        <f>_xll.BDP(B12&amp;"@CBBT Corp",J$2)</f>
        <v>63.893355873257178</v>
      </c>
      <c r="K12" s="241">
        <f>_xll.BDP(B12&amp;"@CBBT Corp","ASSET_SWAP_SPD_MID")</f>
        <v>39.914942997369394</v>
      </c>
      <c r="L12" s="220">
        <f t="shared" si="1"/>
        <v>-0.15172933228344102</v>
      </c>
      <c r="M12" s="220">
        <f t="shared" si="2"/>
        <v>85.997173452580682</v>
      </c>
      <c r="N12" s="221">
        <f t="shared" si="3"/>
        <v>-22.103817579323504</v>
      </c>
      <c r="O12" s="222">
        <f t="shared" si="7"/>
        <v>14</v>
      </c>
      <c r="P12" s="222">
        <f t="shared" si="8"/>
        <v>15</v>
      </c>
      <c r="Q12" s="223">
        <f t="shared" si="9"/>
        <v>44621</v>
      </c>
      <c r="R12" s="224">
        <f t="shared" si="10"/>
        <v>83.54065413803815</v>
      </c>
      <c r="S12" s="223">
        <f t="shared" si="11"/>
        <v>44805</v>
      </c>
      <c r="T12" s="224">
        <f t="shared" si="12"/>
        <v>87.804800872715759</v>
      </c>
      <c r="U12" s="225">
        <f>_xll.MKV($V$1&amp;$A12, U$2)</f>
        <v>5.6489000000000003</v>
      </c>
      <c r="V12" s="225">
        <f>_xll.MKV($V$1&amp;$A12, V$2)</f>
        <v>100.935</v>
      </c>
      <c r="W12" s="226">
        <f>DATEVALUE(_xll.BDP($B12,W$2))</f>
        <v>42719</v>
      </c>
      <c r="X12" s="226">
        <f>DATEVALUE(_xll.BDP($B12,X$2))</f>
        <v>42536</v>
      </c>
      <c r="Y12" s="227">
        <f t="shared" si="4"/>
        <v>0.12959562841530056</v>
      </c>
      <c r="Z12" s="228">
        <f t="shared" si="5"/>
        <v>1.0710382513661203E-3</v>
      </c>
      <c r="AA12" s="228"/>
      <c r="AD12" s="238">
        <v>-20.47345984669289</v>
      </c>
      <c r="AE12" s="188">
        <v>44727</v>
      </c>
      <c r="AF12" s="189">
        <v>-21.450903004508945</v>
      </c>
      <c r="AG12" s="189">
        <v>-21.399568712762175</v>
      </c>
      <c r="AH12" s="189">
        <v>-20.390868718226535</v>
      </c>
      <c r="AI12" s="189">
        <v>-20.05069912141208</v>
      </c>
      <c r="AJ12" s="189">
        <v>-19.600783672603896</v>
      </c>
      <c r="AK12" s="189">
        <v>-17.980789907251122</v>
      </c>
      <c r="AL12" s="189">
        <v>-18.436508729899138</v>
      </c>
      <c r="AM12" s="189">
        <v>-18.553743757706151</v>
      </c>
      <c r="AN12" s="189">
        <v>-20.800226057992504</v>
      </c>
      <c r="AO12" s="189">
        <v>-18.972382538641767</v>
      </c>
      <c r="AP12" s="189">
        <v>-19.788865886481986</v>
      </c>
      <c r="AQ12" s="189">
        <v>-16.104052446740198</v>
      </c>
      <c r="AR12" s="189">
        <v>-14.663340117781289</v>
      </c>
      <c r="AS12" s="189">
        <v>-13.864961501655046</v>
      </c>
      <c r="AT12" s="189">
        <v>-14.429698649554169</v>
      </c>
      <c r="AU12" s="189">
        <v>-15.254602136726092</v>
      </c>
      <c r="AV12" s="189">
        <v>-13.320043000683881</v>
      </c>
      <c r="AW12" s="189">
        <v>-12.700795952284167</v>
      </c>
      <c r="AX12" s="189">
        <v>-13.172961888932591</v>
      </c>
      <c r="AY12" s="189">
        <v>-12.177894209034847</v>
      </c>
      <c r="AZ12" s="189">
        <v>-12.157020565638462</v>
      </c>
      <c r="BA12" s="189">
        <v>-14.070280351975839</v>
      </c>
      <c r="BB12" s="189">
        <v>-14.760036942340676</v>
      </c>
      <c r="BC12" s="189">
        <v>-14.725306570052538</v>
      </c>
      <c r="BD12" s="189">
        <v>-12.85525014968654</v>
      </c>
      <c r="BE12" s="189">
        <v>-13.246095672236706</v>
      </c>
      <c r="BF12" s="189">
        <v>-13.798196618335609</v>
      </c>
      <c r="BG12" s="189">
        <v>-13.937903255566368</v>
      </c>
      <c r="BH12" s="189">
        <v>-15.34162133914991</v>
      </c>
      <c r="BI12" s="189">
        <v>-14.821794408553032</v>
      </c>
      <c r="BJ12" s="189">
        <v>-19.01395132590045</v>
      </c>
      <c r="BK12" s="189">
        <v>-16.14736620820679</v>
      </c>
      <c r="BL12" s="189">
        <v>-16.664001190497828</v>
      </c>
      <c r="BM12" s="189">
        <v>-13.272425016587306</v>
      </c>
      <c r="BN12" s="189">
        <v>-14.89088483146233</v>
      </c>
      <c r="BO12" s="189">
        <v>-11.211264398410663</v>
      </c>
      <c r="BP12" s="189">
        <v>-13.960264081772706</v>
      </c>
      <c r="BQ12" s="189">
        <v>-10.764289054502399</v>
      </c>
      <c r="BR12" s="189">
        <v>-12.57655312819854</v>
      </c>
      <c r="BS12" s="189">
        <v>-13.253656518178744</v>
      </c>
      <c r="BT12" s="189">
        <v>-15.393944200485876</v>
      </c>
      <c r="BU12" s="189">
        <v>-15.762398268680627</v>
      </c>
      <c r="BV12" s="189">
        <v>-16.919807151892854</v>
      </c>
      <c r="BW12" s="189">
        <v>-13.825976843560156</v>
      </c>
      <c r="BX12" s="189">
        <v>-10.761035388647656</v>
      </c>
      <c r="BY12" s="189">
        <v>-9.0938381874984913</v>
      </c>
      <c r="BZ12" s="189">
        <v>-10.789692221391149</v>
      </c>
      <c r="CA12" s="189">
        <v>-10.945186629933417</v>
      </c>
      <c r="CB12" s="189">
        <v>-10.559085741546042</v>
      </c>
      <c r="CC12" s="189">
        <v>-11.083844921384042</v>
      </c>
      <c r="CD12" s="189">
        <v>-10.792098530720594</v>
      </c>
      <c r="CE12" s="189">
        <v>-12.607555247467289</v>
      </c>
      <c r="CF12" s="189">
        <v>-14.008282952225514</v>
      </c>
      <c r="CG12" s="189">
        <v>-15.10278669988206</v>
      </c>
      <c r="CH12" s="189">
        <v>-16.447057655867411</v>
      </c>
      <c r="CI12" s="189">
        <v>-16.481336574756824</v>
      </c>
      <c r="CJ12" s="189">
        <v>-17.720741622903248</v>
      </c>
      <c r="CK12" s="189">
        <v>-15.337450388401635</v>
      </c>
      <c r="CL12" s="189">
        <v>-16.533153830474475</v>
      </c>
      <c r="CM12" s="189">
        <v>-15.923674136047808</v>
      </c>
      <c r="CN12" s="189">
        <v>-14.428887010329319</v>
      </c>
      <c r="CO12" s="189">
        <v>-13.739368309641108</v>
      </c>
      <c r="CP12" s="189">
        <v>-14.065565741046115</v>
      </c>
      <c r="CQ12" s="189">
        <v>-13.16976743955415</v>
      </c>
      <c r="CR12" s="189">
        <v>-12.396531900620019</v>
      </c>
      <c r="CS12" s="189">
        <v>-12.184462361910903</v>
      </c>
      <c r="CT12" s="189">
        <v>-10.752586765320103</v>
      </c>
      <c r="CU12" s="189">
        <v>-10.970111955889493</v>
      </c>
      <c r="CV12" s="189">
        <v>-12.304632000696557</v>
      </c>
      <c r="CW12" s="189">
        <v>-11.238547786516904</v>
      </c>
      <c r="CX12" s="189">
        <v>-10.062946149873497</v>
      </c>
      <c r="CY12" s="189">
        <v>-15.75206517566572</v>
      </c>
      <c r="CZ12" s="189">
        <v>-14.765244997200682</v>
      </c>
      <c r="DA12" s="189">
        <v>-12.596759238203219</v>
      </c>
      <c r="DB12" s="189">
        <v>-13.540097648856033</v>
      </c>
      <c r="DC12" s="189">
        <v>-14.165011769259479</v>
      </c>
      <c r="DD12" s="189">
        <v>-14.071297447429799</v>
      </c>
      <c r="DE12" s="189">
        <v>-13.280387578731009</v>
      </c>
      <c r="DF12" s="189">
        <v>-13.759390457613009</v>
      </c>
      <c r="DG12" s="189">
        <v>-11.589364566354149</v>
      </c>
      <c r="DH12" s="189">
        <v>-11.083117032150369</v>
      </c>
      <c r="DI12" s="189">
        <v>-11.31747505016655</v>
      </c>
      <c r="DJ12" s="189">
        <v>-10.030091069838647</v>
      </c>
      <c r="DK12" s="189">
        <v>-8.7034562977004271</v>
      </c>
      <c r="DL12" s="189">
        <v>-8.7124910734022478</v>
      </c>
      <c r="DM12" s="189">
        <v>-5.2964200868559743</v>
      </c>
      <c r="DN12" s="189">
        <v>-5.7037430401080513</v>
      </c>
      <c r="DO12" s="189">
        <v>-5.5673391550777183</v>
      </c>
      <c r="DP12" s="189">
        <v>-7.7872877665438693</v>
      </c>
      <c r="DQ12" s="189">
        <v>-9.3822754345230663</v>
      </c>
      <c r="DR12" s="189">
        <v>-10.888863949895295</v>
      </c>
      <c r="DS12" s="189">
        <v>-17.774847433095715</v>
      </c>
      <c r="DT12" s="189">
        <v>-15.750411616181751</v>
      </c>
      <c r="DU12" s="189">
        <v>-17.591884939035324</v>
      </c>
      <c r="DV12" s="189">
        <v>-19.799893330950695</v>
      </c>
      <c r="DW12" s="189">
        <v>-21.769162425961483</v>
      </c>
      <c r="DX12" s="189">
        <v>-17.591884939035324</v>
      </c>
      <c r="DY12" s="189">
        <v>-22.839893157477263</v>
      </c>
      <c r="DZ12" s="189">
        <v>-21.799321569602753</v>
      </c>
      <c r="EA12" s="191">
        <v>-22.784684763123408</v>
      </c>
      <c r="EB12" s="191">
        <v>-24.762671884060836</v>
      </c>
      <c r="EC12" s="191">
        <v>-33.75936429194816</v>
      </c>
      <c r="ED12" s="191">
        <v>-24.0883316064442</v>
      </c>
      <c r="EE12" s="191">
        <v>-22.781506912953368</v>
      </c>
      <c r="EF12" s="191">
        <v>-18.44992788519729</v>
      </c>
      <c r="EG12" s="191">
        <v>-16.874433216411006</v>
      </c>
      <c r="EH12" s="191">
        <v>-16.445220743045496</v>
      </c>
      <c r="EI12" s="191">
        <v>-16.020387060246435</v>
      </c>
      <c r="EJ12" s="191">
        <v>-10.777796089936579</v>
      </c>
      <c r="EK12" s="191">
        <v>-10.481371024087018</v>
      </c>
      <c r="EL12" s="191">
        <v>-11.629181493915276</v>
      </c>
      <c r="EM12" s="191">
        <v>-11.477518889557601</v>
      </c>
      <c r="EN12" s="191">
        <v>-12.5</v>
      </c>
      <c r="EO12" s="191">
        <v>-10.186701013044562</v>
      </c>
      <c r="EP12" s="191">
        <v>-10.375812625927374</v>
      </c>
      <c r="EQ12" s="191">
        <v>-11.411199699618777</v>
      </c>
      <c r="ER12" s="191">
        <v>-11.769314352322858</v>
      </c>
      <c r="ES12" s="191">
        <v>-12.103301075230085</v>
      </c>
      <c r="ET12" s="191">
        <v>-10.689570188094088</v>
      </c>
      <c r="EU12" s="191">
        <v>-8.7960390865610947</v>
      </c>
      <c r="EV12" s="191">
        <v>-5.358303961875734</v>
      </c>
      <c r="EW12" s="191">
        <v>-6.819031275291124</v>
      </c>
      <c r="EX12" s="191">
        <v>-6.4822685341525101</v>
      </c>
      <c r="EY12" s="191">
        <v>-7.4094075163761346</v>
      </c>
      <c r="EZ12" s="191">
        <v>-3.9003050135570092</v>
      </c>
      <c r="FA12" s="191">
        <v>-4.4274430784595324</v>
      </c>
      <c r="FB12" s="191">
        <v>-7.5293956835665554</v>
      </c>
      <c r="FC12" s="191">
        <v>-3.3241305670603651</v>
      </c>
      <c r="FD12" s="191">
        <v>-6.4241738806587279</v>
      </c>
      <c r="FE12" s="191">
        <v>-5.7014986009520356</v>
      </c>
      <c r="FF12" s="191">
        <v>-3.7713301268620754</v>
      </c>
      <c r="FG12" s="191">
        <v>-4.343976820836545</v>
      </c>
      <c r="FH12" s="191">
        <v>-4.8421125527781967</v>
      </c>
      <c r="FI12" s="191">
        <v>-8.68570136550386</v>
      </c>
      <c r="FJ12" s="191">
        <v>-8.135751571343647</v>
      </c>
      <c r="FK12" s="191">
        <v>-7.2316230771145555</v>
      </c>
      <c r="FL12" s="191">
        <v>-6.0755040305895278</v>
      </c>
      <c r="FM12" s="191">
        <v>-6.6729168175545865</v>
      </c>
      <c r="FN12" s="191">
        <v>-5.0050038229991287</v>
      </c>
      <c r="FO12" s="192">
        <v>-4.6122794976153827</v>
      </c>
      <c r="FP12" s="192">
        <v>-6.8135738828416237</v>
      </c>
      <c r="FQ12" s="192">
        <v>-8.5766806214618043</v>
      </c>
      <c r="FR12" s="192">
        <v>-9.9525056787761415</v>
      </c>
      <c r="FS12" s="192">
        <v>-7.2207043132817219</v>
      </c>
      <c r="FT12" s="192">
        <v>-3.5093991288315323</v>
      </c>
      <c r="FU12" s="192">
        <v>-4.1955486622300242</v>
      </c>
      <c r="FV12" s="191">
        <v>-2.1235001033252487</v>
      </c>
      <c r="FW12" s="191">
        <v>-2.9806353734307933</v>
      </c>
      <c r="FX12" s="191">
        <v>-2.6999604294553095</v>
      </c>
      <c r="FY12" s="191">
        <v>-3.7220525592457676</v>
      </c>
      <c r="FZ12" s="191">
        <v>-5.0704229803030714</v>
      </c>
      <c r="GA12" s="191">
        <v>-6.1104742675882591</v>
      </c>
      <c r="GB12" s="191">
        <v>-6.6402347541403017</v>
      </c>
      <c r="GC12" s="191">
        <v>-7.7189030554330671</v>
      </c>
      <c r="GD12" s="191">
        <v>-8.9681716822483679</v>
      </c>
      <c r="GE12" s="191">
        <v>-10.019556122770453</v>
      </c>
      <c r="GF12" s="191">
        <v>-10.417593936927261</v>
      </c>
      <c r="GG12" s="191">
        <v>-9.9009718949916774</v>
      </c>
      <c r="GH12" s="191">
        <v>-7.9019008386905867</v>
      </c>
      <c r="GI12" s="191">
        <v>-8.3264138327608777</v>
      </c>
      <c r="GJ12" s="191">
        <v>-8.8616838983890887</v>
      </c>
      <c r="GK12" s="191">
        <v>-6.9509135351044549</v>
      </c>
    </row>
    <row r="13" spans="1:193" ht="15.75" customHeight="1">
      <c r="A13" s="185" t="s">
        <v>730</v>
      </c>
      <c r="B13" s="185" t="str">
        <f t="shared" si="0"/>
        <v>IT0005137614 Corp</v>
      </c>
      <c r="C13" s="185"/>
      <c r="D13" s="216">
        <f>DATEVALUE(_xll.BDP($B13,D$2))</f>
        <v>44910</v>
      </c>
      <c r="E13" s="217">
        <f>_xll.BDP(B13,"FLT_SPREAD")</f>
        <v>70</v>
      </c>
      <c r="F13" s="217">
        <f>_xll.BDP(B13,F$2)</f>
        <v>0.54200000000000004</v>
      </c>
      <c r="G13" s="218">
        <f>_xll.BDP($B13,G$2)</f>
        <v>101.33</v>
      </c>
      <c r="H13" s="104">
        <f t="shared" si="6"/>
        <v>101.3425</v>
      </c>
      <c r="I13" s="218">
        <f>_xll.BDP($B13,I$2)</f>
        <v>101.355</v>
      </c>
      <c r="J13" s="219">
        <f>_xll.BDP(B13&amp;"@CBBT Corp",J$2)</f>
        <v>73.338321853750898</v>
      </c>
      <c r="K13" s="241">
        <f>_xll.BDP(B13&amp;"@CBBT Corp","ASSET_SWAP_SPD_MID")</f>
        <v>49.853768679931129</v>
      </c>
      <c r="L13" s="220">
        <f t="shared" si="1"/>
        <v>-0.23704552893229749</v>
      </c>
      <c r="M13" s="220">
        <f t="shared" si="2"/>
        <v>94.456943576623047</v>
      </c>
      <c r="N13" s="221">
        <f t="shared" si="3"/>
        <v>-21.118621722872149</v>
      </c>
      <c r="O13" s="222">
        <f t="shared" si="7"/>
        <v>16</v>
      </c>
      <c r="P13" s="222">
        <f t="shared" si="8"/>
        <v>17</v>
      </c>
      <c r="Q13" s="223">
        <f t="shared" si="9"/>
        <v>44866</v>
      </c>
      <c r="R13" s="224">
        <f t="shared" si="10"/>
        <v>93.262967895949373</v>
      </c>
      <c r="S13" s="223">
        <f t="shared" si="11"/>
        <v>45047</v>
      </c>
      <c r="T13" s="224">
        <f t="shared" si="12"/>
        <v>98.1745496732661</v>
      </c>
      <c r="U13" s="225">
        <f>_xll.MKV($V$1&amp;$A13, U$2)</f>
        <v>6.1089000000000002</v>
      </c>
      <c r="V13" s="225">
        <f>_xll.MKV($V$1&amp;$A13, V$2)</f>
        <v>101.35550000000001</v>
      </c>
      <c r="W13" s="226">
        <f>DATEVALUE(_xll.BDP($B13,W$2))</f>
        <v>42719</v>
      </c>
      <c r="X13" s="226">
        <f>DATEVALUE(_xll.BDP($B13,X$2))</f>
        <v>42536</v>
      </c>
      <c r="Y13" s="227">
        <f t="shared" si="4"/>
        <v>0.17918579234972679</v>
      </c>
      <c r="Z13" s="228">
        <f t="shared" si="5"/>
        <v>1.4808743169398909E-3</v>
      </c>
      <c r="AA13" s="228"/>
      <c r="AD13" s="238">
        <v>-18.456950628708555</v>
      </c>
      <c r="AE13" s="188">
        <v>44910</v>
      </c>
      <c r="AF13" s="189">
        <v>-20.267947228658372</v>
      </c>
      <c r="AG13" s="189">
        <v>-20.035015549206562</v>
      </c>
      <c r="AH13" s="189">
        <v>-19.056710365990853</v>
      </c>
      <c r="AI13" s="189">
        <v>-18.679813874295419</v>
      </c>
      <c r="AJ13" s="189">
        <v>-17.735186749356629</v>
      </c>
      <c r="AK13" s="189">
        <v>-16.171426623962901</v>
      </c>
      <c r="AL13" s="189">
        <v>-16.676978709796032</v>
      </c>
      <c r="AM13" s="189">
        <v>-16.665806581787294</v>
      </c>
      <c r="AN13" s="189">
        <v>-18.898149723387888</v>
      </c>
      <c r="AO13" s="189">
        <v>-17.515117598004338</v>
      </c>
      <c r="AP13" s="189">
        <v>-18.460875731492379</v>
      </c>
      <c r="AQ13" s="189">
        <v>-14.323317793345339</v>
      </c>
      <c r="AR13" s="189">
        <v>-12.479250700881963</v>
      </c>
      <c r="AS13" s="189">
        <v>-11.451069845643815</v>
      </c>
      <c r="AT13" s="189">
        <v>-12.369749227596103</v>
      </c>
      <c r="AU13" s="189">
        <v>-13.659931088574382</v>
      </c>
      <c r="AV13" s="189">
        <v>-10.606331872943414</v>
      </c>
      <c r="AW13" s="189">
        <v>-11.133885416714108</v>
      </c>
      <c r="AX13" s="189">
        <v>-11.30709854477584</v>
      </c>
      <c r="AY13" s="189">
        <v>-9.7871115134681332</v>
      </c>
      <c r="AZ13" s="189">
        <v>-9.8549554845696576</v>
      </c>
      <c r="BA13" s="189">
        <v>-13.506475057137365</v>
      </c>
      <c r="BB13" s="189">
        <v>-14.683771931732096</v>
      </c>
      <c r="BC13" s="189">
        <v>-14.900883648212499</v>
      </c>
      <c r="BD13" s="189">
        <v>-13.100564556253886</v>
      </c>
      <c r="BE13" s="189">
        <v>-13.833402058955087</v>
      </c>
      <c r="BF13" s="189">
        <v>-14.444173850805456</v>
      </c>
      <c r="BG13" s="189">
        <v>-14.272864199191375</v>
      </c>
      <c r="BH13" s="189">
        <v>-16.366347015823152</v>
      </c>
      <c r="BI13" s="189">
        <v>-15.736421165415024</v>
      </c>
      <c r="BJ13" s="189">
        <v>-19.272215707787197</v>
      </c>
      <c r="BK13" s="189">
        <v>-16.863070752157952</v>
      </c>
      <c r="BL13" s="189">
        <v>-16.844106226706629</v>
      </c>
      <c r="BM13" s="189">
        <v>-13.794068074462999</v>
      </c>
      <c r="BN13" s="189">
        <v>-15.36907843560563</v>
      </c>
      <c r="BO13" s="189">
        <v>-10.606295825704748</v>
      </c>
      <c r="BP13" s="189">
        <v>-14.040622132567023</v>
      </c>
      <c r="BQ13" s="189">
        <v>-10.288611826919791</v>
      </c>
      <c r="BR13" s="189">
        <v>-12.212698604355637</v>
      </c>
      <c r="BS13" s="189">
        <v>-13.660908269753151</v>
      </c>
      <c r="BT13" s="189">
        <v>-17.536432934854048</v>
      </c>
      <c r="BU13" s="189">
        <v>-16.411009083120803</v>
      </c>
      <c r="BV13" s="189">
        <v>-17.481797387714892</v>
      </c>
      <c r="BW13" s="189">
        <v>-14.033101280309893</v>
      </c>
      <c r="BX13" s="189">
        <v>-10.488848902240022</v>
      </c>
      <c r="BY13" s="189">
        <v>-8.8441927025378533</v>
      </c>
      <c r="BZ13" s="189">
        <v>-9.5772683232129054</v>
      </c>
      <c r="CA13" s="189">
        <v>-10.384324623944579</v>
      </c>
      <c r="CB13" s="189">
        <v>-9.2723066456743624</v>
      </c>
      <c r="CC13" s="189">
        <v>-9.6740283924000465</v>
      </c>
      <c r="CD13" s="189">
        <v>-9.5185232292955391</v>
      </c>
      <c r="CE13" s="189">
        <v>-10.533551091832322</v>
      </c>
      <c r="CF13" s="189">
        <v>-11.897306144571459</v>
      </c>
      <c r="CG13" s="189">
        <v>-13.188720697689305</v>
      </c>
      <c r="CH13" s="189">
        <v>-14.475040455139023</v>
      </c>
      <c r="CI13" s="189">
        <v>-14.455781593237717</v>
      </c>
      <c r="CJ13" s="189">
        <v>-15.544958153684846</v>
      </c>
      <c r="CK13" s="189">
        <v>-13.267421696301597</v>
      </c>
      <c r="CL13" s="189">
        <v>-14.799011097955585</v>
      </c>
      <c r="CM13" s="189">
        <v>-14.239672038712825</v>
      </c>
      <c r="CN13" s="189">
        <v>-12.576114348675702</v>
      </c>
      <c r="CO13" s="189">
        <v>-12.286290309138607</v>
      </c>
      <c r="CP13" s="189">
        <v>-11.462993770324715</v>
      </c>
      <c r="CQ13" s="189">
        <v>-10.876653494567037</v>
      </c>
      <c r="CR13" s="189">
        <v>-9.9093072821097934</v>
      </c>
      <c r="CS13" s="189">
        <v>-9.2938318147680832</v>
      </c>
      <c r="CT13" s="189">
        <v>-7.7088431260176691</v>
      </c>
      <c r="CU13" s="189">
        <v>-6.6053703886571213</v>
      </c>
      <c r="CV13" s="189">
        <v>-7.7865127322216665</v>
      </c>
      <c r="CW13" s="189">
        <v>-6.3942148156655492</v>
      </c>
      <c r="CX13" s="189">
        <v>-5.3525798307439629</v>
      </c>
      <c r="CY13" s="189">
        <v>-10.617705867892013</v>
      </c>
      <c r="CZ13" s="189">
        <v>-9.7506071812632769</v>
      </c>
      <c r="DA13" s="189">
        <v>-8.4866736253619308</v>
      </c>
      <c r="DB13" s="189">
        <v>-9.6002712714234661</v>
      </c>
      <c r="DC13" s="189">
        <v>-10.037938136909972</v>
      </c>
      <c r="DD13" s="189">
        <v>-8.8114043288884289</v>
      </c>
      <c r="DE13" s="189">
        <v>-8.732920343836085</v>
      </c>
      <c r="DF13" s="189">
        <v>-9.5419789580701462</v>
      </c>
      <c r="DG13" s="189">
        <v>-8.081467635596411</v>
      </c>
      <c r="DH13" s="189">
        <v>-7.4329370192564426</v>
      </c>
      <c r="DI13" s="189">
        <v>-8.0274084450409759</v>
      </c>
      <c r="DJ13" s="189">
        <v>-6.9479205021554549</v>
      </c>
      <c r="DK13" s="189">
        <v>-6.1147749739820938</v>
      </c>
      <c r="DL13" s="189">
        <v>-6.7554620486585861</v>
      </c>
      <c r="DM13" s="189">
        <v>-3.7704161879457416</v>
      </c>
      <c r="DN13" s="189">
        <v>-3.8174127668182649</v>
      </c>
      <c r="DO13" s="189">
        <v>-3.4255318424178682</v>
      </c>
      <c r="DP13" s="189">
        <v>-6.0726755252225502</v>
      </c>
      <c r="DQ13" s="189">
        <v>-8.3742491863188206</v>
      </c>
      <c r="DR13" s="189">
        <v>-9.6150867541444711</v>
      </c>
      <c r="DS13" s="189">
        <v>-16.028231933079311</v>
      </c>
      <c r="DT13" s="189">
        <v>-13.856432838423274</v>
      </c>
      <c r="DU13" s="189">
        <v>-15.389082086818433</v>
      </c>
      <c r="DV13" s="189">
        <v>-16.571624381279761</v>
      </c>
      <c r="DW13" s="189">
        <v>-18.848404816484262</v>
      </c>
      <c r="DX13" s="189">
        <v>-15.385671395750407</v>
      </c>
      <c r="DY13" s="189">
        <v>-21.545190600579275</v>
      </c>
      <c r="DZ13" s="189">
        <v>-21.129668590614727</v>
      </c>
      <c r="EA13" s="191">
        <v>-20.90768675417506</v>
      </c>
      <c r="EB13" s="191">
        <v>-23.914222449660308</v>
      </c>
      <c r="EC13" s="191">
        <v>-31.00690126293172</v>
      </c>
      <c r="ED13" s="191">
        <v>-21.883240138609864</v>
      </c>
      <c r="EE13" s="191">
        <v>-20.567503129234865</v>
      </c>
      <c r="EF13" s="191">
        <v>-17.322837246000155</v>
      </c>
      <c r="EG13" s="191">
        <v>-14.779220683475678</v>
      </c>
      <c r="EH13" s="191">
        <v>-14.484853161125805</v>
      </c>
      <c r="EI13" s="191">
        <v>-14.61325644983102</v>
      </c>
      <c r="EJ13" s="191">
        <v>-9.5080473395995213</v>
      </c>
      <c r="EK13" s="191">
        <v>-9.086257186261399</v>
      </c>
      <c r="EL13" s="191">
        <v>-10.638827637751149</v>
      </c>
      <c r="EM13" s="191">
        <v>-10.5</v>
      </c>
      <c r="EN13" s="191">
        <v>-12.586918630349658</v>
      </c>
      <c r="EO13" s="191">
        <v>-10.393241540605494</v>
      </c>
      <c r="EP13" s="191">
        <v>-10.212829242514552</v>
      </c>
      <c r="EQ13" s="191">
        <v>-11.711607738064814</v>
      </c>
      <c r="ER13" s="191">
        <v>-12.252656171183183</v>
      </c>
      <c r="ES13" s="191">
        <v>-12.9639928782589</v>
      </c>
      <c r="ET13" s="191">
        <v>-11.112184616389769</v>
      </c>
      <c r="EU13" s="191">
        <v>-8.7343131547541191</v>
      </c>
      <c r="EV13" s="191">
        <v>-5.6457569117879274</v>
      </c>
      <c r="EW13" s="191">
        <v>-6.311326469134535</v>
      </c>
      <c r="EX13" s="191">
        <v>-6.0005634355529196</v>
      </c>
      <c r="EY13" s="191">
        <v>-8.4360817345220696</v>
      </c>
      <c r="EZ13" s="191">
        <v>-4.8581660283068828</v>
      </c>
      <c r="FA13" s="191">
        <v>-5.2967099528197608</v>
      </c>
      <c r="FB13" s="191">
        <v>-6.6148307022723429</v>
      </c>
      <c r="FC13" s="191">
        <v>-2.8943801386526928</v>
      </c>
      <c r="FD13" s="191">
        <v>-5.9348175604595426</v>
      </c>
      <c r="FE13" s="191">
        <v>-5.7454519167684097</v>
      </c>
      <c r="FF13" s="191">
        <v>-4.0080412408281916</v>
      </c>
      <c r="FG13" s="191">
        <v>-4.4054669662399277</v>
      </c>
      <c r="FH13" s="191">
        <v>-4.5258362901466569</v>
      </c>
      <c r="FI13" s="191">
        <v>-7.8401718401225011</v>
      </c>
      <c r="FJ13" s="191">
        <v>-8.1549352493667016</v>
      </c>
      <c r="FK13" s="191">
        <v>-7.6824322872649873</v>
      </c>
      <c r="FL13" s="191">
        <v>-6.7671351325110933</v>
      </c>
      <c r="FM13" s="191">
        <v>-6.9435478406805231</v>
      </c>
      <c r="FN13" s="191">
        <v>-6.0266604337016645</v>
      </c>
      <c r="FO13" s="192">
        <v>-4.8904922750479116</v>
      </c>
      <c r="FP13" s="192">
        <v>-6.3499099242983377</v>
      </c>
      <c r="FQ13" s="192">
        <v>-9.4843420152465256</v>
      </c>
      <c r="FR13" s="192">
        <v>-10.432604078836434</v>
      </c>
      <c r="FS13" s="192">
        <v>-8.3623488769237113</v>
      </c>
      <c r="FT13" s="192">
        <v>-4.5896204318999878</v>
      </c>
      <c r="FU13" s="192">
        <v>-4.3886619012670565</v>
      </c>
      <c r="FV13" s="191">
        <v>-2.9251208435474894</v>
      </c>
      <c r="FW13" s="191">
        <v>-3.4171493018600216</v>
      </c>
      <c r="FX13" s="191">
        <v>-3.1366943052801446</v>
      </c>
      <c r="FY13" s="191">
        <v>-3.9645110310925631</v>
      </c>
      <c r="FZ13" s="191">
        <v>-5.8918714726797106</v>
      </c>
      <c r="GA13" s="191">
        <v>-6.7962513672486651</v>
      </c>
      <c r="GB13" s="191">
        <v>-7.5564603010378306</v>
      </c>
      <c r="GC13" s="191">
        <v>-7.5028076465801377</v>
      </c>
      <c r="GD13" s="191">
        <v>-7.9030339791220428</v>
      </c>
      <c r="GE13" s="191">
        <v>-9.1024081975888436</v>
      </c>
      <c r="GF13" s="191">
        <v>-9.3728990297716592</v>
      </c>
      <c r="GG13" s="191">
        <v>-8.8142749755367475</v>
      </c>
      <c r="GH13" s="191">
        <v>-6.7619889529963473</v>
      </c>
      <c r="GI13" s="191">
        <v>-7.5645306181233138</v>
      </c>
      <c r="GJ13" s="191">
        <v>-7.2611731907555566</v>
      </c>
      <c r="GK13" s="191">
        <v>-4.8092957534496179</v>
      </c>
    </row>
    <row r="14" spans="1:193" ht="15.75" customHeight="1" thickBot="1">
      <c r="A14" s="185" t="s">
        <v>731</v>
      </c>
      <c r="B14" s="185" t="str">
        <f t="shared" si="0"/>
        <v>IT0005185456 Corp</v>
      </c>
      <c r="C14" s="185"/>
      <c r="D14" s="229">
        <f>DATEVALUE(_xll.BDP($B14,D$2))</f>
        <v>45122</v>
      </c>
      <c r="E14" s="230">
        <f>_xll.BDP(B14,"FLT_SPREAD")</f>
        <v>70</v>
      </c>
      <c r="F14" s="230">
        <f>_xll.BDP(B14,F$2)</f>
        <v>0.50900000000000001</v>
      </c>
      <c r="G14" s="231">
        <f>_xll.BDP($B14,G$2)</f>
        <v>100.905</v>
      </c>
      <c r="H14" s="232">
        <f t="shared" si="6"/>
        <v>100.92</v>
      </c>
      <c r="I14" s="231">
        <f>_xll.BDP($B14,I$2)</f>
        <v>100.935</v>
      </c>
      <c r="J14" s="233">
        <f>_xll.BDP(B14&amp;"@CBBT Corp",J$2)</f>
        <v>81.364770563037439</v>
      </c>
      <c r="K14" s="242">
        <f>_xll.BDP(B14&amp;"@CBBT Corp","ASSET_SWAP_SPD_MID")</f>
        <v>57.249066174647403</v>
      </c>
      <c r="L14" s="234">
        <f>(H14-V14-Z14)/U14*100</f>
        <v>-0.23910727362026926</v>
      </c>
      <c r="M14" s="234">
        <f>R14+(T14-R14)*(D14-Q14)/(S14-Q14)</f>
        <v>97.347608528065791</v>
      </c>
      <c r="N14" s="235">
        <f>J14-M14</f>
        <v>-15.982837965028352</v>
      </c>
      <c r="O14" s="222">
        <f t="shared" si="7"/>
        <v>17</v>
      </c>
      <c r="P14" s="222">
        <f t="shared" si="8"/>
        <v>18</v>
      </c>
      <c r="Q14" s="223">
        <f t="shared" si="9"/>
        <v>45047</v>
      </c>
      <c r="R14" s="224">
        <f t="shared" si="10"/>
        <v>98.1745496732661</v>
      </c>
      <c r="S14" s="223">
        <f t="shared" si="11"/>
        <v>45139</v>
      </c>
      <c r="T14" s="224">
        <f t="shared" si="12"/>
        <v>97.16016853515373</v>
      </c>
      <c r="U14" s="225">
        <f>_xll.MKV($V$1&amp;$A14, U$2)</f>
        <v>6.8517999999999999</v>
      </c>
      <c r="V14" s="225">
        <f>_xll.MKV($V$1&amp;$A14, V$2)</f>
        <v>100.935</v>
      </c>
      <c r="W14" s="226">
        <f>DATEVALUE(_xll.BDP($B14,W$2))</f>
        <v>42750</v>
      </c>
      <c r="X14" s="226">
        <f>DATEVALUE(_xll.BDP($B14,X$2))</f>
        <v>42566</v>
      </c>
      <c r="Y14" s="227">
        <f t="shared" si="4"/>
        <v>0.12586684782608695</v>
      </c>
      <c r="Z14" s="228">
        <f t="shared" si="5"/>
        <v>1.3831521739130436E-3</v>
      </c>
      <c r="AA14" s="228"/>
      <c r="AD14" s="72">
        <v>-13.626659500249744</v>
      </c>
      <c r="AE14" s="188">
        <v>45122</v>
      </c>
      <c r="AF14" s="189">
        <v>-14.696819891096325</v>
      </c>
      <c r="AG14" s="189">
        <v>-14.789107218744263</v>
      </c>
      <c r="AH14" s="189">
        <v>-13.021373818850265</v>
      </c>
      <c r="AI14" s="189">
        <v>-12.671921485181855</v>
      </c>
      <c r="AJ14" s="189">
        <v>-11.158866614615434</v>
      </c>
      <c r="AK14" s="189">
        <v>-10.355315606812084</v>
      </c>
      <c r="AL14" s="189">
        <v>-11.418122171090829</v>
      </c>
      <c r="AM14" s="189">
        <v>-11.242501179026533</v>
      </c>
      <c r="AN14" s="189">
        <v>-14.517484544192541</v>
      </c>
      <c r="AO14" s="189">
        <v>-12.973256752945957</v>
      </c>
      <c r="AP14" s="189">
        <v>-13.152655049383839</v>
      </c>
      <c r="AQ14" s="189">
        <v>-9.4468161206247032</v>
      </c>
      <c r="AR14" s="189">
        <v>-7.5947036075729386</v>
      </c>
      <c r="AS14" s="189">
        <v>-6.8074998632295518</v>
      </c>
      <c r="AT14" s="189">
        <v>-7.3304573367246917</v>
      </c>
      <c r="AU14" s="189">
        <v>-8.1604456315503029</v>
      </c>
      <c r="AV14" s="189">
        <v>-4.7876125902171367</v>
      </c>
      <c r="AW14" s="189">
        <v>-6.6369049104411175</v>
      </c>
      <c r="AX14" s="189">
        <v>-6.2291544759392963</v>
      </c>
      <c r="AY14" s="189">
        <v>-3.9139818000649456</v>
      </c>
      <c r="AZ14" s="189">
        <v>-3.8569523810202639</v>
      </c>
      <c r="BA14" s="189">
        <v>-7.6506144896392527</v>
      </c>
      <c r="BB14" s="189">
        <v>-8.1606731740840246</v>
      </c>
      <c r="BC14" s="189">
        <v>-9.1047341649775717</v>
      </c>
      <c r="BD14" s="189">
        <v>-8.4192742438135468</v>
      </c>
      <c r="BE14" s="189">
        <v>-9.0288148076777617</v>
      </c>
      <c r="BF14" s="189">
        <v>-9.4300422647676072</v>
      </c>
      <c r="BG14" s="189">
        <v>-10.287102860532642</v>
      </c>
      <c r="BH14" s="189">
        <v>-12.165916299077324</v>
      </c>
      <c r="BI14" s="189">
        <v>-10.977243604349951</v>
      </c>
      <c r="BJ14" s="189">
        <v>-13.705597106780715</v>
      </c>
      <c r="BK14" s="189">
        <v>-10.915016651256423</v>
      </c>
      <c r="BL14" s="189">
        <v>-11.044326916324039</v>
      </c>
      <c r="BM14" s="189">
        <v>-7.9146601266652254</v>
      </c>
      <c r="BN14" s="189">
        <v>-9.5150256878407475</v>
      </c>
      <c r="BO14" s="189">
        <v>-5.4582823222926322</v>
      </c>
      <c r="BP14" s="189">
        <v>-7.1937158279129392</v>
      </c>
      <c r="BQ14" s="189">
        <v>-3.336966189951923</v>
      </c>
      <c r="BR14" s="189">
        <v>-6.7367494589093013</v>
      </c>
      <c r="BS14" s="189">
        <v>-8.1554634545437636</v>
      </c>
      <c r="BT14" s="189">
        <v>-12.241064444506591</v>
      </c>
      <c r="BU14" s="189">
        <v>-10.571317256903114</v>
      </c>
      <c r="BV14" s="189">
        <v>-12.870737248963877</v>
      </c>
      <c r="BW14" s="189">
        <v>-7.7128841425068657</v>
      </c>
      <c r="BX14" s="189">
        <v>-4.9867455858166352</v>
      </c>
      <c r="BY14" s="189">
        <v>-3.2311396436338384</v>
      </c>
      <c r="BZ14" s="189">
        <v>-4.0967597346283355</v>
      </c>
      <c r="CA14" s="189">
        <v>-4.8932286463226262</v>
      </c>
      <c r="CB14" s="189">
        <v>-2.8044775427058255</v>
      </c>
      <c r="CC14" s="189">
        <v>-3.3077441593025725</v>
      </c>
      <c r="CD14" s="189">
        <v>-3.7800866164387372</v>
      </c>
      <c r="CE14" s="189">
        <v>-5.3305416755243726</v>
      </c>
      <c r="CF14" s="189">
        <v>-7.0242321568529462</v>
      </c>
      <c r="CG14" s="189">
        <v>-8.4040994976533909</v>
      </c>
      <c r="CH14" s="189">
        <v>-9.831927970565431</v>
      </c>
      <c r="CI14" s="189">
        <v>-9.7064905389624982</v>
      </c>
      <c r="CJ14" s="189">
        <v>-10.901604514306882</v>
      </c>
      <c r="CK14" s="189">
        <v>-8.3680490925795965</v>
      </c>
      <c r="CL14" s="189">
        <v>-10.452363043315657</v>
      </c>
      <c r="CM14" s="189">
        <v>-10.182511561747134</v>
      </c>
      <c r="CN14" s="189">
        <v>-9.9004911009933636</v>
      </c>
      <c r="CO14" s="189">
        <v>-9.0151069541217481</v>
      </c>
      <c r="CP14" s="189">
        <v>-9.0903354446257083</v>
      </c>
      <c r="CQ14" s="189">
        <v>-8.382207086268707</v>
      </c>
      <c r="CR14" s="189">
        <v>-6.8005324749033065</v>
      </c>
      <c r="CS14" s="189">
        <v>-5.8702679514947818</v>
      </c>
      <c r="CT14" s="189">
        <v>-4.2563166546223101</v>
      </c>
      <c r="CU14" s="189">
        <v>-2.7427728801631588</v>
      </c>
      <c r="CV14" s="189">
        <v>-3.996389834155309</v>
      </c>
      <c r="CW14" s="189">
        <v>-3.5</v>
      </c>
      <c r="CX14" s="189">
        <v>-3.8261317411082132</v>
      </c>
      <c r="CY14" s="189"/>
      <c r="CZ14" s="193"/>
      <c r="DA14" s="193"/>
      <c r="DB14" s="193"/>
      <c r="DC14" s="193"/>
      <c r="DD14" s="193"/>
      <c r="DE14" s="193"/>
      <c r="DF14" s="193"/>
      <c r="DG14" s="193"/>
      <c r="DH14" s="193"/>
      <c r="DI14" s="193"/>
      <c r="DJ14" s="193"/>
      <c r="DK14" s="193"/>
      <c r="DL14" s="193"/>
      <c r="DM14" s="193"/>
      <c r="DN14" s="193"/>
      <c r="DO14" s="193"/>
      <c r="DP14" s="193"/>
      <c r="DQ14" s="193"/>
      <c r="DR14" s="193"/>
      <c r="DS14" s="193"/>
      <c r="DT14" s="193"/>
      <c r="DU14" s="193"/>
      <c r="DV14" s="193"/>
      <c r="DW14" s="193"/>
      <c r="DX14" s="193"/>
      <c r="DY14" s="194"/>
      <c r="DZ14" s="194"/>
      <c r="EA14" s="194"/>
      <c r="EB14" s="194"/>
      <c r="EC14" s="194"/>
      <c r="ED14" s="194"/>
      <c r="EE14" s="194"/>
      <c r="EF14" s="194"/>
      <c r="EG14" s="194"/>
      <c r="EH14" s="194"/>
      <c r="EI14" s="194"/>
      <c r="EJ14" s="194"/>
      <c r="EK14" s="194"/>
      <c r="EL14" s="194"/>
      <c r="EM14" s="194"/>
      <c r="EN14" s="194"/>
      <c r="EO14" s="194"/>
      <c r="EP14" s="194"/>
      <c r="EQ14" s="194"/>
      <c r="ER14" s="194"/>
      <c r="ES14" s="194"/>
      <c r="ET14" s="194"/>
      <c r="EU14" s="194"/>
      <c r="EV14" s="194"/>
      <c r="EW14" s="194"/>
      <c r="EX14" s="194"/>
      <c r="EY14" s="194"/>
      <c r="EZ14" s="194"/>
      <c r="FA14" s="194"/>
      <c r="FB14" s="194"/>
      <c r="FC14" s="194"/>
      <c r="FD14" s="194"/>
      <c r="FE14" s="194"/>
      <c r="FF14" s="194"/>
      <c r="FG14" s="194"/>
      <c r="FH14" s="194"/>
      <c r="FI14" s="194"/>
      <c r="FJ14" s="194"/>
      <c r="FK14" s="194"/>
      <c r="FL14" s="194"/>
      <c r="FM14" s="195"/>
      <c r="FN14" s="195"/>
      <c r="FO14" s="195"/>
      <c r="FP14" s="195"/>
      <c r="FQ14" s="195"/>
      <c r="FR14" s="195"/>
      <c r="FS14" s="195"/>
      <c r="FT14" s="194"/>
      <c r="FU14" s="194"/>
      <c r="FV14" s="194"/>
      <c r="FW14" s="194"/>
      <c r="FX14" s="194"/>
      <c r="FY14" s="194"/>
      <c r="FZ14" s="194"/>
      <c r="GA14" s="194"/>
      <c r="GB14" s="194"/>
      <c r="GC14" s="194"/>
      <c r="GD14" s="195"/>
      <c r="GE14" s="195"/>
      <c r="GF14" s="195"/>
      <c r="GG14" s="195"/>
      <c r="GH14" s="195"/>
      <c r="GI14" s="195"/>
      <c r="GJ14" s="195"/>
      <c r="GK14" s="195"/>
    </row>
    <row r="15" spans="1:193">
      <c r="J15" s="104"/>
      <c r="K15" s="104"/>
      <c r="L15" s="104"/>
      <c r="M15" s="104"/>
    </row>
    <row r="16" spans="1:193">
      <c r="J16" s="104"/>
      <c r="K16" s="104"/>
      <c r="L16" s="104"/>
      <c r="M16" s="104"/>
    </row>
    <row r="17" spans="1:103">
      <c r="J17" s="104"/>
      <c r="K17" s="104"/>
      <c r="L17" s="104"/>
      <c r="M17" s="104"/>
      <c r="AF17" s="189"/>
      <c r="AG17" s="189"/>
      <c r="AH17" s="189"/>
      <c r="AI17" s="189"/>
      <c r="AJ17" s="189"/>
      <c r="AK17" s="189"/>
      <c r="AL17" s="189"/>
      <c r="AM17" s="189"/>
      <c r="AN17" s="189"/>
      <c r="AO17" s="189"/>
      <c r="AP17" s="189"/>
      <c r="AQ17" s="189"/>
      <c r="AR17" s="189"/>
      <c r="AS17" s="189"/>
      <c r="AT17" s="188"/>
      <c r="AU17" s="188"/>
      <c r="AV17" s="188"/>
      <c r="AW17" s="188"/>
      <c r="AX17" s="188"/>
      <c r="AY17" s="188"/>
      <c r="AZ17" s="189"/>
      <c r="BA17" s="189"/>
      <c r="BB17" s="189"/>
      <c r="BC17" s="189"/>
      <c r="BD17" s="189"/>
      <c r="BE17" s="189"/>
      <c r="BF17" s="189"/>
      <c r="BG17" s="189"/>
      <c r="BH17" s="189"/>
      <c r="BI17" s="189"/>
      <c r="BJ17" s="189"/>
      <c r="BK17" s="189"/>
      <c r="BL17" s="189"/>
      <c r="BM17" s="189"/>
      <c r="BN17" s="189"/>
      <c r="BO17" s="189"/>
      <c r="BP17" s="189"/>
      <c r="BQ17" s="189">
        <v>72.742381286282352</v>
      </c>
      <c r="BR17" s="189">
        <v>41.34522675183311</v>
      </c>
      <c r="BS17" s="189">
        <v>23.205620890284674</v>
      </c>
      <c r="BT17" s="189">
        <v>26.852168734061575</v>
      </c>
      <c r="BU17" s="189">
        <v>45.132572617562751</v>
      </c>
      <c r="BV17" s="189">
        <v>29.444808289142046</v>
      </c>
      <c r="BW17" s="189">
        <v>5.4705466717337536</v>
      </c>
      <c r="BX17" s="189">
        <v>30.259362240180305</v>
      </c>
      <c r="BY17" s="189">
        <v>21.817648174715771</v>
      </c>
      <c r="BZ17" s="189">
        <v>16.194112906050886</v>
      </c>
      <c r="CA17" s="189">
        <v>16.221014638812253</v>
      </c>
      <c r="CB17" s="189">
        <v>13.873263799554822</v>
      </c>
      <c r="CC17" s="189">
        <v>8.5218349068147958</v>
      </c>
      <c r="CD17" s="189">
        <v>10.080547965707874</v>
      </c>
      <c r="CE17" s="189">
        <v>9.3042124474676964</v>
      </c>
      <c r="CF17" s="189">
        <v>5.6945465208278359</v>
      </c>
      <c r="CG17" s="189">
        <v>5.6763437741245131</v>
      </c>
      <c r="CH17" s="189">
        <v>7.0860274078110335</v>
      </c>
      <c r="CI17" s="189">
        <v>2.1596373395257058</v>
      </c>
      <c r="CJ17" s="189">
        <v>9.9951402221049896</v>
      </c>
      <c r="CK17" s="189">
        <v>5.9675500681826383</v>
      </c>
      <c r="CL17" s="189">
        <v>5.6967233607321566</v>
      </c>
      <c r="CM17" s="189">
        <v>9.0831772702498004</v>
      </c>
      <c r="CN17" s="189">
        <v>10.186267821043822</v>
      </c>
      <c r="CO17" s="189">
        <v>9.5215241768167385</v>
      </c>
      <c r="CP17" s="189">
        <v>13.186666148788794</v>
      </c>
      <c r="CQ17" s="189">
        <v>9.3132107328187121</v>
      </c>
      <c r="CR17" s="189">
        <v>13.196547483608356</v>
      </c>
      <c r="CS17" s="189">
        <v>13.353944754573252</v>
      </c>
      <c r="CT17" s="189">
        <v>14.07983987567944</v>
      </c>
      <c r="CU17" s="189">
        <v>15.857025209476955</v>
      </c>
      <c r="CV17" s="189">
        <v>15.777214611876099</v>
      </c>
      <c r="CW17" s="189">
        <v>17.686344268505927</v>
      </c>
      <c r="CX17" s="189">
        <v>19.817539718111085</v>
      </c>
      <c r="CY17" s="189">
        <v>18.663113310275808</v>
      </c>
    </row>
    <row r="18" spans="1:103">
      <c r="J18" s="104"/>
      <c r="K18" s="104"/>
      <c r="L18" s="104"/>
      <c r="M18" s="104"/>
      <c r="AD18" s="238">
        <f>AVERAGE(AQ18:CY18)</f>
        <v>31.244227889103982</v>
      </c>
      <c r="AE18" s="188">
        <v>42795</v>
      </c>
      <c r="AF18" s="189">
        <v>10.810279229531828</v>
      </c>
      <c r="AG18" s="189">
        <v>12.464716860519795</v>
      </c>
      <c r="AH18" s="189">
        <v>10.526995517491208</v>
      </c>
      <c r="AI18" s="189"/>
      <c r="AJ18" s="189">
        <v>11.694899225377002</v>
      </c>
      <c r="AK18" s="189">
        <v>12.979611459008133</v>
      </c>
      <c r="AL18" s="189">
        <v>11.46525517256088</v>
      </c>
      <c r="AM18" s="189">
        <v>12.956345729024527</v>
      </c>
      <c r="AN18" s="189">
        <v>12.921706856442741</v>
      </c>
      <c r="AO18" s="189">
        <v>11.262089063857818</v>
      </c>
      <c r="AP18" s="189">
        <v>11.927026983975928</v>
      </c>
      <c r="AQ18" s="189">
        <v>10.92215481228483</v>
      </c>
      <c r="AR18" s="189">
        <v>12.083485437189529</v>
      </c>
      <c r="AS18" s="189">
        <v>11.881534704440977</v>
      </c>
      <c r="AT18" s="189">
        <v>14.693235395958899</v>
      </c>
      <c r="AU18" s="189">
        <v>15.489099867299618</v>
      </c>
      <c r="AV18" s="189">
        <v>14.729689408589531</v>
      </c>
      <c r="AW18" s="189">
        <v>20.305875202113487</v>
      </c>
      <c r="AX18" s="189">
        <v>20.500575111301821</v>
      </c>
      <c r="AY18" s="189">
        <v>19.738752364792248</v>
      </c>
      <c r="AZ18" s="189">
        <v>20.597410613430071</v>
      </c>
      <c r="BA18" s="189">
        <v>28.81654501481389</v>
      </c>
      <c r="BB18" s="189">
        <v>27.957965840443681</v>
      </c>
      <c r="BC18" s="189">
        <v>28.620149107215049</v>
      </c>
      <c r="BD18" s="189">
        <v>29.16170864289694</v>
      </c>
      <c r="BE18" s="189">
        <v>27.954526933138386</v>
      </c>
      <c r="BF18" s="189">
        <v>28.080841648227285</v>
      </c>
      <c r="BG18" s="189">
        <v>29.682597168620774</v>
      </c>
      <c r="BH18" s="189">
        <v>28.310840040201878</v>
      </c>
      <c r="BI18" s="189">
        <v>28.659515859389625</v>
      </c>
      <c r="BJ18" s="189">
        <v>30.305582953781744</v>
      </c>
      <c r="BK18" s="189">
        <v>29.343600786508464</v>
      </c>
      <c r="BL18" s="189">
        <v>31.832825162340914</v>
      </c>
      <c r="BM18" s="189">
        <v>31.254007267863141</v>
      </c>
      <c r="BN18" s="189">
        <v>30.317161603709305</v>
      </c>
      <c r="BO18" s="189">
        <v>26.878393557290391</v>
      </c>
      <c r="BP18" s="189">
        <v>33.264019012711273</v>
      </c>
      <c r="BQ18" s="189">
        <v>39.278806961865719</v>
      </c>
      <c r="BR18" s="189">
        <v>43.099506157757311</v>
      </c>
      <c r="BS18" s="189">
        <v>41.810746475179961</v>
      </c>
      <c r="BT18" s="189">
        <v>47.054101374109308</v>
      </c>
      <c r="BU18" s="189">
        <v>46.74619240031469</v>
      </c>
      <c r="BV18" s="189">
        <v>50.991941252256005</v>
      </c>
      <c r="BW18" s="189">
        <v>48.41046689489901</v>
      </c>
      <c r="BX18" s="189">
        <v>35.624016174782085</v>
      </c>
      <c r="BY18" s="189">
        <v>34.056726344583566</v>
      </c>
      <c r="BZ18" s="189">
        <v>33.290388269311613</v>
      </c>
      <c r="CA18" s="189">
        <v>33.134872464127412</v>
      </c>
      <c r="CB18" s="189">
        <v>31.084621167095111</v>
      </c>
      <c r="CC18" s="189">
        <v>31.879794884954091</v>
      </c>
      <c r="CD18" s="189">
        <v>30.995576236403412</v>
      </c>
      <c r="CE18" s="189">
        <v>30.709752546130748</v>
      </c>
      <c r="CF18" s="189">
        <v>30.719751054092598</v>
      </c>
      <c r="CG18" s="189">
        <v>31.465318335314617</v>
      </c>
      <c r="CH18" s="189">
        <v>31.094025432079462</v>
      </c>
      <c r="CI18" s="189">
        <v>30.565009377286206</v>
      </c>
      <c r="CJ18" s="189">
        <v>31.300571433562055</v>
      </c>
      <c r="CK18" s="189">
        <v>32.174615588495939</v>
      </c>
      <c r="CL18" s="189">
        <v>34.971391708845026</v>
      </c>
      <c r="CM18" s="189">
        <v>35.120910845643351</v>
      </c>
      <c r="CN18" s="189">
        <v>34.531739343118986</v>
      </c>
      <c r="CO18" s="189">
        <v>34.608536086078558</v>
      </c>
      <c r="CP18" s="189">
        <v>34.382946421097259</v>
      </c>
      <c r="CQ18" s="189">
        <v>34.055501631713788</v>
      </c>
      <c r="CR18" s="189">
        <v>34.827350585682709</v>
      </c>
      <c r="CS18" s="189">
        <v>35.26176692769026</v>
      </c>
      <c r="CT18" s="189">
        <v>35.162652805308902</v>
      </c>
      <c r="CU18" s="189">
        <v>38.065788750568252</v>
      </c>
      <c r="CV18" s="189">
        <v>38.961986811773912</v>
      </c>
      <c r="CW18" s="189">
        <v>40.11171226199528</v>
      </c>
      <c r="CX18" s="189">
        <v>39.469422466746799</v>
      </c>
      <c r="CY18" s="189">
        <v>39.497300247925004</v>
      </c>
    </row>
    <row r="19" spans="1:103">
      <c r="J19" s="104"/>
      <c r="K19" s="104"/>
      <c r="L19" s="104"/>
      <c r="M19" s="104"/>
      <c r="AD19" s="238">
        <f t="shared" ref="AD19:AD27" si="13">AVERAGE(AQ19:CY19)</f>
        <v>36.616151233481958</v>
      </c>
      <c r="AE19" s="188">
        <v>42901</v>
      </c>
      <c r="AF19" s="189">
        <v>16.820993131379293</v>
      </c>
      <c r="AG19" s="189">
        <v>18.032179870741672</v>
      </c>
      <c r="AH19" s="189">
        <v>20.319850691839381</v>
      </c>
      <c r="AI19" s="189"/>
      <c r="AJ19" s="189">
        <v>22.385217030208583</v>
      </c>
      <c r="AK19" s="189">
        <v>25.344278405683163</v>
      </c>
      <c r="AL19" s="189">
        <v>24.675251432040351</v>
      </c>
      <c r="AM19" s="189">
        <v>26.349629959849235</v>
      </c>
      <c r="AN19" s="189">
        <v>27.921781683945088</v>
      </c>
      <c r="AO19" s="189">
        <v>26.172239542314745</v>
      </c>
      <c r="AP19" s="189">
        <v>25.995427449729458</v>
      </c>
      <c r="AQ19" s="189">
        <v>22.933860993204988</v>
      </c>
      <c r="AR19" s="189">
        <v>24.142746497642001</v>
      </c>
      <c r="AS19" s="189">
        <v>23.967102658528951</v>
      </c>
      <c r="AT19" s="189">
        <v>24.9014946048651</v>
      </c>
      <c r="AU19" s="189">
        <v>25.410934722080135</v>
      </c>
      <c r="AV19" s="189">
        <v>24.753759702011891</v>
      </c>
      <c r="AW19" s="189">
        <v>24.57962799465669</v>
      </c>
      <c r="AX19" s="189">
        <v>24.642474608100972</v>
      </c>
      <c r="AY19" s="189">
        <v>26.250514502974148</v>
      </c>
      <c r="AZ19" s="189">
        <v>26.845306930510596</v>
      </c>
      <c r="BA19" s="189">
        <v>31.26819121125024</v>
      </c>
      <c r="BB19" s="189">
        <v>31.577152510828697</v>
      </c>
      <c r="BC19" s="189">
        <v>31.46947637689626</v>
      </c>
      <c r="BD19" s="189">
        <v>32.465283878745325</v>
      </c>
      <c r="BE19" s="189">
        <v>31.615497907314772</v>
      </c>
      <c r="BF19" s="189">
        <v>32.078198750492156</v>
      </c>
      <c r="BG19" s="189">
        <v>35.717262918564295</v>
      </c>
      <c r="BH19" s="189">
        <v>35.508188873706693</v>
      </c>
      <c r="BI19" s="189">
        <v>35.494726027148133</v>
      </c>
      <c r="BJ19" s="189">
        <v>33.078883552946991</v>
      </c>
      <c r="BK19" s="189">
        <v>33.915339875760232</v>
      </c>
      <c r="BL19" s="189">
        <v>32.460362288667518</v>
      </c>
      <c r="BM19" s="189">
        <v>32.743501414953656</v>
      </c>
      <c r="BN19" s="189">
        <v>31.738515520914248</v>
      </c>
      <c r="BO19" s="189">
        <v>29.817619273774959</v>
      </c>
      <c r="BP19" s="189">
        <v>38.422314926167459</v>
      </c>
      <c r="BQ19" s="189">
        <v>41.243792554774856</v>
      </c>
      <c r="BR19" s="189">
        <v>46.860429060846997</v>
      </c>
      <c r="BS19" s="189">
        <v>48.635859868755752</v>
      </c>
      <c r="BT19" s="189">
        <v>51.551511264217524</v>
      </c>
      <c r="BU19" s="189">
        <v>52.236599221888746</v>
      </c>
      <c r="BV19" s="189">
        <v>56.453985746075546</v>
      </c>
      <c r="BW19" s="189">
        <v>56.774268615610275</v>
      </c>
      <c r="BX19" s="189">
        <v>42.66403978350835</v>
      </c>
      <c r="BY19" s="189">
        <v>40.759254397835669</v>
      </c>
      <c r="BZ19" s="189">
        <v>38.7261131138537</v>
      </c>
      <c r="CA19" s="189">
        <v>37.639180389710667</v>
      </c>
      <c r="CB19" s="189">
        <v>36.408527093151299</v>
      </c>
      <c r="CC19" s="189">
        <v>37.137249834224335</v>
      </c>
      <c r="CD19" s="189">
        <v>36.569715108054417</v>
      </c>
      <c r="CE19" s="189">
        <v>35.573985835650149</v>
      </c>
      <c r="CF19" s="189">
        <v>35.677545521826602</v>
      </c>
      <c r="CG19" s="189">
        <v>36.14477953259059</v>
      </c>
      <c r="CH19" s="189">
        <v>36.62915427071286</v>
      </c>
      <c r="CI19" s="189">
        <v>36.73397465263951</v>
      </c>
      <c r="CJ19" s="189">
        <v>37.262840436020184</v>
      </c>
      <c r="CK19" s="189">
        <v>37.708259391290269</v>
      </c>
      <c r="CL19" s="189">
        <v>41.126982527442621</v>
      </c>
      <c r="CM19" s="189">
        <v>41.689017229077081</v>
      </c>
      <c r="CN19" s="189">
        <v>41.089554151851253</v>
      </c>
      <c r="CO19" s="189">
        <v>41.358123767630161</v>
      </c>
      <c r="CP19" s="189">
        <v>41.031701158656574</v>
      </c>
      <c r="CQ19" s="189">
        <v>40.0436799371668</v>
      </c>
      <c r="CR19" s="189">
        <v>39.865780853164523</v>
      </c>
      <c r="CS19" s="189">
        <v>39.847543824646401</v>
      </c>
      <c r="CT19" s="189">
        <v>39.853421097148377</v>
      </c>
      <c r="CU19" s="189">
        <v>41.272194757778323</v>
      </c>
      <c r="CV19" s="189">
        <v>41.053231355162175</v>
      </c>
      <c r="CW19" s="189">
        <v>42.099676009384645</v>
      </c>
      <c r="CX19" s="189">
        <v>43.324076035050453</v>
      </c>
      <c r="CY19" s="189">
        <v>42.740838322294792</v>
      </c>
    </row>
    <row r="20" spans="1:103">
      <c r="J20" s="104"/>
      <c r="K20" s="104"/>
      <c r="L20" s="104"/>
      <c r="M20" s="104"/>
      <c r="AD20" s="238">
        <f t="shared" si="13"/>
        <v>36.81255646728566</v>
      </c>
      <c r="AE20" s="188">
        <v>43023</v>
      </c>
      <c r="AF20" s="189">
        <v>32.426315342253709</v>
      </c>
      <c r="AG20" s="189">
        <v>33.089185266842513</v>
      </c>
      <c r="AH20" s="189">
        <v>34.653915692712374</v>
      </c>
      <c r="AI20" s="189"/>
      <c r="AJ20" s="189">
        <v>35.934971474606762</v>
      </c>
      <c r="AK20" s="189">
        <v>37.67537668297291</v>
      </c>
      <c r="AL20" s="189">
        <v>38.541901483330982</v>
      </c>
      <c r="AM20" s="189">
        <v>37.58662526478853</v>
      </c>
      <c r="AN20" s="189">
        <v>39.577169852386021</v>
      </c>
      <c r="AO20" s="189">
        <v>35.143020932354801</v>
      </c>
      <c r="AP20" s="189">
        <v>35.336584361937263</v>
      </c>
      <c r="AQ20" s="189">
        <v>34.671480952582186</v>
      </c>
      <c r="AR20" s="189">
        <v>34.724844888661337</v>
      </c>
      <c r="AS20" s="189">
        <v>34.649598939920843</v>
      </c>
      <c r="AT20" s="189">
        <v>35.197927877403991</v>
      </c>
      <c r="AU20" s="189">
        <v>35.950461806329038</v>
      </c>
      <c r="AV20" s="189">
        <v>32.015095206145112</v>
      </c>
      <c r="AW20" s="189">
        <v>30.325254650482709</v>
      </c>
      <c r="AX20" s="189">
        <v>31.320224874123827</v>
      </c>
      <c r="AY20" s="189">
        <v>33.084285543265473</v>
      </c>
      <c r="AZ20" s="189">
        <v>34.209313833626517</v>
      </c>
      <c r="BA20" s="189">
        <v>39.589832872202074</v>
      </c>
      <c r="BB20" s="189">
        <v>39.467367225742457</v>
      </c>
      <c r="BC20" s="189">
        <v>39.679858103432274</v>
      </c>
      <c r="BD20" s="189">
        <v>39.174786692571409</v>
      </c>
      <c r="BE20" s="189">
        <v>38.028545343664462</v>
      </c>
      <c r="BF20" s="189">
        <v>37.858453483730749</v>
      </c>
      <c r="BG20" s="189">
        <v>39.713690145326318</v>
      </c>
      <c r="BH20" s="189">
        <v>39.52071648808667</v>
      </c>
      <c r="BI20" s="189">
        <v>39.135134829464853</v>
      </c>
      <c r="BJ20" s="189">
        <v>39.492883504836563</v>
      </c>
      <c r="BK20" s="189">
        <v>38.375086746155453</v>
      </c>
      <c r="BL20" s="189">
        <v>38.403026881324109</v>
      </c>
      <c r="BM20" s="189">
        <v>38.770000942854068</v>
      </c>
      <c r="BN20" s="189">
        <v>37.219811837877337</v>
      </c>
      <c r="BO20" s="189">
        <v>36.288173614958154</v>
      </c>
      <c r="BP20" s="189">
        <v>42.10338111488813</v>
      </c>
      <c r="BQ20" s="189">
        <v>42.301377040973122</v>
      </c>
      <c r="BR20" s="189">
        <v>43.80618005977049</v>
      </c>
      <c r="BS20" s="189">
        <v>44.707570257570076</v>
      </c>
      <c r="BT20" s="189">
        <v>49.847026105598999</v>
      </c>
      <c r="BU20" s="189">
        <v>49.203881027521945</v>
      </c>
      <c r="BV20" s="189">
        <v>50.375664672179234</v>
      </c>
      <c r="BW20" s="189">
        <v>47.821458118438322</v>
      </c>
      <c r="BX20" s="189">
        <v>37.367974951985403</v>
      </c>
      <c r="BY20" s="189">
        <v>36.022844034335741</v>
      </c>
      <c r="BZ20" s="189">
        <v>34.225910846068977</v>
      </c>
      <c r="CA20" s="189">
        <v>33.27271399768577</v>
      </c>
      <c r="CB20" s="189">
        <v>32.149518768070244</v>
      </c>
      <c r="CC20" s="189">
        <v>32.150145730946669</v>
      </c>
      <c r="CD20" s="189">
        <v>31.505524465951346</v>
      </c>
      <c r="CE20" s="189">
        <v>32.135293844816701</v>
      </c>
      <c r="CF20" s="189">
        <v>31.961319767992453</v>
      </c>
      <c r="CG20" s="189">
        <v>32.092605535460343</v>
      </c>
      <c r="CH20" s="189">
        <v>32.031762850541639</v>
      </c>
      <c r="CI20" s="189">
        <v>31.019421912885456</v>
      </c>
      <c r="CJ20" s="189">
        <v>31.742321754751817</v>
      </c>
      <c r="CK20" s="189">
        <v>33.40655774249079</v>
      </c>
      <c r="CL20" s="189">
        <v>33.921895174935116</v>
      </c>
      <c r="CM20" s="189">
        <v>34.184306374329502</v>
      </c>
      <c r="CN20" s="189">
        <v>33.926890311314459</v>
      </c>
      <c r="CO20" s="189">
        <v>34.609458060117376</v>
      </c>
      <c r="CP20" s="189">
        <v>35.116353680812487</v>
      </c>
      <c r="CQ20" s="189">
        <v>34.22063322053711</v>
      </c>
      <c r="CR20" s="189">
        <v>33.90107126877227</v>
      </c>
      <c r="CS20" s="189">
        <v>34.787259159729899</v>
      </c>
      <c r="CT20" s="189">
        <v>35.339883277028179</v>
      </c>
      <c r="CU20" s="189">
        <v>36.037457874011608</v>
      </c>
      <c r="CV20" s="189">
        <v>36.274683552957363</v>
      </c>
      <c r="CW20" s="189">
        <v>37.838459459929318</v>
      </c>
      <c r="CX20" s="189">
        <v>38.723158989327828</v>
      </c>
      <c r="CY20" s="189">
        <v>38.568122214931407</v>
      </c>
    </row>
    <row r="21" spans="1:103">
      <c r="J21" s="104"/>
      <c r="K21" s="104"/>
      <c r="L21" s="104"/>
      <c r="M21" s="104"/>
      <c r="AD21" s="238">
        <f t="shared" si="13"/>
        <v>36.906595652464304</v>
      </c>
      <c r="AE21" s="188">
        <v>43205</v>
      </c>
      <c r="AF21" s="189">
        <v>29.274749765675907</v>
      </c>
      <c r="AG21" s="189">
        <v>29.084278159318949</v>
      </c>
      <c r="AH21" s="189">
        <v>29.246453764547645</v>
      </c>
      <c r="AI21" s="189"/>
      <c r="AJ21" s="189">
        <v>30.71148342170363</v>
      </c>
      <c r="AK21" s="189">
        <v>29.822938341634295</v>
      </c>
      <c r="AL21" s="189">
        <v>28.718972537350407</v>
      </c>
      <c r="AM21" s="189">
        <v>29.337402599842552</v>
      </c>
      <c r="AN21" s="189">
        <v>30.060739100523648</v>
      </c>
      <c r="AO21" s="189">
        <v>28.827315702726139</v>
      </c>
      <c r="AP21" s="189">
        <v>28.513430779639958</v>
      </c>
      <c r="AQ21" s="189">
        <v>27.598582916791408</v>
      </c>
      <c r="AR21" s="189">
        <v>27.460206049350845</v>
      </c>
      <c r="AS21" s="189">
        <v>27.459458299162733</v>
      </c>
      <c r="AT21" s="189">
        <v>29.606930864014529</v>
      </c>
      <c r="AU21" s="189">
        <v>29.320786116757212</v>
      </c>
      <c r="AV21" s="189">
        <v>28.895364519145364</v>
      </c>
      <c r="AW21" s="189">
        <v>29.94822134320771</v>
      </c>
      <c r="AX21" s="189">
        <v>29.962071076206257</v>
      </c>
      <c r="AY21" s="189">
        <v>29.974398849479847</v>
      </c>
      <c r="AZ21" s="189">
        <v>31.378129307621847</v>
      </c>
      <c r="BA21" s="189">
        <v>36.69524718747703</v>
      </c>
      <c r="BB21" s="189">
        <v>36.900044537551196</v>
      </c>
      <c r="BC21" s="189">
        <v>36.879641802961473</v>
      </c>
      <c r="BD21" s="189">
        <v>36.330771387815908</v>
      </c>
      <c r="BE21" s="189">
        <v>35.083294513062</v>
      </c>
      <c r="BF21" s="189">
        <v>34.804155386241064</v>
      </c>
      <c r="BG21" s="189">
        <v>35.396684965249811</v>
      </c>
      <c r="BH21" s="189">
        <v>35.849847541135958</v>
      </c>
      <c r="BI21" s="189">
        <v>35.845314092408074</v>
      </c>
      <c r="BJ21" s="189">
        <v>39.264955547374669</v>
      </c>
      <c r="BK21" s="189">
        <v>37.949460145745498</v>
      </c>
      <c r="BL21" s="189">
        <v>37.819747775757101</v>
      </c>
      <c r="BM21" s="189">
        <v>39.623971334430223</v>
      </c>
      <c r="BN21" s="189">
        <v>37.524293381406153</v>
      </c>
      <c r="BO21" s="189">
        <v>36.060897303498109</v>
      </c>
      <c r="BP21" s="189">
        <v>40.775967670507313</v>
      </c>
      <c r="BQ21" s="189">
        <v>39.142597103620837</v>
      </c>
      <c r="BR21" s="189">
        <v>41.816579276467806</v>
      </c>
      <c r="BS21" s="189">
        <v>42.763363460477805</v>
      </c>
      <c r="BT21" s="189">
        <v>48.217939698230552</v>
      </c>
      <c r="BU21" s="189">
        <v>47.694462642497548</v>
      </c>
      <c r="BV21" s="189">
        <v>52.228786049147907</v>
      </c>
      <c r="BW21" s="189">
        <v>48.09157423085037</v>
      </c>
      <c r="BX21" s="189">
        <v>36.205015182224862</v>
      </c>
      <c r="BY21" s="189">
        <v>35.080212309303548</v>
      </c>
      <c r="BZ21" s="189">
        <v>34.656495672965974</v>
      </c>
      <c r="CA21" s="189">
        <v>33.825124657082384</v>
      </c>
      <c r="CB21" s="189">
        <v>32.662989804497627</v>
      </c>
      <c r="CC21" s="189">
        <v>32.499398637026822</v>
      </c>
      <c r="CD21" s="189">
        <v>33.000666269476433</v>
      </c>
      <c r="CE21" s="189">
        <v>33.394718245642331</v>
      </c>
      <c r="CF21" s="189">
        <v>33.642925435009516</v>
      </c>
      <c r="CG21" s="189">
        <v>33.5637198542899</v>
      </c>
      <c r="CH21" s="189">
        <v>33.553892901938099</v>
      </c>
      <c r="CI21" s="189">
        <v>33.773959120758029</v>
      </c>
      <c r="CJ21" s="189">
        <v>34.475693366887462</v>
      </c>
      <c r="CK21" s="189">
        <v>36.261961710345851</v>
      </c>
      <c r="CL21" s="189">
        <v>37.850978557202623</v>
      </c>
      <c r="CM21" s="189">
        <v>38.922807558990286</v>
      </c>
      <c r="CN21" s="189">
        <v>39.027338460416836</v>
      </c>
      <c r="CO21" s="189">
        <v>39.949421700855488</v>
      </c>
      <c r="CP21" s="189">
        <v>38.433631585664642</v>
      </c>
      <c r="CQ21" s="189">
        <v>38.185245642513337</v>
      </c>
      <c r="CR21" s="189">
        <v>38.171309478809938</v>
      </c>
      <c r="CS21" s="189">
        <v>38.180755229356301</v>
      </c>
      <c r="CT21" s="189">
        <v>38.140962148440302</v>
      </c>
      <c r="CU21" s="189">
        <v>41.480976134417531</v>
      </c>
      <c r="CV21" s="189">
        <v>43.01442777560014</v>
      </c>
      <c r="CW21" s="189">
        <v>45.911966949729013</v>
      </c>
      <c r="CX21" s="189">
        <v>46.483049770731341</v>
      </c>
      <c r="CY21" s="189">
        <v>46.588944264493797</v>
      </c>
    </row>
    <row r="22" spans="1:103">
      <c r="A22" s="185" t="s">
        <v>502</v>
      </c>
      <c r="B22" s="185" t="str">
        <f t="shared" ref="B22:B39" si="14">A22&amp;" Corp"</f>
        <v>IT0004164775 Corp</v>
      </c>
      <c r="C22" s="185">
        <v>1</v>
      </c>
      <c r="D22" s="236">
        <f>DATEVALUE(_xll.BDP($B22,D$2))</f>
        <v>42767</v>
      </c>
      <c r="E22" s="217"/>
      <c r="F22" s="217">
        <f>_xll.BDP(B22,F$2)</f>
        <v>4</v>
      </c>
      <c r="G22" s="218">
        <f>_xll.BDP($B22,G$2)</f>
        <v>101.315</v>
      </c>
      <c r="H22" s="104">
        <f t="shared" ref="H22:H39" si="15">(G22+I22)/2</f>
        <v>101.32</v>
      </c>
      <c r="I22" s="218">
        <f>_xll.BDP($B22,I$2)</f>
        <v>101.325</v>
      </c>
      <c r="J22" s="107">
        <f>_xll.BDP(B22&amp;"@CBBT Corp",J$2)</f>
        <v>-5.5051986313401056</v>
      </c>
      <c r="K22" s="107"/>
      <c r="L22" s="107"/>
      <c r="M22" s="107"/>
      <c r="N22" s="107"/>
      <c r="AB22" s="183" t="s">
        <v>754</v>
      </c>
      <c r="AC22" s="183" t="s">
        <v>753</v>
      </c>
      <c r="AD22" s="238">
        <f t="shared" si="13"/>
        <v>43.536878739038563</v>
      </c>
      <c r="AE22" s="188">
        <v>43405</v>
      </c>
      <c r="AF22" s="189">
        <v>36.864346045247864</v>
      </c>
      <c r="AG22" s="189">
        <v>36.410929383456377</v>
      </c>
      <c r="AH22" s="189">
        <v>35.978869169731496</v>
      </c>
      <c r="AI22" s="189"/>
      <c r="AJ22" s="189">
        <v>36.473658966693996</v>
      </c>
      <c r="AK22" s="189">
        <v>37.714340009704983</v>
      </c>
      <c r="AL22" s="189">
        <v>36.270381994557518</v>
      </c>
      <c r="AM22" s="189">
        <v>38.503818181161563</v>
      </c>
      <c r="AN22" s="189">
        <v>39.716427126614754</v>
      </c>
      <c r="AO22" s="189">
        <v>37.790836192413856</v>
      </c>
      <c r="AP22" s="189">
        <v>38.575813097732755</v>
      </c>
      <c r="AQ22" s="189">
        <v>37.204958863793259</v>
      </c>
      <c r="AR22" s="189">
        <v>35.529908611530182</v>
      </c>
      <c r="AS22" s="189">
        <v>35.538230850935769</v>
      </c>
      <c r="AT22" s="189">
        <v>36.773173792601746</v>
      </c>
      <c r="AU22" s="189">
        <v>36.743168496246426</v>
      </c>
      <c r="AV22" s="189">
        <v>35.668001676900921</v>
      </c>
      <c r="AW22" s="189">
        <v>36.515434448284964</v>
      </c>
      <c r="AX22" s="189">
        <v>35.670733042407697</v>
      </c>
      <c r="AY22" s="189">
        <v>38.124761784809422</v>
      </c>
      <c r="AZ22" s="189">
        <v>36.544017490826207</v>
      </c>
      <c r="BA22" s="189">
        <v>40.77788541487454</v>
      </c>
      <c r="BB22" s="189">
        <v>41.077630605151498</v>
      </c>
      <c r="BC22" s="189">
        <v>40.84037395650612</v>
      </c>
      <c r="BD22" s="189">
        <v>40.561829338297244</v>
      </c>
      <c r="BE22" s="189">
        <v>40.071748649231971</v>
      </c>
      <c r="BF22" s="189">
        <v>39.74457934658885</v>
      </c>
      <c r="BG22" s="189">
        <v>39.794317052358835</v>
      </c>
      <c r="BH22" s="189">
        <v>40.192316628076163</v>
      </c>
      <c r="BI22" s="189">
        <v>17.2496057983908</v>
      </c>
      <c r="BJ22" s="189">
        <v>47.175575151489106</v>
      </c>
      <c r="BK22" s="189">
        <v>47.587412418906283</v>
      </c>
      <c r="BL22" s="189">
        <v>48.705094207798339</v>
      </c>
      <c r="BM22" s="189">
        <v>48.84275217926055</v>
      </c>
      <c r="BN22" s="189">
        <v>47.289832917214639</v>
      </c>
      <c r="BO22" s="189">
        <v>44.58725696034292</v>
      </c>
      <c r="BP22" s="189">
        <v>51.299112687766467</v>
      </c>
      <c r="BQ22" s="189">
        <v>47.357444280385124</v>
      </c>
      <c r="BR22" s="189">
        <v>50.459761756709945</v>
      </c>
      <c r="BS22" s="189">
        <v>51.25686728093072</v>
      </c>
      <c r="BT22" s="189">
        <v>55.847846733637908</v>
      </c>
      <c r="BU22" s="189">
        <v>56.051252804529312</v>
      </c>
      <c r="BV22" s="189">
        <v>58.49145405148515</v>
      </c>
      <c r="BW22" s="189">
        <v>56.949003185931488</v>
      </c>
      <c r="BX22" s="189">
        <v>42.989458055630777</v>
      </c>
      <c r="BY22" s="189">
        <v>41.967097433595278</v>
      </c>
      <c r="BZ22" s="189">
        <v>41.514630343642985</v>
      </c>
      <c r="CA22" s="189">
        <v>41.495314552392436</v>
      </c>
      <c r="CB22" s="189">
        <v>40.395136353958776</v>
      </c>
      <c r="CC22" s="189">
        <v>39.944772979268997</v>
      </c>
      <c r="CD22" s="189">
        <v>39.278114026714</v>
      </c>
      <c r="CE22" s="189">
        <v>39.887231685181909</v>
      </c>
      <c r="CF22" s="189">
        <v>40.801763968666016</v>
      </c>
      <c r="CG22" s="189">
        <v>41.083089894475194</v>
      </c>
      <c r="CH22" s="189">
        <v>41.051960171826238</v>
      </c>
      <c r="CI22" s="189">
        <v>42.817924516926404</v>
      </c>
      <c r="CJ22" s="189">
        <v>43.327336936915898</v>
      </c>
      <c r="CK22" s="189">
        <v>43.276836170046124</v>
      </c>
      <c r="CL22" s="189">
        <v>44.800578977191179</v>
      </c>
      <c r="CM22" s="189">
        <v>44.636628361272521</v>
      </c>
      <c r="CN22" s="189">
        <v>43.583468772479357</v>
      </c>
      <c r="CO22" s="189">
        <v>45.672477365668968</v>
      </c>
      <c r="CP22" s="189">
        <v>45.571761859418444</v>
      </c>
      <c r="CQ22" s="189">
        <v>46.602227499645814</v>
      </c>
      <c r="CR22" s="189">
        <v>45.403946301251203</v>
      </c>
      <c r="CS22" s="189">
        <v>44.995555506649303</v>
      </c>
      <c r="CT22" s="189">
        <v>45.409965739648477</v>
      </c>
      <c r="CU22" s="189">
        <v>48.959592351265854</v>
      </c>
      <c r="CV22" s="189">
        <v>48.458242442975276</v>
      </c>
      <c r="CW22" s="189">
        <v>50.752488102499733</v>
      </c>
      <c r="CX22" s="189">
        <v>52.399004546535139</v>
      </c>
      <c r="CY22" s="189">
        <v>52.149655701409458</v>
      </c>
    </row>
    <row r="23" spans="1:103">
      <c r="A23" s="185" t="s">
        <v>508</v>
      </c>
      <c r="B23" s="185" t="str">
        <f t="shared" si="14"/>
        <v>IT0004793474 Corp</v>
      </c>
      <c r="C23" s="185">
        <v>2</v>
      </c>
      <c r="D23" s="236">
        <f>DATEVALUE(_xll.BDP($B23,D$2))</f>
        <v>42856</v>
      </c>
      <c r="E23" s="217"/>
      <c r="F23" s="217">
        <f>_xll.BDP(B23,F$2)</f>
        <v>4.75</v>
      </c>
      <c r="G23" s="218">
        <f>_xll.BDP($B23,G$2)</f>
        <v>102.79</v>
      </c>
      <c r="H23" s="104">
        <f t="shared" si="15"/>
        <v>102.795</v>
      </c>
      <c r="I23" s="218">
        <f>_xll.BDP($B23,I$2)</f>
        <v>102.8</v>
      </c>
      <c r="J23" s="107">
        <f>_xll.BDP(B23&amp;"@CBBT Corp",J$2)</f>
        <v>3.4504157136791025</v>
      </c>
      <c r="K23" s="107"/>
      <c r="L23" s="107"/>
      <c r="M23" s="107"/>
      <c r="N23" s="107"/>
      <c r="AB23" s="186">
        <f t="shared" ref="AB23:AB26" si="16">AQ23-AQ22</f>
        <v>3.4620648199581225</v>
      </c>
      <c r="AC23" s="186">
        <f>AD23-AD22</f>
        <v>6.8361079551945352</v>
      </c>
      <c r="AD23" s="238">
        <f t="shared" si="13"/>
        <v>50.372986694233099</v>
      </c>
      <c r="AE23" s="188">
        <v>43784</v>
      </c>
      <c r="AF23" s="189">
        <v>42.947344000334724</v>
      </c>
      <c r="AG23" s="189">
        <v>42.957004623024837</v>
      </c>
      <c r="AH23" s="189">
        <v>42.662201983806384</v>
      </c>
      <c r="AI23" s="189"/>
      <c r="AJ23" s="189">
        <v>43.455653532627231</v>
      </c>
      <c r="AK23" s="189">
        <v>43.96529446935029</v>
      </c>
      <c r="AL23" s="189">
        <v>41.01860792086562</v>
      </c>
      <c r="AM23" s="189">
        <v>42.005100711531398</v>
      </c>
      <c r="AN23" s="189">
        <v>43.33932823926822</v>
      </c>
      <c r="AO23" s="189">
        <v>41.934393052230973</v>
      </c>
      <c r="AP23" s="189">
        <v>42.499292513290683</v>
      </c>
      <c r="AQ23" s="189">
        <v>40.667023683751381</v>
      </c>
      <c r="AR23" s="189">
        <v>41.849873607738679</v>
      </c>
      <c r="AS23" s="189">
        <v>41.032198159749299</v>
      </c>
      <c r="AT23" s="189">
        <v>42.269959338642749</v>
      </c>
      <c r="AU23" s="189">
        <v>42.243173444616566</v>
      </c>
      <c r="AV23" s="189">
        <v>39.978840965676596</v>
      </c>
      <c r="AW23" s="189">
        <v>41.906632485959854</v>
      </c>
      <c r="AX23" s="189">
        <v>40.618339080731239</v>
      </c>
      <c r="AY23" s="189">
        <v>40.815866205120685</v>
      </c>
      <c r="AZ23" s="189">
        <v>39.677815893703176</v>
      </c>
      <c r="BA23" s="189">
        <v>47.692571526275195</v>
      </c>
      <c r="BB23" s="189">
        <v>48.722089625072208</v>
      </c>
      <c r="BC23" s="189">
        <v>48.773154484647861</v>
      </c>
      <c r="BD23" s="189">
        <v>49.713832647619476</v>
      </c>
      <c r="BE23" s="189">
        <v>49.035966439574622</v>
      </c>
      <c r="BF23" s="189">
        <v>48.498984314911958</v>
      </c>
      <c r="BG23" s="189">
        <v>50.109991605568354</v>
      </c>
      <c r="BH23" s="189">
        <v>50.842699597692643</v>
      </c>
      <c r="BI23" s="189">
        <v>49.919440488333336</v>
      </c>
      <c r="BJ23" s="189">
        <v>54.445193989288349</v>
      </c>
      <c r="BK23" s="189">
        <v>54.690727459702394</v>
      </c>
      <c r="BL23" s="189">
        <v>56.818504217937047</v>
      </c>
      <c r="BM23" s="189">
        <v>56.441641285287922</v>
      </c>
      <c r="BN23" s="189">
        <v>54.243139600919584</v>
      </c>
      <c r="BO23" s="189">
        <v>53.052831915852757</v>
      </c>
      <c r="BP23" s="189">
        <v>58.87481496011214</v>
      </c>
      <c r="BQ23" s="189">
        <v>53.275171844727424</v>
      </c>
      <c r="BR23" s="189">
        <v>54.461124724294258</v>
      </c>
      <c r="BS23" s="189">
        <v>55.03555046526558</v>
      </c>
      <c r="BT23" s="189">
        <v>60.878115256494326</v>
      </c>
      <c r="BU23" s="189">
        <v>60.432722809709546</v>
      </c>
      <c r="BV23" s="189">
        <v>62.449632259133608</v>
      </c>
      <c r="BW23" s="189">
        <v>60.598065523321523</v>
      </c>
      <c r="BX23" s="189">
        <v>49.631907864048706</v>
      </c>
      <c r="BY23" s="189">
        <v>48.302532270910596</v>
      </c>
      <c r="BZ23" s="189">
        <v>47.88546347081315</v>
      </c>
      <c r="CA23" s="189">
        <v>47.957869861784658</v>
      </c>
      <c r="CB23" s="189">
        <v>46.610764207619241</v>
      </c>
      <c r="CC23" s="189">
        <v>46.592443738334993</v>
      </c>
      <c r="CD23" s="189">
        <v>45.444618415600196</v>
      </c>
      <c r="CE23" s="189">
        <v>45.983858750501419</v>
      </c>
      <c r="CF23" s="189">
        <v>47.121973763622641</v>
      </c>
      <c r="CG23" s="189">
        <v>47.627879576575353</v>
      </c>
      <c r="CH23" s="189">
        <v>47.236096758866132</v>
      </c>
      <c r="CI23" s="189">
        <v>48.077442759441006</v>
      </c>
      <c r="CJ23" s="189">
        <v>48.117670736421886</v>
      </c>
      <c r="CK23" s="189">
        <v>49.397274686217976</v>
      </c>
      <c r="CL23" s="189">
        <v>51.114697841731292</v>
      </c>
      <c r="CM23" s="189">
        <v>51.343387622917056</v>
      </c>
      <c r="CN23" s="189">
        <v>50.70014294974834</v>
      </c>
      <c r="CO23" s="189">
        <v>52.751924129160074</v>
      </c>
      <c r="CP23" s="189">
        <v>52.648710331808772</v>
      </c>
      <c r="CQ23" s="189">
        <v>54.185298167520067</v>
      </c>
      <c r="CR23" s="189">
        <v>51.72853695444779</v>
      </c>
      <c r="CS23" s="189">
        <v>52.087492761589893</v>
      </c>
      <c r="CT23" s="189">
        <v>52.91012825621911</v>
      </c>
      <c r="CU23" s="189">
        <v>55.751848881406772</v>
      </c>
      <c r="CV23" s="189">
        <v>56.89326174127541</v>
      </c>
      <c r="CW23" s="189">
        <v>57.088798359040041</v>
      </c>
      <c r="CX23" s="189">
        <v>58.778795604652409</v>
      </c>
      <c r="CY23" s="189">
        <v>58.715677978511238</v>
      </c>
    </row>
    <row r="24" spans="1:103">
      <c r="A24" s="185" t="s">
        <v>510</v>
      </c>
      <c r="B24" s="185" t="str">
        <f t="shared" si="14"/>
        <v>IT0004820426 Corp</v>
      </c>
      <c r="C24" s="185">
        <v>3</v>
      </c>
      <c r="D24" s="236">
        <f>DATEVALUE(_xll.BDP($B24,D$2))</f>
        <v>42887</v>
      </c>
      <c r="E24" s="217"/>
      <c r="F24" s="217">
        <f>_xll.BDP(B24,F$2)</f>
        <v>4.75</v>
      </c>
      <c r="G24" s="218">
        <f>_xll.BDP($B24,G$2)</f>
        <v>103.205</v>
      </c>
      <c r="H24" s="104">
        <f t="shared" si="15"/>
        <v>103.21000000000001</v>
      </c>
      <c r="I24" s="218">
        <f>_xll.BDP($B24,I$2)</f>
        <v>103.215</v>
      </c>
      <c r="J24" s="107">
        <f>_xll.BDP(B24&amp;"@CBBT Corp",J$2)</f>
        <v>4.4054333851696983</v>
      </c>
      <c r="K24" s="107"/>
      <c r="L24" s="107"/>
      <c r="M24" s="107"/>
      <c r="N24" s="107"/>
      <c r="AB24" s="186">
        <f t="shared" si="16"/>
        <v>11.665134027257537</v>
      </c>
      <c r="AC24" s="186">
        <f>AD24-AD23</f>
        <v>12.032176496393681</v>
      </c>
      <c r="AD24" s="238">
        <f t="shared" si="13"/>
        <v>62.40516319062678</v>
      </c>
      <c r="AE24" s="188">
        <v>44180</v>
      </c>
      <c r="AF24" s="189">
        <v>51.32143222361222</v>
      </c>
      <c r="AG24" s="189">
        <v>51.195024784580966</v>
      </c>
      <c r="AH24" s="189">
        <v>50.558592579905692</v>
      </c>
      <c r="AI24" s="189"/>
      <c r="AJ24" s="189">
        <v>51.539624816867345</v>
      </c>
      <c r="AK24" s="189">
        <v>52.245988895302474</v>
      </c>
      <c r="AL24" s="189">
        <v>50.569356625530318</v>
      </c>
      <c r="AM24" s="189">
        <v>50.844842399865492</v>
      </c>
      <c r="AN24" s="189">
        <v>52.866493216607644</v>
      </c>
      <c r="AO24" s="189">
        <v>51.804521065109753</v>
      </c>
      <c r="AP24" s="189">
        <v>53.113807836764757</v>
      </c>
      <c r="AQ24" s="189">
        <v>52.332157711008918</v>
      </c>
      <c r="AR24" s="189">
        <v>53.458285722341692</v>
      </c>
      <c r="AS24" s="189">
        <v>53.328657747626202</v>
      </c>
      <c r="AT24" s="189">
        <v>54.987627342315641</v>
      </c>
      <c r="AU24" s="189">
        <v>55.242413621040576</v>
      </c>
      <c r="AV24" s="189">
        <v>53.0119596127997</v>
      </c>
      <c r="AW24" s="189">
        <v>53.028501274664819</v>
      </c>
      <c r="AX24" s="189">
        <v>52.951703360445684</v>
      </c>
      <c r="AY24" s="189">
        <v>52.298802835014037</v>
      </c>
      <c r="AZ24" s="189">
        <v>52.232107430629782</v>
      </c>
      <c r="BA24" s="189">
        <v>60.51301350454969</v>
      </c>
      <c r="BB24" s="189">
        <v>60.920197119410922</v>
      </c>
      <c r="BC24" s="189">
        <v>59.957230727481758</v>
      </c>
      <c r="BD24" s="189">
        <v>61.158764799389118</v>
      </c>
      <c r="BE24" s="189">
        <v>59.936711535663292</v>
      </c>
      <c r="BF24" s="189">
        <v>59.309924340736892</v>
      </c>
      <c r="BG24" s="189">
        <v>59.937051745163508</v>
      </c>
      <c r="BH24" s="189">
        <v>60.643173430636651</v>
      </c>
      <c r="BI24" s="189">
        <v>60.064789861216781</v>
      </c>
      <c r="BJ24" s="189">
        <v>65.388251832878026</v>
      </c>
      <c r="BK24" s="189">
        <v>64.610946890021395</v>
      </c>
      <c r="BL24" s="189">
        <v>67.409171025717129</v>
      </c>
      <c r="BM24" s="189">
        <v>66.189993682051352</v>
      </c>
      <c r="BN24" s="189">
        <v>63.763199168840984</v>
      </c>
      <c r="BO24" s="189">
        <v>62.696398413374332</v>
      </c>
      <c r="BP24" s="189">
        <v>67.863930366054532</v>
      </c>
      <c r="BQ24" s="189">
        <v>65.045783137218322</v>
      </c>
      <c r="BR24" s="189">
        <v>67.941340646636675</v>
      </c>
      <c r="BS24" s="189">
        <v>69.455694707425465</v>
      </c>
      <c r="BT24" s="189">
        <v>74.254974180039056</v>
      </c>
      <c r="BU24" s="189">
        <v>75.800615653171675</v>
      </c>
      <c r="BV24" s="189">
        <v>76.99418258017954</v>
      </c>
      <c r="BW24" s="189">
        <v>74.991202713239531</v>
      </c>
      <c r="BX24" s="189">
        <v>63.409539755821079</v>
      </c>
      <c r="BY24" s="189">
        <v>61.590437547593645</v>
      </c>
      <c r="BZ24" s="189">
        <v>60.697145386622978</v>
      </c>
      <c r="CA24" s="189">
        <v>61.447793482630587</v>
      </c>
      <c r="CB24" s="189">
        <v>59.150370916818716</v>
      </c>
      <c r="CC24" s="189">
        <v>59.25279942886565</v>
      </c>
      <c r="CD24" s="189">
        <v>58.603407641357059</v>
      </c>
      <c r="CE24" s="189">
        <v>58.465402744379091</v>
      </c>
      <c r="CF24" s="189">
        <v>59.526629731534854</v>
      </c>
      <c r="CG24" s="189">
        <v>59.566351075360977</v>
      </c>
      <c r="CH24" s="189">
        <v>59.299549203403529</v>
      </c>
      <c r="CI24" s="189">
        <v>60.378607312400661</v>
      </c>
      <c r="CJ24" s="189">
        <v>60.944846434041423</v>
      </c>
      <c r="CK24" s="189">
        <v>62.325416045455775</v>
      </c>
      <c r="CL24" s="189">
        <v>64.625473580500113</v>
      </c>
      <c r="CM24" s="189">
        <v>64.146689416905417</v>
      </c>
      <c r="CN24" s="189">
        <v>63.616580887378696</v>
      </c>
      <c r="CO24" s="189">
        <v>65.971365865734469</v>
      </c>
      <c r="CP24" s="189">
        <v>65.607614828122607</v>
      </c>
      <c r="CQ24" s="189">
        <v>66.191047225188854</v>
      </c>
      <c r="CR24" s="189">
        <v>64.525347469363311</v>
      </c>
      <c r="CS24" s="189">
        <v>64.406373055086078</v>
      </c>
      <c r="CT24" s="189">
        <v>64.697834048997763</v>
      </c>
      <c r="CU24" s="189">
        <v>66.032644373318547</v>
      </c>
      <c r="CV24" s="189">
        <v>67.037208154411942</v>
      </c>
      <c r="CW24" s="189">
        <v>68.700957306027291</v>
      </c>
      <c r="CX24" s="189">
        <v>69.501400267585737</v>
      </c>
      <c r="CY24" s="189">
        <v>69.277362724343988</v>
      </c>
    </row>
    <row r="25" spans="1:103">
      <c r="A25" s="185" t="s">
        <v>514</v>
      </c>
      <c r="B25" s="185" t="str">
        <f t="shared" si="14"/>
        <v>IT0003242747 Corp</v>
      </c>
      <c r="C25" s="185">
        <v>4</v>
      </c>
      <c r="D25" s="236">
        <f>DATEVALUE(_xll.BDP($B25,D$2))</f>
        <v>42948</v>
      </c>
      <c r="E25" s="217"/>
      <c r="F25" s="217">
        <f>_xll.BDP(B25,F$2)</f>
        <v>5.25</v>
      </c>
      <c r="G25" s="218">
        <f>_xll.BDP($B25,G$2)</f>
        <v>104.42</v>
      </c>
      <c r="H25" s="104">
        <f t="shared" si="15"/>
        <v>104.42500000000001</v>
      </c>
      <c r="I25" s="218">
        <f>_xll.BDP($B25,I$2)</f>
        <v>104.43</v>
      </c>
      <c r="J25" s="107">
        <f>_xll.BDP(B25&amp;"@CBBT Corp",J$2)</f>
        <v>9.6457285573795772</v>
      </c>
      <c r="K25" s="107"/>
      <c r="L25" s="107"/>
      <c r="M25" s="107"/>
      <c r="N25" s="107"/>
      <c r="AB25" s="186">
        <f t="shared" si="16"/>
        <v>12.025914944141704</v>
      </c>
      <c r="AC25" s="186">
        <f>AD25-AD24</f>
        <v>12.218645544556253</v>
      </c>
      <c r="AD25" s="238">
        <f t="shared" si="13"/>
        <v>74.623808735183033</v>
      </c>
      <c r="AE25" s="188">
        <v>44727</v>
      </c>
      <c r="AF25" s="189">
        <v>63.815658186242416</v>
      </c>
      <c r="AG25" s="189">
        <v>63.734270818491851</v>
      </c>
      <c r="AH25" s="189">
        <v>62.932973042252932</v>
      </c>
      <c r="AI25" s="189"/>
      <c r="AJ25" s="189">
        <v>63.268147372761121</v>
      </c>
      <c r="AK25" s="189">
        <v>64.581665110166455</v>
      </c>
      <c r="AL25" s="189">
        <v>62.613839822968522</v>
      </c>
      <c r="AM25" s="189">
        <v>62.558148601040806</v>
      </c>
      <c r="AN25" s="189">
        <v>64.495606308413443</v>
      </c>
      <c r="AO25" s="189">
        <v>63.683114300726402</v>
      </c>
      <c r="AP25" s="189">
        <v>64.801579512195971</v>
      </c>
      <c r="AQ25" s="189">
        <v>64.358072655150622</v>
      </c>
      <c r="AR25" s="189">
        <v>64.221102490098389</v>
      </c>
      <c r="AS25" s="189">
        <v>64.491724934949801</v>
      </c>
      <c r="AT25" s="189">
        <v>66.449577642715923</v>
      </c>
      <c r="AU25" s="189">
        <v>66.989650294081869</v>
      </c>
      <c r="AV25" s="189">
        <v>64.98971592517546</v>
      </c>
      <c r="AW25" s="189">
        <v>67.426132785499064</v>
      </c>
      <c r="AX25" s="189">
        <v>65.915050759128647</v>
      </c>
      <c r="AY25" s="189">
        <v>65.313975842995333</v>
      </c>
      <c r="AZ25" s="189">
        <v>64.466520561273242</v>
      </c>
      <c r="BA25" s="189">
        <v>71.468623442970227</v>
      </c>
      <c r="BB25" s="189">
        <v>72.720736400224709</v>
      </c>
      <c r="BC25" s="189">
        <v>72.397538470476135</v>
      </c>
      <c r="BD25" s="189">
        <v>73.729664602207293</v>
      </c>
      <c r="BE25" s="189">
        <v>72.8569303333406</v>
      </c>
      <c r="BF25" s="189">
        <v>71.953734328843112</v>
      </c>
      <c r="BG25" s="189">
        <v>71.634902694282289</v>
      </c>
      <c r="BH25" s="189">
        <v>73.82939800639322</v>
      </c>
      <c r="BI25" s="189">
        <v>72.753066751928998</v>
      </c>
      <c r="BJ25" s="189">
        <v>77.238816006016677</v>
      </c>
      <c r="BK25" s="189">
        <v>77.040666463415249</v>
      </c>
      <c r="BL25" s="189">
        <v>78.321438494958912</v>
      </c>
      <c r="BM25" s="189">
        <v>78.812217649004921</v>
      </c>
      <c r="BN25" s="189">
        <v>75.863653729618974</v>
      </c>
      <c r="BO25" s="189">
        <v>75.084239733198956</v>
      </c>
      <c r="BP25" s="189">
        <v>81.062576783084637</v>
      </c>
      <c r="BQ25" s="189">
        <v>76.038540590283063</v>
      </c>
      <c r="BR25" s="189">
        <v>79.060959808686619</v>
      </c>
      <c r="BS25" s="189">
        <v>80.480594079548126</v>
      </c>
      <c r="BT25" s="189">
        <v>86.285473169885393</v>
      </c>
      <c r="BU25" s="189">
        <v>86.820143482621162</v>
      </c>
      <c r="BV25" s="189">
        <v>88.675398247495707</v>
      </c>
      <c r="BW25" s="189">
        <v>86.843113588858103</v>
      </c>
      <c r="BX25" s="189">
        <v>75.984398144839432</v>
      </c>
      <c r="BY25" s="189">
        <v>73.877550177424595</v>
      </c>
      <c r="BZ25" s="189">
        <v>73.971339042412836</v>
      </c>
      <c r="CA25" s="189">
        <v>75.521871243582211</v>
      </c>
      <c r="CB25" s="189">
        <v>72.260943923211542</v>
      </c>
      <c r="CC25" s="189">
        <v>72.195659946447208</v>
      </c>
      <c r="CD25" s="189">
        <v>71.641350541935068</v>
      </c>
      <c r="CE25" s="189">
        <v>71.960091994572522</v>
      </c>
      <c r="CF25" s="189">
        <v>72.771445315322723</v>
      </c>
      <c r="CG25" s="189">
        <v>73.08592164593135</v>
      </c>
      <c r="CH25" s="189">
        <v>72.911146438109597</v>
      </c>
      <c r="CI25" s="189">
        <v>73.052322876258771</v>
      </c>
      <c r="CJ25" s="189">
        <v>72.925510756798289</v>
      </c>
      <c r="CK25" s="189">
        <v>74.639162062064401</v>
      </c>
      <c r="CL25" s="189">
        <v>76.467876283560912</v>
      </c>
      <c r="CM25" s="189">
        <v>76.66367359198685</v>
      </c>
      <c r="CN25" s="189">
        <v>76.490391791253188</v>
      </c>
      <c r="CO25" s="189">
        <v>78.358803852948242</v>
      </c>
      <c r="CP25" s="189">
        <v>78.749273895243689</v>
      </c>
      <c r="CQ25" s="189">
        <v>78.585770882956879</v>
      </c>
      <c r="CR25" s="189">
        <v>75.644756230456522</v>
      </c>
      <c r="CS25" s="189">
        <v>75.612951875380205</v>
      </c>
      <c r="CT25" s="189">
        <v>75.836561459633998</v>
      </c>
      <c r="CU25" s="189">
        <v>78.197494133757104</v>
      </c>
      <c r="CV25" s="189">
        <v>79.476720475102979</v>
      </c>
      <c r="CW25" s="189">
        <v>80.065046681388651</v>
      </c>
      <c r="CX25" s="189">
        <v>81.217437198253592</v>
      </c>
      <c r="CY25" s="189">
        <v>78.292909636921948</v>
      </c>
    </row>
    <row r="26" spans="1:103">
      <c r="A26" s="185" t="s">
        <v>519</v>
      </c>
      <c r="B26" s="185" t="str">
        <f t="shared" si="14"/>
        <v>IT0004867070 Corp</v>
      </c>
      <c r="C26" s="185">
        <v>5</v>
      </c>
      <c r="D26" s="236">
        <f>DATEVALUE(_xll.BDP($B26,D$2))</f>
        <v>43040</v>
      </c>
      <c r="E26" s="217"/>
      <c r="F26" s="217">
        <f>_xll.BDP(B26,F$2)</f>
        <v>3.5</v>
      </c>
      <c r="G26" s="218">
        <f>_xll.BDP($B26,G$2)</f>
        <v>103.88500000000001</v>
      </c>
      <c r="H26" s="104">
        <f t="shared" si="15"/>
        <v>103.8875</v>
      </c>
      <c r="I26" s="218">
        <f>_xll.BDP($B26,I$2)</f>
        <v>103.89</v>
      </c>
      <c r="J26" s="107">
        <f>_xll.BDP(B26&amp;"@CBBT Corp",J$2)</f>
        <v>18.6425549776629</v>
      </c>
      <c r="K26" s="107"/>
      <c r="L26" s="107"/>
      <c r="M26" s="107"/>
      <c r="N26" s="107"/>
      <c r="AB26" s="186">
        <f t="shared" si="16"/>
        <v>7.9813032508960617</v>
      </c>
      <c r="AC26" s="186">
        <f>AD26-AD25</f>
        <v>8.085616265117622</v>
      </c>
      <c r="AD26" s="238">
        <f t="shared" si="13"/>
        <v>82.709425000300655</v>
      </c>
      <c r="AE26" s="188">
        <v>44910</v>
      </c>
      <c r="AF26" s="189">
        <v>73.201071576868884</v>
      </c>
      <c r="AG26" s="189">
        <v>73.346285035736614</v>
      </c>
      <c r="AH26" s="189">
        <v>72.014417134448763</v>
      </c>
      <c r="AI26" s="189"/>
      <c r="AJ26" s="189">
        <v>72.654340488299397</v>
      </c>
      <c r="AK26" s="189">
        <v>73.683299050342555</v>
      </c>
      <c r="AL26" s="189">
        <v>71.700618860587994</v>
      </c>
      <c r="AM26" s="189">
        <v>71.422762409855096</v>
      </c>
      <c r="AN26" s="189">
        <v>73.401592643129874</v>
      </c>
      <c r="AO26" s="189">
        <v>71.755328005161772</v>
      </c>
      <c r="AP26" s="189">
        <v>72.572363779642615</v>
      </c>
      <c r="AQ26" s="189">
        <v>72.339375906046683</v>
      </c>
      <c r="AR26" s="189">
        <v>72.493899871637907</v>
      </c>
      <c r="AS26" s="189">
        <v>72.749028529735142</v>
      </c>
      <c r="AT26" s="189">
        <v>74.738941104349735</v>
      </c>
      <c r="AU26" s="189">
        <v>74.851593082843365</v>
      </c>
      <c r="AV26" s="189">
        <v>73.916984223333145</v>
      </c>
      <c r="AW26" s="189">
        <v>75.541890668194796</v>
      </c>
      <c r="AX26" s="189">
        <v>74.04988589457686</v>
      </c>
      <c r="AY26" s="189">
        <v>73.797939570098137</v>
      </c>
      <c r="AZ26" s="189">
        <v>72.71396357893866</v>
      </c>
      <c r="BA26" s="189">
        <v>78.926922441112694</v>
      </c>
      <c r="BB26" s="189">
        <v>79.664209991831868</v>
      </c>
      <c r="BC26" s="189">
        <v>79.401655432335573</v>
      </c>
      <c r="BD26" s="189">
        <v>80.585729955821762</v>
      </c>
      <c r="BE26" s="189">
        <v>79.455350033607786</v>
      </c>
      <c r="BF26" s="189">
        <v>78.643187968636042</v>
      </c>
      <c r="BG26" s="189">
        <v>78.739815620875262</v>
      </c>
      <c r="BH26" s="189">
        <v>80.554391712203795</v>
      </c>
      <c r="BI26" s="189">
        <v>79.299712653094886</v>
      </c>
      <c r="BJ26" s="189">
        <v>84.239837556431041</v>
      </c>
      <c r="BK26" s="189">
        <v>84.115048136281615</v>
      </c>
      <c r="BL26" s="189">
        <v>86.056564674694144</v>
      </c>
      <c r="BM26" s="189">
        <v>86.409374851062353</v>
      </c>
      <c r="BN26" s="189">
        <v>82.948351781426013</v>
      </c>
      <c r="BO26" s="189">
        <v>82.493810162397665</v>
      </c>
      <c r="BP26" s="189">
        <v>88.491386862892057</v>
      </c>
      <c r="BQ26" s="189">
        <v>82.964795648356585</v>
      </c>
      <c r="BR26" s="189">
        <v>86.030371556310783</v>
      </c>
      <c r="BS26" s="189">
        <v>87.142181967154414</v>
      </c>
      <c r="BT26" s="189">
        <v>91.740350803125537</v>
      </c>
      <c r="BU26" s="189">
        <v>93.887120910203052</v>
      </c>
      <c r="BV26" s="189">
        <v>95.970307083340444</v>
      </c>
      <c r="BW26" s="189">
        <v>93.599376342861291</v>
      </c>
      <c r="BX26" s="189">
        <v>83.542256761454723</v>
      </c>
      <c r="BY26" s="189">
        <v>81.611781320879331</v>
      </c>
      <c r="BZ26" s="189">
        <v>82.623545970346754</v>
      </c>
      <c r="CA26" s="189">
        <v>83.600825766330402</v>
      </c>
      <c r="CB26" s="189">
        <v>80.048983336296232</v>
      </c>
      <c r="CC26" s="189">
        <v>80.568072093676761</v>
      </c>
      <c r="CD26" s="189">
        <v>79.957067226090842</v>
      </c>
      <c r="CE26" s="189">
        <v>80.756015074446196</v>
      </c>
      <c r="CF26" s="189">
        <v>81.680844446156058</v>
      </c>
      <c r="CG26" s="189">
        <v>81.898270252403876</v>
      </c>
      <c r="CH26" s="189">
        <v>81.797973951571151</v>
      </c>
      <c r="CI26" s="189">
        <v>81.82915631925971</v>
      </c>
      <c r="CJ26" s="189">
        <v>81.88395240008677</v>
      </c>
      <c r="CK26" s="189">
        <v>83.446834011305455</v>
      </c>
      <c r="CL26" s="189">
        <v>85.23328802769727</v>
      </c>
      <c r="CM26" s="189">
        <v>85.570249785914257</v>
      </c>
      <c r="CN26" s="189">
        <v>85.445984880878299</v>
      </c>
      <c r="CO26" s="189">
        <v>86.940712492661021</v>
      </c>
      <c r="CP26" s="189">
        <v>88.262105531685677</v>
      </c>
      <c r="CQ26" s="189">
        <v>87.454993309444447</v>
      </c>
      <c r="CR26" s="189">
        <v>84.466540779516549</v>
      </c>
      <c r="CS26" s="189">
        <v>84.652613243198047</v>
      </c>
      <c r="CT26" s="189">
        <v>84.777318040392117</v>
      </c>
      <c r="CU26" s="189">
        <v>87.867518030479246</v>
      </c>
      <c r="CV26" s="189">
        <v>89.426919361677918</v>
      </c>
      <c r="CW26" s="189">
        <v>90.501489060305303</v>
      </c>
      <c r="CX26" s="189">
        <v>91.517369856568678</v>
      </c>
      <c r="CY26" s="189">
        <v>89.358887111805387</v>
      </c>
    </row>
    <row r="27" spans="1:103">
      <c r="A27" s="185" t="s">
        <v>523</v>
      </c>
      <c r="B27" s="185" t="str">
        <f t="shared" si="14"/>
        <v>IT0004273493 Corp</v>
      </c>
      <c r="C27" s="185">
        <v>6</v>
      </c>
      <c r="D27" s="236">
        <f>DATEVALUE(_xll.BDP($B27,D$2))</f>
        <v>43132</v>
      </c>
      <c r="E27" s="217"/>
      <c r="F27" s="217">
        <f>_xll.BDP(B27,F$2)</f>
        <v>4.5</v>
      </c>
      <c r="G27" s="218">
        <f>_xll.BDP($B27,G$2)</f>
        <v>106.03</v>
      </c>
      <c r="H27" s="104">
        <f t="shared" si="15"/>
        <v>106.035</v>
      </c>
      <c r="I27" s="218">
        <f>_xll.BDP($B27,I$2)</f>
        <v>106.04</v>
      </c>
      <c r="J27" s="107">
        <f>_xll.BDP(B27&amp;"@CBBT Corp",J$2)</f>
        <v>25.493959252998849</v>
      </c>
      <c r="K27" s="107"/>
      <c r="L27" s="107"/>
      <c r="M27" s="107"/>
      <c r="N27" s="107"/>
      <c r="AB27" s="186">
        <f>AQ27-AQ26</f>
        <v>7.4831215357737619</v>
      </c>
      <c r="AC27" s="186">
        <f>AD27-AD26</f>
        <v>7.449292078937475</v>
      </c>
      <c r="AD27" s="238">
        <f t="shared" si="13"/>
        <v>90.15871707923813</v>
      </c>
      <c r="AE27" s="188">
        <v>45122</v>
      </c>
      <c r="AF27" s="189">
        <v>81.473363613686104</v>
      </c>
      <c r="AG27" s="189">
        <v>81.435196619135027</v>
      </c>
      <c r="AH27" s="189">
        <v>80.888938045051859</v>
      </c>
      <c r="AI27" s="189"/>
      <c r="AJ27" s="189">
        <v>82.059647218113525</v>
      </c>
      <c r="AK27" s="189">
        <v>82.310824150386836</v>
      </c>
      <c r="AL27" s="189">
        <v>79.453041690958557</v>
      </c>
      <c r="AM27" s="189">
        <v>79.186680608242867</v>
      </c>
      <c r="AN27" s="189">
        <v>80.676362737458845</v>
      </c>
      <c r="AO27" s="189">
        <v>78.871604940163024</v>
      </c>
      <c r="AP27" s="189">
        <v>80.153157042020212</v>
      </c>
      <c r="AQ27" s="189">
        <v>79.822497441820445</v>
      </c>
      <c r="AR27" s="189">
        <v>79.660473722885769</v>
      </c>
      <c r="AS27" s="189">
        <v>79.649631679567136</v>
      </c>
      <c r="AT27" s="189">
        <v>82.025784566887012</v>
      </c>
      <c r="AU27" s="189">
        <v>82.358241371376693</v>
      </c>
      <c r="AV27" s="189">
        <v>81.822825206933047</v>
      </c>
      <c r="AW27" s="189">
        <v>82.30462015759754</v>
      </c>
      <c r="AX27" s="189">
        <v>81.241021859959332</v>
      </c>
      <c r="AY27" s="189">
        <v>81.097224891730775</v>
      </c>
      <c r="AZ27" s="189">
        <v>80.225601362600486</v>
      </c>
      <c r="BA27" s="189">
        <v>86.873058321977751</v>
      </c>
      <c r="BB27" s="189">
        <v>87.886867480839939</v>
      </c>
      <c r="BC27" s="189">
        <v>86.960568852506356</v>
      </c>
      <c r="BD27" s="189">
        <v>87.049641114508418</v>
      </c>
      <c r="BE27" s="189">
        <v>86.136140035769941</v>
      </c>
      <c r="BF27" s="189">
        <v>85.615527892718873</v>
      </c>
      <c r="BG27" s="189">
        <v>84.74147383720144</v>
      </c>
      <c r="BH27" s="189">
        <v>86.872764622377048</v>
      </c>
      <c r="BI27" s="189">
        <v>86.030609495254794</v>
      </c>
      <c r="BJ27" s="189">
        <v>91.602241820164011</v>
      </c>
      <c r="BK27" s="189">
        <v>92.110827775571508</v>
      </c>
      <c r="BL27" s="189">
        <v>93.452919696704129</v>
      </c>
      <c r="BM27" s="189">
        <v>93.643138551363222</v>
      </c>
      <c r="BN27" s="189">
        <v>90.552779677461899</v>
      </c>
      <c r="BO27" s="189">
        <v>89.958500479300469</v>
      </c>
      <c r="BP27" s="189">
        <v>98.053499280442239</v>
      </c>
      <c r="BQ27" s="189">
        <v>90.711832529350943</v>
      </c>
      <c r="BR27" s="189">
        <v>93.273796301312103</v>
      </c>
      <c r="BS27" s="189">
        <v>94.10769653020094</v>
      </c>
      <c r="BT27" s="189">
        <v>98.413592746238066</v>
      </c>
      <c r="BU27" s="189">
        <v>101.33078746442318</v>
      </c>
      <c r="BV27" s="189">
        <v>102.81484094494417</v>
      </c>
      <c r="BW27" s="189">
        <v>101.34023802639958</v>
      </c>
      <c r="BX27" s="189">
        <v>90.972778105757527</v>
      </c>
      <c r="BY27" s="189">
        <v>89.079244723074353</v>
      </c>
      <c r="BZ27" s="189">
        <v>90.597970785042392</v>
      </c>
      <c r="CA27" s="189">
        <v>91.065743543517542</v>
      </c>
      <c r="CB27" s="189">
        <v>89.104693825324574</v>
      </c>
      <c r="CC27" s="189">
        <v>89.87565159133257</v>
      </c>
      <c r="CD27" s="189">
        <v>88.799240894413444</v>
      </c>
      <c r="CE27" s="189">
        <v>89.243973019644869</v>
      </c>
      <c r="CF27" s="189">
        <v>90.240268733875936</v>
      </c>
      <c r="CG27" s="189">
        <v>90.538151044988638</v>
      </c>
      <c r="CH27" s="189">
        <v>90.417955515567698</v>
      </c>
      <c r="CI27" s="189">
        <v>90.332508437067403</v>
      </c>
      <c r="CJ27" s="189">
        <v>90.375420975049806</v>
      </c>
      <c r="CK27" s="189">
        <v>92.520468965047598</v>
      </c>
      <c r="CL27" s="189">
        <v>94.282830837547834</v>
      </c>
      <c r="CM27" s="189">
        <v>94.270983404922049</v>
      </c>
      <c r="CN27" s="189">
        <v>92.780429218161586</v>
      </c>
      <c r="CO27" s="189">
        <v>94.629284709768356</v>
      </c>
      <c r="CP27" s="189">
        <v>95.072095699649665</v>
      </c>
      <c r="CQ27" s="189">
        <v>94.136060282811243</v>
      </c>
      <c r="CR27" s="189">
        <v>91.608831271715189</v>
      </c>
      <c r="CS27" s="189">
        <v>91.995348922287306</v>
      </c>
      <c r="CT27" s="189">
        <v>92.119474251493926</v>
      </c>
      <c r="CU27" s="189">
        <v>95.013925521308835</v>
      </c>
      <c r="CV27" s="189">
        <v>96.553488164245636</v>
      </c>
      <c r="CW27" s="189">
        <v>96.989510654652562</v>
      </c>
      <c r="CX27" s="189">
        <v>97.16542591763293</v>
      </c>
      <c r="CY27" s="189"/>
    </row>
    <row r="28" spans="1:103">
      <c r="A28" s="185" t="s">
        <v>529</v>
      </c>
      <c r="B28" s="185" t="str">
        <f t="shared" si="14"/>
        <v>IT0005106049 Corp</v>
      </c>
      <c r="C28" s="185">
        <v>7</v>
      </c>
      <c r="D28" s="236">
        <f>DATEVALUE(_xll.BDP($B28,D$2))</f>
        <v>43235</v>
      </c>
      <c r="E28" s="217"/>
      <c r="F28" s="217">
        <f>_xll.BDP(B28,F$2)</f>
        <v>0.25</v>
      </c>
      <c r="G28" s="218">
        <f>_xll.BDP($B28,G$2)</f>
        <v>100.53</v>
      </c>
      <c r="H28" s="104">
        <f t="shared" si="15"/>
        <v>100.535</v>
      </c>
      <c r="I28" s="218">
        <f>_xll.BDP($B28,I$2)</f>
        <v>100.54</v>
      </c>
      <c r="J28" s="107">
        <f>_xll.BDP(B28&amp;"@CBBT Corp",J$2)</f>
        <v>31.456829883778223</v>
      </c>
      <c r="K28" s="107"/>
      <c r="L28" s="107"/>
      <c r="M28" s="107"/>
      <c r="N28" s="107"/>
    </row>
    <row r="29" spans="1:103">
      <c r="A29" s="185" t="s">
        <v>437</v>
      </c>
      <c r="B29" s="185" t="str">
        <f t="shared" si="14"/>
        <v>IT0004361041 Corp</v>
      </c>
      <c r="C29" s="185">
        <v>8</v>
      </c>
      <c r="D29" s="236">
        <f>DATEVALUE(_xll.BDP($B29,D$2))</f>
        <v>43313</v>
      </c>
      <c r="E29" s="217"/>
      <c r="F29" s="217">
        <f>_xll.BDP(B29,F$2)</f>
        <v>4.5</v>
      </c>
      <c r="G29" s="218">
        <f>_xll.BDP($B29,G$2)</f>
        <v>108.19</v>
      </c>
      <c r="H29" s="104">
        <f t="shared" si="15"/>
        <v>108.19499999999999</v>
      </c>
      <c r="I29" s="218">
        <f>_xll.BDP($B29,I$2)</f>
        <v>108.2</v>
      </c>
      <c r="J29" s="107">
        <f>_xll.BDP(B29&amp;"@CBBT Corp",J$2)</f>
        <v>35.168566950552744</v>
      </c>
      <c r="K29" s="107"/>
      <c r="L29" s="107"/>
      <c r="M29" s="107"/>
      <c r="N29" s="107"/>
    </row>
    <row r="30" spans="1:103">
      <c r="A30" s="185" t="s">
        <v>438</v>
      </c>
      <c r="B30" s="185" t="str">
        <f t="shared" si="14"/>
        <v>IT0004957574 Corp</v>
      </c>
      <c r="C30" s="185">
        <v>9</v>
      </c>
      <c r="D30" s="236">
        <f>DATEVALUE(_xll.BDP($B30,D$2))</f>
        <v>43435</v>
      </c>
      <c r="E30" s="217"/>
      <c r="F30" s="217">
        <f>_xll.BDP(B30,F$2)</f>
        <v>3.5</v>
      </c>
      <c r="G30" s="218">
        <f>_xll.BDP($B30,G$2)</f>
        <v>107.565</v>
      </c>
      <c r="H30" s="104">
        <f t="shared" si="15"/>
        <v>107.57</v>
      </c>
      <c r="I30" s="218">
        <f>_xll.BDP($B30,I$2)</f>
        <v>107.575</v>
      </c>
      <c r="J30" s="107">
        <f>_xll.BDP(B30&amp;"@CBBT Corp",J$2)</f>
        <v>35.836273128183237</v>
      </c>
      <c r="K30" s="107"/>
      <c r="L30" s="107"/>
      <c r="M30" s="107"/>
      <c r="N30" s="107"/>
      <c r="AE30" s="183" t="s">
        <v>751</v>
      </c>
      <c r="AF30" s="186"/>
      <c r="AG30" s="186"/>
      <c r="AH30" s="186"/>
      <c r="AI30" s="186"/>
      <c r="AJ30" s="186"/>
      <c r="AK30" s="186"/>
      <c r="AL30" s="186"/>
      <c r="AM30" s="186"/>
      <c r="AN30" s="186"/>
      <c r="AO30" s="186"/>
      <c r="AP30" s="186"/>
      <c r="AQ30" s="186"/>
      <c r="AR30" s="186"/>
      <c r="AS30" s="186"/>
      <c r="AT30" s="186"/>
      <c r="AU30" s="186"/>
      <c r="AV30" s="186"/>
      <c r="AW30" s="186">
        <f>AW26-AW24</f>
        <v>22.513389393529977</v>
      </c>
      <c r="AX30" s="186">
        <f t="shared" ref="AX30:CY30" si="17">AX26-AX24</f>
        <v>21.098182534131176</v>
      </c>
      <c r="AY30" s="186">
        <f t="shared" si="17"/>
        <v>21.4991367350841</v>
      </c>
      <c r="AZ30" s="186">
        <f t="shared" si="17"/>
        <v>20.481856148308879</v>
      </c>
      <c r="BA30" s="186">
        <f t="shared" si="17"/>
        <v>18.413908936563004</v>
      </c>
      <c r="BB30" s="186">
        <f t="shared" si="17"/>
        <v>18.744012872420946</v>
      </c>
      <c r="BC30" s="186">
        <f t="shared" si="17"/>
        <v>19.444424704853816</v>
      </c>
      <c r="BD30" s="186">
        <f t="shared" si="17"/>
        <v>19.426965156432644</v>
      </c>
      <c r="BE30" s="186">
        <f t="shared" si="17"/>
        <v>19.518638497944494</v>
      </c>
      <c r="BF30" s="186">
        <f t="shared" si="17"/>
        <v>19.33326362789915</v>
      </c>
      <c r="BG30" s="186">
        <f t="shared" si="17"/>
        <v>18.802763875711754</v>
      </c>
      <c r="BH30" s="186">
        <f t="shared" si="17"/>
        <v>19.911218281567145</v>
      </c>
      <c r="BI30" s="186">
        <f t="shared" si="17"/>
        <v>19.234922791878105</v>
      </c>
      <c r="BJ30" s="186">
        <f t="shared" si="17"/>
        <v>18.851585723553015</v>
      </c>
      <c r="BK30" s="186">
        <f t="shared" si="17"/>
        <v>19.50410124626022</v>
      </c>
      <c r="BL30" s="186">
        <f t="shared" si="17"/>
        <v>18.647393648977015</v>
      </c>
      <c r="BM30" s="186">
        <f t="shared" si="17"/>
        <v>20.219381169011001</v>
      </c>
      <c r="BN30" s="186">
        <f t="shared" si="17"/>
        <v>19.185152612585028</v>
      </c>
      <c r="BO30" s="186">
        <f t="shared" si="17"/>
        <v>19.797411749023333</v>
      </c>
      <c r="BP30" s="186">
        <f t="shared" si="17"/>
        <v>20.627456496837524</v>
      </c>
      <c r="BQ30" s="186">
        <f t="shared" si="17"/>
        <v>17.919012511138263</v>
      </c>
      <c r="BR30" s="186">
        <f t="shared" si="17"/>
        <v>18.089030909674108</v>
      </c>
      <c r="BS30" s="186">
        <f t="shared" si="17"/>
        <v>17.686487259728949</v>
      </c>
      <c r="BT30" s="186">
        <f t="shared" si="17"/>
        <v>17.485376623086481</v>
      </c>
      <c r="BU30" s="186">
        <f t="shared" si="17"/>
        <v>18.086505257031376</v>
      </c>
      <c r="BV30" s="186">
        <f t="shared" si="17"/>
        <v>18.976124503160904</v>
      </c>
      <c r="BW30" s="186">
        <f t="shared" si="17"/>
        <v>18.60817362962176</v>
      </c>
      <c r="BX30" s="186">
        <f t="shared" si="17"/>
        <v>20.132717005633644</v>
      </c>
      <c r="BY30" s="186">
        <f t="shared" si="17"/>
        <v>20.021343773285686</v>
      </c>
      <c r="BZ30" s="186">
        <f t="shared" si="17"/>
        <v>21.926400583723776</v>
      </c>
      <c r="CA30" s="186">
        <f t="shared" si="17"/>
        <v>22.153032283699815</v>
      </c>
      <c r="CB30" s="186">
        <f t="shared" si="17"/>
        <v>20.898612419477516</v>
      </c>
      <c r="CC30" s="186">
        <f t="shared" si="17"/>
        <v>21.315272664811111</v>
      </c>
      <c r="CD30" s="186">
        <f t="shared" si="17"/>
        <v>21.353659584733784</v>
      </c>
      <c r="CE30" s="186">
        <f t="shared" si="17"/>
        <v>22.290612330067106</v>
      </c>
      <c r="CF30" s="186">
        <f t="shared" si="17"/>
        <v>22.154214714621205</v>
      </c>
      <c r="CG30" s="186">
        <f t="shared" si="17"/>
        <v>22.331919177042899</v>
      </c>
      <c r="CH30" s="186">
        <f t="shared" si="17"/>
        <v>22.498424748167622</v>
      </c>
      <c r="CI30" s="186">
        <f t="shared" si="17"/>
        <v>21.450549006859049</v>
      </c>
      <c r="CJ30" s="186">
        <f t="shared" si="17"/>
        <v>20.939105966045346</v>
      </c>
      <c r="CK30" s="186">
        <f t="shared" si="17"/>
        <v>21.12141796584968</v>
      </c>
      <c r="CL30" s="186">
        <f t="shared" si="17"/>
        <v>20.607814447197157</v>
      </c>
      <c r="CM30" s="186">
        <f t="shared" si="17"/>
        <v>21.42356036900884</v>
      </c>
      <c r="CN30" s="186">
        <f t="shared" si="17"/>
        <v>21.829403993499604</v>
      </c>
      <c r="CO30" s="186">
        <f t="shared" si="17"/>
        <v>20.969346626926551</v>
      </c>
      <c r="CP30" s="186">
        <f t="shared" si="17"/>
        <v>22.65449070356307</v>
      </c>
      <c r="CQ30" s="186">
        <f t="shared" si="17"/>
        <v>21.263946084255593</v>
      </c>
      <c r="CR30" s="186">
        <f t="shared" si="17"/>
        <v>19.941193310153238</v>
      </c>
      <c r="CS30" s="186">
        <f t="shared" si="17"/>
        <v>20.246240188111969</v>
      </c>
      <c r="CT30" s="186">
        <f t="shared" si="17"/>
        <v>20.079483991394355</v>
      </c>
      <c r="CU30" s="186">
        <f t="shared" si="17"/>
        <v>21.834873657160699</v>
      </c>
      <c r="CV30" s="186">
        <f t="shared" si="17"/>
        <v>22.389711207265975</v>
      </c>
      <c r="CW30" s="186">
        <f t="shared" si="17"/>
        <v>21.800531754278012</v>
      </c>
      <c r="CX30" s="186">
        <f t="shared" si="17"/>
        <v>22.015969588982941</v>
      </c>
      <c r="CY30" s="186">
        <f t="shared" si="17"/>
        <v>20.0815243874614</v>
      </c>
    </row>
    <row r="31" spans="1:103">
      <c r="A31" s="185" t="s">
        <v>443</v>
      </c>
      <c r="B31" s="185" t="str">
        <f t="shared" si="14"/>
        <v>IT0004489610 Corp</v>
      </c>
      <c r="C31" s="185">
        <v>10</v>
      </c>
      <c r="D31" s="236">
        <f>DATEVALUE(_xll.BDP($B31,D$2))</f>
        <v>43709</v>
      </c>
      <c r="E31" s="217"/>
      <c r="F31" s="217">
        <f>_xll.BDP(B31,F$2)</f>
        <v>4.25</v>
      </c>
      <c r="G31" s="218">
        <f>_xll.BDP($B31,G$2)</f>
        <v>112.07</v>
      </c>
      <c r="H31" s="104">
        <f t="shared" si="15"/>
        <v>112.07499999999999</v>
      </c>
      <c r="I31" s="218">
        <f>_xll.BDP($B31,I$2)</f>
        <v>112.08</v>
      </c>
      <c r="J31" s="107">
        <f>_xll.BDP(B31&amp;"@CBBT Corp",J$2)</f>
        <v>46.396033865138051</v>
      </c>
      <c r="K31" s="107"/>
      <c r="L31" s="107"/>
      <c r="M31" s="107"/>
      <c r="N31" s="107"/>
    </row>
    <row r="32" spans="1:103">
      <c r="A32" s="185" t="s">
        <v>444</v>
      </c>
      <c r="B32" s="185" t="str">
        <f t="shared" si="14"/>
        <v>IT0005069395 Corp</v>
      </c>
      <c r="C32" s="185">
        <v>11</v>
      </c>
      <c r="D32" s="236">
        <f>DATEVALUE(_xll.BDP($B32,D$2))</f>
        <v>43800</v>
      </c>
      <c r="E32" s="217"/>
      <c r="F32" s="217">
        <f>_xll.BDP(B32,F$2)</f>
        <v>1.05</v>
      </c>
      <c r="G32" s="218">
        <f>_xll.BDP($B32,G$2)</f>
        <v>103.05500000000001</v>
      </c>
      <c r="H32" s="104">
        <f t="shared" si="15"/>
        <v>103.0625</v>
      </c>
      <c r="I32" s="218">
        <f>_xll.BDP($B32,I$2)</f>
        <v>103.07</v>
      </c>
      <c r="J32" s="107">
        <f>_xll.BDP(B32&amp;"@CBBT Corp",J$2)</f>
        <v>47.268244340919132</v>
      </c>
      <c r="K32" s="107"/>
      <c r="L32" s="107"/>
      <c r="M32" s="107"/>
      <c r="N32" s="107"/>
    </row>
    <row r="33" spans="1:14">
      <c r="A33" s="185" t="s">
        <v>448</v>
      </c>
      <c r="B33" s="185" t="str">
        <f t="shared" si="14"/>
        <v>IT0004594930 Corp</v>
      </c>
      <c r="C33" s="185">
        <v>12</v>
      </c>
      <c r="D33" s="236">
        <f>DATEVALUE(_xll.BDP($B33,D$2))</f>
        <v>44075</v>
      </c>
      <c r="E33" s="217"/>
      <c r="F33" s="217">
        <f>_xll.BDP(B33,F$2)</f>
        <v>4</v>
      </c>
      <c r="G33" s="218">
        <f>_xll.BDP($B33,G$2)</f>
        <v>114.75</v>
      </c>
      <c r="H33" s="104">
        <f t="shared" si="15"/>
        <v>114.75999999999999</v>
      </c>
      <c r="I33" s="218">
        <f>_xll.BDP($B33,I$2)</f>
        <v>114.77</v>
      </c>
      <c r="J33" s="107">
        <f>_xll.BDP(B33&amp;"@CBBT Corp",J$2)</f>
        <v>55.865705256011019</v>
      </c>
      <c r="K33" s="107"/>
      <c r="L33" s="107"/>
      <c r="M33" s="107"/>
      <c r="N33" s="107"/>
    </row>
    <row r="34" spans="1:14">
      <c r="A34" s="185" t="s">
        <v>449</v>
      </c>
      <c r="B34" s="185" t="str">
        <f t="shared" si="14"/>
        <v>IT0004634132 Corp</v>
      </c>
      <c r="C34" s="185">
        <v>13</v>
      </c>
      <c r="D34" s="236">
        <f>DATEVALUE(_xll.BDP($B34,D$2))</f>
        <v>44256</v>
      </c>
      <c r="E34" s="217"/>
      <c r="F34" s="217">
        <f>_xll.BDP(B34,F$2)</f>
        <v>3.75</v>
      </c>
      <c r="G34" s="218">
        <f>_xll.BDP($B34,G$2)</f>
        <v>115.15</v>
      </c>
      <c r="H34" s="104">
        <f t="shared" si="15"/>
        <v>115.1575</v>
      </c>
      <c r="I34" s="218">
        <f>_xll.BDP($B34,I$2)</f>
        <v>115.16500000000001</v>
      </c>
      <c r="J34" s="107">
        <f>_xll.BDP(B34&amp;"@CBBT Corp",J$2)</f>
        <v>61.924388344098332</v>
      </c>
      <c r="K34" s="107"/>
      <c r="L34" s="107"/>
      <c r="M34" s="107"/>
      <c r="N34" s="107"/>
    </row>
    <row r="35" spans="1:14">
      <c r="A35" s="185" t="s">
        <v>454</v>
      </c>
      <c r="B35" s="185" t="str">
        <f t="shared" si="14"/>
        <v>IT0004759673 Corp</v>
      </c>
      <c r="C35" s="185">
        <v>14</v>
      </c>
      <c r="D35" s="236">
        <f>DATEVALUE(_xll.BDP($B35,D$2))</f>
        <v>44621</v>
      </c>
      <c r="E35" s="217"/>
      <c r="F35" s="217">
        <f>_xll.BDP(B35,F$2)</f>
        <v>5</v>
      </c>
      <c r="G35" s="218">
        <f>_xll.BDP($B35,G$2)</f>
        <v>123.61499999999999</v>
      </c>
      <c r="H35" s="104">
        <f t="shared" si="15"/>
        <v>123.625</v>
      </c>
      <c r="I35" s="218">
        <f>_xll.BDP($B35,I$2)</f>
        <v>123.63500000000001</v>
      </c>
      <c r="J35" s="107">
        <f>_xll.BDP(B35&amp;"@CBBT Corp",J$2)</f>
        <v>83.54065413803815</v>
      </c>
      <c r="K35" s="107"/>
      <c r="L35" s="107"/>
      <c r="M35" s="107"/>
      <c r="N35" s="107"/>
    </row>
    <row r="36" spans="1:14">
      <c r="A36" s="185" t="s">
        <v>456</v>
      </c>
      <c r="B36" s="185" t="str">
        <f t="shared" si="14"/>
        <v>IT0004801541 Corp</v>
      </c>
      <c r="C36" s="185">
        <v>15</v>
      </c>
      <c r="D36" s="236">
        <f>DATEVALUE(_xll.BDP($B36,D$2))</f>
        <v>44805</v>
      </c>
      <c r="E36" s="217"/>
      <c r="F36" s="217">
        <f>_xll.BDP(B36,F$2)</f>
        <v>5.5</v>
      </c>
      <c r="G36" s="218">
        <f>_xll.BDP($B36,G$2)</f>
        <v>128.15</v>
      </c>
      <c r="H36" s="104">
        <f t="shared" si="15"/>
        <v>128.16500000000002</v>
      </c>
      <c r="I36" s="218">
        <f>_xll.BDP($B36,I$2)</f>
        <v>128.18</v>
      </c>
      <c r="J36" s="107">
        <f>_xll.BDP(B36&amp;"@CBBT Corp",J$2)</f>
        <v>87.804800872715759</v>
      </c>
      <c r="K36" s="107"/>
      <c r="L36" s="107"/>
      <c r="M36" s="107"/>
      <c r="N36" s="107"/>
    </row>
    <row r="37" spans="1:14">
      <c r="A37" s="185" t="s">
        <v>457</v>
      </c>
      <c r="B37" s="185" t="str">
        <f t="shared" si="14"/>
        <v>IT0004848831 Corp</v>
      </c>
      <c r="C37" s="185">
        <v>16</v>
      </c>
      <c r="D37" s="236">
        <f>DATEVALUE(_xll.BDP($B37,D$2))</f>
        <v>44866</v>
      </c>
      <c r="E37" s="217"/>
      <c r="F37" s="217">
        <f>_xll.BDP(B37,F$2)</f>
        <v>5.5</v>
      </c>
      <c r="G37" s="218">
        <f>_xll.BDP($B37,G$2)</f>
        <v>128.48500000000001</v>
      </c>
      <c r="H37" s="104">
        <f t="shared" si="15"/>
        <v>128.4975</v>
      </c>
      <c r="I37" s="218">
        <f>_xll.BDP($B37,I$2)</f>
        <v>128.51</v>
      </c>
      <c r="J37" s="107">
        <f>_xll.BDP(B37&amp;"@CBBT Corp",J$2)</f>
        <v>93.262967895949373</v>
      </c>
      <c r="K37" s="107"/>
      <c r="L37" s="107"/>
      <c r="M37" s="107"/>
      <c r="N37" s="107"/>
    </row>
    <row r="38" spans="1:14">
      <c r="A38" s="185" t="s">
        <v>458</v>
      </c>
      <c r="B38" s="185" t="str">
        <f t="shared" si="14"/>
        <v>IT0004898034 Corp</v>
      </c>
      <c r="C38" s="185">
        <v>17</v>
      </c>
      <c r="D38" s="236">
        <f>DATEVALUE(_xll.BDP($B38,D$2))</f>
        <v>45047</v>
      </c>
      <c r="E38" s="217"/>
      <c r="F38" s="217">
        <f>_xll.BDP(B38,F$2)</f>
        <v>4.5</v>
      </c>
      <c r="G38" s="218">
        <f>_xll.BDP($B38,G$2)</f>
        <v>123.685</v>
      </c>
      <c r="H38" s="104">
        <f t="shared" si="15"/>
        <v>123.7</v>
      </c>
      <c r="I38" s="218">
        <f>_xll.BDP($B38,I$2)</f>
        <v>123.715</v>
      </c>
      <c r="J38" s="107">
        <f>_xll.BDP(B38&amp;"@CBBT Corp",J$2)</f>
        <v>98.1745496732661</v>
      </c>
      <c r="K38" s="107"/>
      <c r="L38" s="107"/>
      <c r="M38" s="107"/>
      <c r="N38" s="107"/>
    </row>
    <row r="39" spans="1:14">
      <c r="A39" s="185" t="s">
        <v>459</v>
      </c>
      <c r="B39" s="185" t="str">
        <f t="shared" si="14"/>
        <v>IT0004356843 Corp</v>
      </c>
      <c r="C39" s="185">
        <v>18</v>
      </c>
      <c r="D39" s="236">
        <f>DATEVALUE(_xll.BDP($B39,D$2))</f>
        <v>45139</v>
      </c>
      <c r="E39" s="217"/>
      <c r="F39" s="217">
        <f>_xll.BDP(B39,F$2)</f>
        <v>4.75</v>
      </c>
      <c r="G39" s="218">
        <f>_xll.BDP($B39,G$2)</f>
        <v>126.145</v>
      </c>
      <c r="H39" s="104">
        <f t="shared" si="15"/>
        <v>126.16</v>
      </c>
      <c r="I39" s="218">
        <f>_xll.BDP($B39,I$2)</f>
        <v>126.175</v>
      </c>
      <c r="J39" s="107">
        <f>_xll.BDP(B39&amp;"@CBBT Corp",J$2)</f>
        <v>97.16016853515373</v>
      </c>
      <c r="K39" s="107"/>
      <c r="L39" s="107"/>
      <c r="M39" s="107"/>
      <c r="N39" s="107"/>
    </row>
  </sheetData>
  <pageMargins left="0.7" right="0.7" top="0.75" bottom="0.75" header="0.3" footer="0.3"/>
  <pageSetup paperSize="9" orientation="portrait" r:id="rId1"/>
  <ignoredErrors>
    <ignoredError sqref="S5:S14" formula="1"/>
    <ignoredError sqref="H5:H14 H22:H39" formula="1" unlockedFormula="1"/>
    <ignoredError sqref="D5:G14 L5:M5 N5:N14 D40:J42 D22:G39 I22:J39 AC1 AW30:CY30 AC23:AC24 AC25:AC26 AC27 AB23:AB27 L7:M14 I6 L6:M6 B5:B14 I7:J14 I5:J5" unlockedFormula="1"/>
    <ignoredError sqref="AD18:AD25 AD26:AD27" formulaRange="1" unlockedFormula="1"/>
    <ignoredError sqref="AD28" formulaRange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1"/>
  </sheetPr>
  <dimension ref="A1:AD802"/>
  <sheetViews>
    <sheetView zoomScale="85" zoomScaleNormal="85" workbookViewId="0">
      <pane ySplit="3" topLeftCell="A37" activePane="bottomLeft" state="frozen"/>
      <selection pane="bottomLeft" activeCell="M50" sqref="M50"/>
    </sheetView>
  </sheetViews>
  <sheetFormatPr defaultRowHeight="15"/>
  <cols>
    <col min="1" max="1" width="26.28515625" style="47" customWidth="1"/>
    <col min="2" max="2" width="9.140625" style="47"/>
    <col min="3" max="3" width="15.140625" style="59" bestFit="1" customWidth="1"/>
    <col min="4" max="4" width="10.5703125" style="50" customWidth="1"/>
    <col min="5" max="7" width="6.42578125" style="57" customWidth="1"/>
    <col min="8" max="9" width="5.28515625" style="47" customWidth="1"/>
    <col min="11" max="11" width="13.140625" style="47" customWidth="1"/>
    <col min="12" max="12" width="10.140625" style="47" customWidth="1"/>
    <col min="13" max="13" width="12.42578125" style="47" customWidth="1"/>
    <col min="14" max="14" width="12.42578125" style="46" customWidth="1"/>
    <col min="15" max="15" width="10.85546875" style="46" customWidth="1"/>
    <col min="16" max="16" width="12.42578125" style="46" customWidth="1"/>
    <col min="17" max="17" width="9.140625" style="46"/>
    <col min="18" max="18" width="11.28515625" style="47" customWidth="1"/>
    <col min="19" max="20" width="9.140625" style="47"/>
    <col min="21" max="21" width="10.85546875" style="47" bestFit="1" customWidth="1"/>
    <col min="22" max="22" width="9.140625" style="47"/>
    <col min="23" max="23" width="15.7109375" style="47" bestFit="1" customWidth="1"/>
    <col min="24" max="24" width="15.7109375" style="47" customWidth="1"/>
    <col min="25" max="25" width="12.5703125" style="47" customWidth="1"/>
    <col min="26" max="26" width="15" style="47" bestFit="1" customWidth="1"/>
    <col min="27" max="27" width="9.7109375" style="47" customWidth="1"/>
    <col min="28" max="28" width="14.5703125" style="47" customWidth="1"/>
    <col min="29" max="29" width="13.28515625" style="47" customWidth="1"/>
    <col min="30" max="16384" width="9.140625" style="47"/>
  </cols>
  <sheetData>
    <row r="1" spans="1:30" ht="18" customHeight="1">
      <c r="I1" s="49"/>
      <c r="J1" s="29" t="s">
        <v>481</v>
      </c>
      <c r="K1" s="49"/>
      <c r="L1" s="49"/>
      <c r="M1" s="39"/>
      <c r="N1" s="39" t="str">
        <f>TEXT(V2,"dd/mm/yyy")</f>
        <v>11/10/2016</v>
      </c>
      <c r="O1" s="39" t="str">
        <f>TEXT(O2,"dd/mm/yyy")</f>
        <v>04/10/2016</v>
      </c>
      <c r="P1" s="39" t="str">
        <f>TEXT(P2,"dd/mm/yyy")</f>
        <v>09/09/2016</v>
      </c>
      <c r="Q1" s="36" t="str">
        <f>TEXT(V2,"yyyymmdd")</f>
        <v>20161011</v>
      </c>
      <c r="R1" s="36" t="str">
        <f>TEXT(O2,"yyyymmdd")</f>
        <v>20161004</v>
      </c>
      <c r="S1" s="36" t="str">
        <f>TEXT(P2,"yyyymmdd")</f>
        <v>20160909</v>
      </c>
      <c r="U1" s="53"/>
      <c r="V1" s="53"/>
      <c r="Y1" s="53"/>
      <c r="AA1" s="53">
        <v>20160610</v>
      </c>
      <c r="AD1" s="53"/>
    </row>
    <row r="2" spans="1:30" ht="23.25">
      <c r="D2" s="124"/>
      <c r="J2" s="38" t="s">
        <v>698</v>
      </c>
      <c r="L2" s="48" t="s">
        <v>481</v>
      </c>
      <c r="M2" s="46" t="s">
        <v>711</v>
      </c>
      <c r="N2" s="46" t="s">
        <v>697</v>
      </c>
      <c r="O2" s="52">
        <f>WORKDAY($V2,-5)</f>
        <v>42647</v>
      </c>
      <c r="P2" s="52">
        <f>WORKDAY($V2,-22)</f>
        <v>42622</v>
      </c>
      <c r="Q2" s="46" t="s">
        <v>696</v>
      </c>
      <c r="R2" s="47" t="s">
        <v>708</v>
      </c>
      <c r="S2" s="47" t="s">
        <v>709</v>
      </c>
      <c r="U2" s="54" t="s">
        <v>695</v>
      </c>
      <c r="V2" s="55">
        <f>DATEVALUE(_xll.BDP($C77&amp;" Govt",U$2))</f>
        <v>42654</v>
      </c>
      <c r="Y2" s="53"/>
      <c r="AA2" s="53"/>
    </row>
    <row r="3" spans="1:30" s="130" customFormat="1" ht="12.75">
      <c r="A3" s="126" t="s">
        <v>694</v>
      </c>
      <c r="B3" s="127" t="s">
        <v>488</v>
      </c>
      <c r="C3" s="128" t="s">
        <v>693</v>
      </c>
      <c r="D3" s="126" t="s">
        <v>487</v>
      </c>
      <c r="E3" s="129" t="s">
        <v>692</v>
      </c>
      <c r="F3" s="129" t="s">
        <v>699</v>
      </c>
      <c r="G3" s="129" t="s">
        <v>700</v>
      </c>
      <c r="H3" s="126" t="s">
        <v>691</v>
      </c>
      <c r="I3" s="126" t="s">
        <v>690</v>
      </c>
      <c r="J3" s="43" t="s">
        <v>489</v>
      </c>
      <c r="K3" s="127" t="s">
        <v>482</v>
      </c>
      <c r="L3" s="127" t="s">
        <v>490</v>
      </c>
      <c r="M3" s="127"/>
    </row>
    <row r="4" spans="1:30">
      <c r="A4" s="45" t="s">
        <v>188</v>
      </c>
      <c r="B4" s="47" t="s">
        <v>689</v>
      </c>
      <c r="C4" s="60" t="s">
        <v>689</v>
      </c>
      <c r="D4" s="46" t="s">
        <v>689</v>
      </c>
      <c r="E4" s="56" t="s">
        <v>688</v>
      </c>
      <c r="F4" s="56" t="s">
        <v>688</v>
      </c>
      <c r="G4" s="56" t="s">
        <v>688</v>
      </c>
      <c r="H4" s="45" t="s">
        <v>687</v>
      </c>
      <c r="I4" s="46" t="str">
        <f>_xll.MKV_PUBLISHTYPE_RANGE(H4,B3:G3,B4:G4)</f>
        <v>OK</v>
      </c>
      <c r="K4" s="46"/>
      <c r="L4" s="46"/>
      <c r="M4" s="46"/>
      <c r="O4" s="47"/>
      <c r="P4" s="47"/>
    </row>
    <row r="5" spans="1:30">
      <c r="A5" s="46" t="str">
        <f t="shared" ref="A5:A73" si="0">$A$4 &amp; ".CM_DEPTH."&amp; $H$4 &amp; "." &amp; C5</f>
        <v>EUR.CM_DEPTH.XLS_ANDREA.IT0004019581</v>
      </c>
      <c r="B5" s="51" t="e">
        <f>_xll.MKV("EUR.CM_INSTRUMENT.PXE."&amp;C5,B$3)</f>
        <v>#REF!</v>
      </c>
      <c r="C5" s="61" t="s">
        <v>492</v>
      </c>
      <c r="D5" s="125" t="e">
        <f>_xll.MKV("EUR.CM_INSTRUMENT.PXE."&amp;C5,D$3)</f>
        <v>#REF!</v>
      </c>
      <c r="E5" s="58" t="str">
        <f t="shared" ref="E5:E71" si="1">IFERROR(($K5-Q5)*100,"99")</f>
        <v>99</v>
      </c>
      <c r="F5" s="58" t="str">
        <f t="shared" ref="F5:F71" si="2">IFERROR(($K5-R5)*100,"99")</f>
        <v>99</v>
      </c>
      <c r="G5" s="58" t="str">
        <f t="shared" ref="G5:G71" si="3">IFERROR(($K5-S5)*100,"99")</f>
        <v>99</v>
      </c>
      <c r="H5" s="46" t="str">
        <f>_xll.MKV_PUBLISHRECORD(A5, $H$4)</f>
        <v>OK</v>
      </c>
      <c r="I5" s="46" t="str">
        <f>_xll.MKV_SUPPLYRECORD_RANGE(A5,$B$3:$G$3,B5:G5)</f>
        <v>OK</v>
      </c>
      <c r="J5" s="34" t="e">
        <f>_xll.MKV($J$1&amp;$C5, J$3)</f>
        <v>#REF!</v>
      </c>
      <c r="K5" s="32" t="e">
        <f>_xll.MKV($L$2&amp;$C5, K$3)</f>
        <v>#REF!</v>
      </c>
      <c r="L5" s="35" t="e">
        <f>_xll.MKV($L$2&amp;$C5, L$3)</f>
        <v>#REF!</v>
      </c>
      <c r="M5" s="32" t="e">
        <f t="shared" ref="M5:M72" si="4">L5-N5</f>
        <v>#REF!</v>
      </c>
      <c r="N5" s="36" t="str">
        <f>_xll.BDH(C5&amp;"@CBBT Corp","OPEN",$N$1&amp;" 4:15:00 PM",$N$1&amp;" 5:15:00 PM","BarSz=60","BarTp=T","RecurDaily=True","TZ=London","DTS=H")</f>
        <v>#N/A N/A</v>
      </c>
      <c r="O5" s="36" t="str">
        <f>_xll.BDH($C5&amp;"@CBBT Corp","OPEN",$O$1&amp;" 4:15:00 PM",$O$1&amp;" 5:15:00 PM","BarSz=60","BarTp=T","RecurDaily=True","TZ=London","DTS=H")</f>
        <v>#N/A N/A</v>
      </c>
      <c r="P5" s="36" t="str">
        <f>_xll.BDH($C5&amp;"@CBBT Corp","OPEN",P$1&amp;" 4:15:00 PM",P$1&amp;" 5:15:00 PM","BarSz=60","BarTp=T","RecurDaily=True","TZ=London","DTS=H")</f>
        <v>#N/A N/A</v>
      </c>
      <c r="Q5" s="44" t="str">
        <f>_xll.BDP($C5&amp;"@CBBT Corp","YAS_BOND_YLD", "SETTLE_DT="&amp;Q$1, "YAS_BOND_PX="&amp;$N5)</f>
        <v>#N/A Invalid Override</v>
      </c>
      <c r="R5" s="44" t="str">
        <f>_xll.BDP($C5&amp;"@CBBT Corp","YAS_BOND_YLD", "SETTLE_DT="&amp;R$1, "YAS_BOND_PX="&amp;$O5)</f>
        <v>#N/A Invalid Override</v>
      </c>
      <c r="S5" s="44" t="str">
        <f>_xll.BDP($C5&amp;"@CBBT Corp","YAS_BOND_YLD", "SETTLE_DT="&amp;S$1, "YAS_BOND_PX="&amp;$P5)</f>
        <v>#N/A Invalid Override</v>
      </c>
    </row>
    <row r="6" spans="1:30">
      <c r="A6" s="46" t="str">
        <f t="shared" si="0"/>
        <v>EUR.CM_DEPTH.XLS_ANDREA.IT0004761950</v>
      </c>
      <c r="B6" s="51" t="e">
        <f>_xll.MKV("EUR.CM_INSTRUMENT.PXE."&amp;C6,B$3)</f>
        <v>#REF!</v>
      </c>
      <c r="C6" s="61" t="s">
        <v>493</v>
      </c>
      <c r="D6" s="125" t="e">
        <f>_xll.MKV("EUR.CM_INSTRUMENT.PXE."&amp;C6,D$3)</f>
        <v>#REF!</v>
      </c>
      <c r="E6" s="58" t="str">
        <f t="shared" si="1"/>
        <v>99</v>
      </c>
      <c r="F6" s="58" t="str">
        <f t="shared" si="2"/>
        <v>99</v>
      </c>
      <c r="G6" s="58" t="str">
        <f t="shared" si="3"/>
        <v>99</v>
      </c>
      <c r="H6" s="46" t="str">
        <f>_xll.MKV_PUBLISHRECORD(A6, $H$4)</f>
        <v>OK</v>
      </c>
      <c r="I6" s="46" t="str">
        <f>_xll.MKV_SUPPLYRECORD_RANGE(A6,$B$3:$G$3,B6:G6)</f>
        <v>OK</v>
      </c>
      <c r="J6" s="34" t="e">
        <f>_xll.MKV($J$1&amp;$C6, J$3)</f>
        <v>#REF!</v>
      </c>
      <c r="K6" s="32" t="e">
        <f>_xll.MKV($L$2&amp;$C6, K$3)</f>
        <v>#REF!</v>
      </c>
      <c r="L6" s="35" t="e">
        <f>_xll.MKV($L$2&amp;$C6, L$3)</f>
        <v>#REF!</v>
      </c>
      <c r="M6" s="32" t="e">
        <f t="shared" si="4"/>
        <v>#REF!</v>
      </c>
      <c r="N6" s="36" t="str">
        <f>_xll.BDH(C6&amp;"@CBBT Corp","OPEN",$N$1&amp;" 4:15:00 PM",$N$1&amp;" 5:15:00 PM","BarSz=60","BarTp=T","RecurDaily=True","TZ=London","DTS=H")</f>
        <v>#N/A N/A</v>
      </c>
      <c r="O6" s="36" t="str">
        <f>_xll.BDH($C6&amp;"@CBBT Corp","OPEN",$O$1&amp;" 4:15:00 PM",$O$1&amp;" 5:15:00 PM","BarSz=60","BarTp=T","RecurDaily=True","TZ=London","DTS=H")</f>
        <v>#N/A N/A</v>
      </c>
      <c r="P6" s="36" t="str">
        <f>_xll.BDH($C6&amp;"@CBBT Corp","OPEN",P$1&amp;" 4:15:00 PM",P$1&amp;" 5:15:00 PM","BarSz=60","BarTp=T","RecurDaily=True","TZ=London","DTS=H")</f>
        <v>#N/A N/A</v>
      </c>
      <c r="Q6" s="44" t="str">
        <f>_xll.BDP($C6&amp;"@CBBT Corp","YAS_BOND_YLD", "SETTLE_DT="&amp;Q$1, "YAS_BOND_PX="&amp;$N6)</f>
        <v>#N/A Invalid Override</v>
      </c>
      <c r="R6" s="44" t="str">
        <f>_xll.BDP($C6&amp;"@CBBT Corp","YAS_BOND_YLD", "SETTLE_DT="&amp;R$1, "YAS_BOND_PX="&amp;$O6)</f>
        <v>#N/A Invalid Override</v>
      </c>
      <c r="S6" s="44" t="str">
        <f>_xll.BDP($C6&amp;"@CBBT Corp","YAS_BOND_YLD", "SETTLE_DT="&amp;S$1, "YAS_BOND_PX="&amp;$P6)</f>
        <v>#N/A Invalid Override</v>
      </c>
    </row>
    <row r="7" spans="1:30">
      <c r="A7" s="46" t="str">
        <f t="shared" si="0"/>
        <v>EUR.CM_DEPTH.XLS_ANDREA.IT0004960826</v>
      </c>
      <c r="B7" s="51" t="str">
        <f>_xll.MKV("EUR.CM_INSTRUMENT.PXE."&amp;C7,B$3)</f>
        <v>BTPS</v>
      </c>
      <c r="C7" s="61" t="s">
        <v>498</v>
      </c>
      <c r="D7" s="125">
        <f>_xll.MKV("EUR.CM_INSTRUMENT.PXE."&amp;C7,D$3)</f>
        <v>42689</v>
      </c>
      <c r="E7" s="58">
        <f t="shared" si="1"/>
        <v>1.8000000000000016</v>
      </c>
      <c r="F7" s="58">
        <f t="shared" si="2"/>
        <v>-0.30000000000000027</v>
      </c>
      <c r="G7" s="58">
        <f t="shared" si="3"/>
        <v>-11.2</v>
      </c>
      <c r="H7" s="46" t="str">
        <f>_xll.MKV_PUBLISHRECORD(A7, $H$4)</f>
        <v>OK</v>
      </c>
      <c r="I7" s="46" t="str">
        <f>_xll.MKV_SUPPLYRECORD_RANGE(A7,$B$3:$G$3,B7:G7)</f>
        <v>OK</v>
      </c>
      <c r="J7" s="34">
        <f>_xll.MKV($J$1&amp;$C7, J$3)</f>
        <v>-0.44972899999999999</v>
      </c>
      <c r="K7" s="32">
        <f>_xll.MKV($L$2&amp;$C7, K$3)</f>
        <v>-0.29799999999999999</v>
      </c>
      <c r="L7" s="35">
        <f>_xll.MKV($L$2&amp;$C7, L$3)</f>
        <v>100.28749999999999</v>
      </c>
      <c r="M7" s="32">
        <f t="shared" si="4"/>
        <v>-4.500000000007276E-3</v>
      </c>
      <c r="N7" s="36">
        <f>_xll.BDH(C7&amp;"@CBBT Corp","OPEN",$N$1&amp;" 4:15:00 PM",$N$1&amp;" 5:15:00 PM","BarSz=60","BarTp=T","RecurDaily=True","TZ=London","DTS=H")</f>
        <v>100.292</v>
      </c>
      <c r="O7" s="36">
        <f>_xll.BDH($C7&amp;"@CBBT Corp","OPEN",$O$1&amp;" 4:15:00 PM",$O$1&amp;" 5:15:00 PM","BarSz=60","BarTp=T","RecurDaily=True","TZ=London","DTS=H")</f>
        <v>100.348</v>
      </c>
      <c r="P7" s="36">
        <f>_xll.BDH($C7&amp;"@CBBT Corp","OPEN",P$1&amp;" 4:15:00 PM",P$1&amp;" 5:15:00 PM","BarSz=60","BarTp=T","RecurDaily=True","TZ=London","DTS=H")</f>
        <v>100.535</v>
      </c>
      <c r="Q7" s="44">
        <f>_xll.BDP($C7&amp;"@CBBT Corp","YAS_BOND_YLD", "SETTLE_DT="&amp;Q$1, "YAS_BOND_PX="&amp;$N7)</f>
        <v>-0.316</v>
      </c>
      <c r="R7" s="44">
        <f>_xll.BDP($C7&amp;"@CBBT Corp","YAS_BOND_YLD", "SETTLE_DT="&amp;R$1, "YAS_BOND_PX="&amp;$O7)</f>
        <v>-0.29499999999999998</v>
      </c>
      <c r="S7" s="44">
        <f>_xll.BDP($C7&amp;"@CBBT Corp","YAS_BOND_YLD", "SETTLE_DT="&amp;S$1, "YAS_BOND_PX="&amp;$P7)</f>
        <v>-0.186</v>
      </c>
    </row>
    <row r="8" spans="1:30">
      <c r="A8" s="46" t="str">
        <f t="shared" si="0"/>
        <v>EUR.CM_DEPTH.XLS_ANDREA.IT0004987191</v>
      </c>
      <c r="B8" s="51" t="str">
        <f>_xll.MKV("EUR.CM_INSTRUMENT.PXE."&amp;C8,B$3)</f>
        <v>BTPS</v>
      </c>
      <c r="C8" s="61" t="s">
        <v>499</v>
      </c>
      <c r="D8" s="125">
        <f>_xll.MKV("EUR.CM_INSTRUMENT.PXE."&amp;C8,D$3)</f>
        <v>42719</v>
      </c>
      <c r="E8" s="58">
        <f t="shared" si="1"/>
        <v>-5.8</v>
      </c>
      <c r="F8" s="58">
        <f t="shared" si="2"/>
        <v>-7.7000000000000011</v>
      </c>
      <c r="G8" s="58">
        <f t="shared" si="3"/>
        <v>-17.8</v>
      </c>
      <c r="H8" s="46" t="str">
        <f>_xll.MKV_PUBLISHRECORD(A8, $H$4)</f>
        <v>OK</v>
      </c>
      <c r="I8" s="46" t="str">
        <f>_xll.MKV_SUPPLYRECORD_RANGE(A8,$B$3:$G$3,B8:G8)</f>
        <v>OK</v>
      </c>
      <c r="J8" s="34">
        <f>_xll.MKV($J$1&amp;$C8, J$3)</f>
        <v>-0.43099799999999999</v>
      </c>
      <c r="K8" s="32">
        <f>_xll.MKV($L$2&amp;$C8, K$3)</f>
        <v>-0.43</v>
      </c>
      <c r="L8" s="35">
        <f>_xll.MKV($L$2&amp;$C8, L$3)</f>
        <v>100.333</v>
      </c>
      <c r="M8" s="32">
        <f t="shared" si="4"/>
        <v>0</v>
      </c>
      <c r="N8" s="36">
        <f>_xll.BDH(C8&amp;"@CBBT Corp","OPEN",$N$1&amp;" 4:15:00 PM",$N$1&amp;" 5:15:00 PM","BarSz=60","BarTp=T","RecurDaily=True","TZ=London","DTS=H")</f>
        <v>100.333</v>
      </c>
      <c r="O8" s="36">
        <f>_xll.BDH($C8&amp;"@CBBT Corp","OPEN",$O$1&amp;" 4:15:00 PM",$O$1&amp;" 5:15:00 PM","BarSz=60","BarTp=T","RecurDaily=True","TZ=London","DTS=H")</f>
        <v>100.36499999999999</v>
      </c>
      <c r="P8" s="36">
        <f>_xll.BDH($C8&amp;"@CBBT Corp","OPEN",P$1&amp;" 4:15:00 PM",P$1&amp;" 5:15:00 PM","BarSz=60","BarTp=T","RecurDaily=True","TZ=London","DTS=H")</f>
        <v>100.465</v>
      </c>
      <c r="Q8" s="44">
        <f>_xll.BDP($C8&amp;"@CBBT Corp","YAS_BOND_YLD", "SETTLE_DT="&amp;Q$1, "YAS_BOND_PX="&amp;$N8)</f>
        <v>-0.372</v>
      </c>
      <c r="R8" s="44">
        <f>_xll.BDP($C8&amp;"@CBBT Corp","YAS_BOND_YLD", "SETTLE_DT="&amp;R$1, "YAS_BOND_PX="&amp;$O8)</f>
        <v>-0.35299999999999998</v>
      </c>
      <c r="S8" s="44">
        <f>_xll.BDP($C8&amp;"@CBBT Corp","YAS_BOND_YLD", "SETTLE_DT="&amp;S$1, "YAS_BOND_PX="&amp;$P8)</f>
        <v>-0.252</v>
      </c>
    </row>
    <row r="9" spans="1:30">
      <c r="A9" s="46" t="str">
        <f t="shared" si="0"/>
        <v>EUR.CM_DEPTH.XLS_ANDREA.IT0004164775</v>
      </c>
      <c r="B9" s="51" t="str">
        <f>_xll.MKV("EUR.CM_INSTRUMENT.PXE."&amp;C9,B$3)</f>
        <v>BTPS</v>
      </c>
      <c r="C9" s="61" t="s">
        <v>502</v>
      </c>
      <c r="D9" s="125">
        <f>_xll.MKV("EUR.CM_INSTRUMENT.PXE."&amp;C9,D$3)</f>
        <v>42767</v>
      </c>
      <c r="E9" s="58">
        <f t="shared" si="1"/>
        <v>-8.7000000000000028</v>
      </c>
      <c r="F9" s="58">
        <f t="shared" si="2"/>
        <v>-13.600000000000001</v>
      </c>
      <c r="G9" s="58">
        <f t="shared" si="3"/>
        <v>-25.1</v>
      </c>
      <c r="H9" s="46" t="str">
        <f>_xll.MKV_PUBLISHRECORD(A9, $H$4)</f>
        <v>OK</v>
      </c>
      <c r="I9" s="46" t="str">
        <f>_xll.MKV_SUPPLYRECORD_RANGE(A9,$B$3:$G$3,B9:G9)</f>
        <v>OK</v>
      </c>
      <c r="J9" s="34">
        <f>_xll.MKV($J$1&amp;$C9, J$3)</f>
        <v>-0.405727</v>
      </c>
      <c r="K9" s="32">
        <f>_xll.MKV($L$2&amp;$C9, K$3)</f>
        <v>-0.40200000000000002</v>
      </c>
      <c r="L9" s="35">
        <f>_xll.MKV($L$2&amp;$C9, L$3)</f>
        <v>101.33150000000001</v>
      </c>
      <c r="M9" s="32">
        <f t="shared" si="4"/>
        <v>4.500000000007276E-3</v>
      </c>
      <c r="N9" s="36">
        <f>_xll.BDH(C9&amp;"@CBBT Corp","OPEN",$N$1&amp;" 4:15:00 PM",$N$1&amp;" 5:15:00 PM","BarSz=60","BarTp=T","RecurDaily=True","TZ=London","DTS=H")</f>
        <v>101.327</v>
      </c>
      <c r="O9" s="36">
        <f>_xll.BDH($C9&amp;"@CBBT Corp","OPEN",$O$1&amp;" 4:15:00 PM",$O$1&amp;" 5:15:00 PM","BarSz=60","BarTp=T","RecurDaily=True","TZ=London","DTS=H")</f>
        <v>101.393</v>
      </c>
      <c r="P9" s="36">
        <f>_xll.BDH($C9&amp;"@CBBT Corp","OPEN",P$1&amp;" 4:15:00 PM",P$1&amp;" 5:15:00 PM","BarSz=60","BarTp=T","RecurDaily=True","TZ=London","DTS=H")</f>
        <v>101.637</v>
      </c>
      <c r="Q9" s="44">
        <f>_xll.BDP($C9&amp;"@CBBT Corp","YAS_BOND_YLD", "SETTLE_DT="&amp;Q$1, "YAS_BOND_PX="&amp;$N9)</f>
        <v>-0.315</v>
      </c>
      <c r="R9" s="44">
        <f>_xll.BDP($C9&amp;"@CBBT Corp","YAS_BOND_YLD", "SETTLE_DT="&amp;R$1, "YAS_BOND_PX="&amp;$O9)</f>
        <v>-0.26600000000000001</v>
      </c>
      <c r="S9" s="44">
        <f>_xll.BDP($C9&amp;"@CBBT Corp","YAS_BOND_YLD", "SETTLE_DT="&amp;S$1, "YAS_BOND_PX="&amp;$P9)</f>
        <v>-0.151</v>
      </c>
    </row>
    <row r="10" spans="1:30">
      <c r="A10" s="46" t="str">
        <f t="shared" si="0"/>
        <v>EUR.CM_DEPTH.XLS_ANDREA.FR0010415331</v>
      </c>
      <c r="B10" s="51" t="str">
        <f>_xll.MKV("EUR.CM_INSTRUMENT.PXE."&amp;C10,B$3)</f>
        <v>FRTR</v>
      </c>
      <c r="C10" s="62" t="s">
        <v>506</v>
      </c>
      <c r="D10" s="125">
        <f>_xll.MKV("EUR.CM_INSTRUMENT.PXE."&amp;C10,D$3)</f>
        <v>42850</v>
      </c>
      <c r="E10" s="58">
        <f t="shared" si="1"/>
        <v>-5.2000000000000046</v>
      </c>
      <c r="F10" s="58">
        <f t="shared" si="2"/>
        <v>-8.5000000000000071</v>
      </c>
      <c r="G10" s="58">
        <f t="shared" si="3"/>
        <v>-14.700000000000003</v>
      </c>
      <c r="H10" s="46" t="str">
        <f>_xll.MKV_PUBLISHRECORD(A10, $H$4)</f>
        <v>OK</v>
      </c>
      <c r="I10" s="46" t="str">
        <f>_xll.MKV_SUPPLYRECORD_RANGE(A10,$B$3:$G$3,B10:G10)</f>
        <v>OK</v>
      </c>
      <c r="J10" s="34">
        <f>_xll.MKV($J$1&amp;$C10, J$3)</f>
        <v>-0.69867400000000002</v>
      </c>
      <c r="K10" s="32">
        <f>_xll.MKV($L$2&amp;$C10, K$3)</f>
        <v>-0.70100000000000007</v>
      </c>
      <c r="L10" s="35">
        <f>_xll.MKV($L$2&amp;$C10, L$3)</f>
        <v>102.3805</v>
      </c>
      <c r="M10" s="32">
        <f t="shared" si="4"/>
        <v>3.5000000000025011E-3</v>
      </c>
      <c r="N10" s="36">
        <f>_xll.BDH(C10&amp;"@CBBT Corp","OPEN",$N$1&amp;" 4:15:00 PM",$N$1&amp;" 5:15:00 PM","BarSz=60","BarTp=T","RecurDaily=True","TZ=London","DTS=H")</f>
        <v>102.377</v>
      </c>
      <c r="O10" s="36">
        <f>_xll.BDH($C10&amp;"@CBBT Corp","OPEN",$O$1&amp;" 4:15:00 PM",$O$1&amp;" 5:15:00 PM","BarSz=60","BarTp=T","RecurDaily=True","TZ=London","DTS=H")</f>
        <v>102.443</v>
      </c>
      <c r="P10" s="36">
        <f>_xll.BDH($C10&amp;"@CBBT Corp","OPEN",P$1&amp;" 4:15:00 PM",P$1&amp;" 5:15:00 PM","BarSz=60","BarTp=T","RecurDaily=True","TZ=London","DTS=H")</f>
        <v>102.703</v>
      </c>
      <c r="Q10" s="44">
        <f>_xll.BDP($C10&amp;"@CBBT Corp","YAS_BOND_YLD", "SETTLE_DT="&amp;Q$1, "YAS_BOND_PX="&amp;$N10)</f>
        <v>-0.64900000000000002</v>
      </c>
      <c r="R10" s="44">
        <f>_xll.BDP($C10&amp;"@CBBT Corp","YAS_BOND_YLD", "SETTLE_DT="&amp;R$1, "YAS_BOND_PX="&amp;$O10)</f>
        <v>-0.61599999999999999</v>
      </c>
      <c r="S10" s="44">
        <f>_xll.BDP($C10&amp;"@CBBT Corp","YAS_BOND_YLD", "SETTLE_DT="&amp;S$1, "YAS_BOND_PX="&amp;$P10)</f>
        <v>-0.55400000000000005</v>
      </c>
    </row>
    <row r="11" spans="1:30">
      <c r="A11" s="46" t="str">
        <f t="shared" si="0"/>
        <v>EUR.CM_DEPTH.XLS_ANDREA.IT0004793474</v>
      </c>
      <c r="B11" s="51" t="str">
        <f>_xll.MKV("EUR.CM_INSTRUMENT.PXE."&amp;C11,B$3)</f>
        <v>BTPS</v>
      </c>
      <c r="C11" s="61" t="s">
        <v>508</v>
      </c>
      <c r="D11" s="125">
        <f>_xll.MKV("EUR.CM_INSTRUMENT.PXE."&amp;C11,D$3)</f>
        <v>42856</v>
      </c>
      <c r="E11" s="58">
        <f t="shared" si="1"/>
        <v>-5.2000000000000046</v>
      </c>
      <c r="F11" s="58">
        <f t="shared" si="2"/>
        <v>-5.8999999999999995</v>
      </c>
      <c r="G11" s="58">
        <f t="shared" si="3"/>
        <v>-18.600000000000001</v>
      </c>
      <c r="H11" s="46" t="str">
        <f>_xll.MKV_PUBLISHRECORD(A11, $H$4)</f>
        <v>OK</v>
      </c>
      <c r="I11" s="46" t="str">
        <f>_xll.MKV_SUPPLYRECORD_RANGE(A11,$B$3:$G$3,B11:G11)</f>
        <v>OK</v>
      </c>
      <c r="J11" s="34">
        <f>_xll.MKV($J$1&amp;$C11, J$3)</f>
        <v>-0.33628599999999997</v>
      </c>
      <c r="K11" s="32">
        <f>_xll.MKV($L$2&amp;$C11, K$3)</f>
        <v>-0.33700000000000002</v>
      </c>
      <c r="L11" s="35">
        <f>_xll.MKV($L$2&amp;$C11, L$3)</f>
        <v>102.812</v>
      </c>
      <c r="M11" s="32">
        <f t="shared" si="4"/>
        <v>1.9999999999953388E-3</v>
      </c>
      <c r="N11" s="36">
        <f>_xll.BDH(C11&amp;"@CBBT Corp","OPEN",$N$1&amp;" 4:15:00 PM",$N$1&amp;" 5:15:00 PM","BarSz=60","BarTp=T","RecurDaily=True","TZ=London","DTS=H")</f>
        <v>102.81</v>
      </c>
      <c r="O11" s="36">
        <f>_xll.BDH($C11&amp;"@CBBT Corp","OPEN",$O$1&amp;" 4:15:00 PM",$O$1&amp;" 5:15:00 PM","BarSz=60","BarTp=T","RecurDaily=True","TZ=London","DTS=H")</f>
        <v>102.902</v>
      </c>
      <c r="P11" s="36">
        <f>_xll.BDH($C11&amp;"@CBBT Corp","OPEN",P$1&amp;" 4:15:00 PM",P$1&amp;" 5:15:00 PM","BarSz=60","BarTp=T","RecurDaily=True","TZ=London","DTS=H")</f>
        <v>103.16</v>
      </c>
      <c r="Q11" s="44">
        <f>_xll.BDP($C11&amp;"@CBBT Corp","YAS_BOND_YLD", "SETTLE_DT="&amp;Q$1, "YAS_BOND_PX="&amp;$N11)</f>
        <v>-0.28499999999999998</v>
      </c>
      <c r="R11" s="44">
        <f>_xll.BDP($C11&amp;"@CBBT Corp","YAS_BOND_YLD", "SETTLE_DT="&amp;R$1, "YAS_BOND_PX="&amp;$O11)</f>
        <v>-0.27800000000000002</v>
      </c>
      <c r="S11" s="44">
        <f>_xll.BDP($C11&amp;"@CBBT Corp","YAS_BOND_YLD", "SETTLE_DT="&amp;S$1, "YAS_BOND_PX="&amp;$P11)</f>
        <v>-0.151</v>
      </c>
    </row>
    <row r="12" spans="1:30">
      <c r="A12" s="46" t="str">
        <f t="shared" si="0"/>
        <v>EUR.CM_DEPTH.XLS_ANDREA.IT0005023459</v>
      </c>
      <c r="B12" s="51" t="str">
        <f>_xll.MKV("EUR.CM_INSTRUMENT.PXE."&amp;C12,B$3)</f>
        <v>BTPS</v>
      </c>
      <c r="C12" s="61" t="s">
        <v>509</v>
      </c>
      <c r="D12" s="125">
        <f>_xll.MKV("EUR.CM_INSTRUMENT.PXE."&amp;C12,D$3)</f>
        <v>42870</v>
      </c>
      <c r="E12" s="58">
        <f t="shared" si="1"/>
        <v>-2.200000000000002</v>
      </c>
      <c r="F12" s="58">
        <f t="shared" si="2"/>
        <v>-2.300000000000002</v>
      </c>
      <c r="G12" s="58">
        <f t="shared" si="3"/>
        <v>-11.200000000000001</v>
      </c>
      <c r="H12" s="46" t="str">
        <f>_xll.MKV_PUBLISHRECORD(A12, $H$4)</f>
        <v>OK</v>
      </c>
      <c r="I12" s="46" t="str">
        <f>_xll.MKV_SUPPLYRECORD_RANGE(A12,$B$3:$G$3,B12:G12)</f>
        <v>OK</v>
      </c>
      <c r="J12" s="34">
        <f>_xll.MKV($J$1&amp;$C12, J$3)</f>
        <v>-0.31321199999999999</v>
      </c>
      <c r="K12" s="32">
        <f>_xll.MKV($L$2&amp;$C12, K$3)</f>
        <v>-0.31900000000000001</v>
      </c>
      <c r="L12" s="35">
        <f>_xll.MKV($L$2&amp;$C12, L$3)</f>
        <v>100.86450000000001</v>
      </c>
      <c r="M12" s="32">
        <f t="shared" si="4"/>
        <v>1.5000000000071623E-3</v>
      </c>
      <c r="N12" s="36">
        <f>_xll.BDH(C12&amp;"@CBBT Corp","OPEN",$N$1&amp;" 4:15:00 PM",$N$1&amp;" 5:15:00 PM","BarSz=60","BarTp=T","RecurDaily=True","TZ=London","DTS=H")</f>
        <v>100.863</v>
      </c>
      <c r="O12" s="36">
        <f>_xll.BDH($C12&amp;"@CBBT Corp","OPEN",$O$1&amp;" 4:15:00 PM",$O$1&amp;" 5:15:00 PM","BarSz=60","BarTp=T","RecurDaily=True","TZ=London","DTS=H")</f>
        <v>100.89</v>
      </c>
      <c r="P12" s="36">
        <f>_xll.BDH($C12&amp;"@CBBT Corp","OPEN",P$1&amp;" 4:15:00 PM",P$1&amp;" 5:15:00 PM","BarSz=60","BarTp=T","RecurDaily=True","TZ=London","DTS=H")</f>
        <v>100.92700000000001</v>
      </c>
      <c r="Q12" s="44">
        <f>_xll.BDP($C12&amp;"@CBBT Corp","YAS_BOND_YLD", "SETTLE_DT="&amp;Q$1, "YAS_BOND_PX="&amp;$N12)</f>
        <v>-0.29699999999999999</v>
      </c>
      <c r="R12" s="44">
        <f>_xll.BDP($C12&amp;"@CBBT Corp","YAS_BOND_YLD", "SETTLE_DT="&amp;R$1, "YAS_BOND_PX="&amp;$O12)</f>
        <v>-0.29599999999999999</v>
      </c>
      <c r="S12" s="44">
        <f>_xll.BDP($C12&amp;"@CBBT Corp","YAS_BOND_YLD", "SETTLE_DT="&amp;S$1, "YAS_BOND_PX="&amp;$P12)</f>
        <v>-0.20699999999999999</v>
      </c>
    </row>
    <row r="13" spans="1:30">
      <c r="A13" s="46" t="str">
        <f t="shared" si="0"/>
        <v>EUR.CM_DEPTH.XLS_ANDREA.IT0004820426</v>
      </c>
      <c r="B13" s="51" t="str">
        <f>_xll.MKV("EUR.CM_INSTRUMENT.PXE."&amp;C13,B$3)</f>
        <v>BTPS</v>
      </c>
      <c r="C13" s="61" t="s">
        <v>510</v>
      </c>
      <c r="D13" s="125">
        <f>_xll.MKV("EUR.CM_INSTRUMENT.PXE."&amp;C13,D$3)</f>
        <v>42887</v>
      </c>
      <c r="E13" s="58">
        <f t="shared" si="1"/>
        <v>-4.4999999999999982</v>
      </c>
      <c r="F13" s="58">
        <f t="shared" si="2"/>
        <v>-4.6999999999999984</v>
      </c>
      <c r="G13" s="58">
        <f t="shared" si="3"/>
        <v>-17</v>
      </c>
      <c r="H13" s="46" t="str">
        <f>_xll.MKV_PUBLISHRECORD(A13, $H$4)</f>
        <v>OK</v>
      </c>
      <c r="I13" s="46" t="str">
        <f>_xll.MKV_SUPPLYRECORD_RANGE(A13,$B$3:$G$3,B13:G13)</f>
        <v>OK</v>
      </c>
      <c r="J13" s="34">
        <f>_xll.MKV($J$1&amp;$C13, J$3)</f>
        <v>-0.31747900000000001</v>
      </c>
      <c r="K13" s="32">
        <f>_xll.MKV($L$2&amp;$C13, K$3)</f>
        <v>-0.32300000000000001</v>
      </c>
      <c r="L13" s="35">
        <f>_xll.MKV($L$2&amp;$C13, L$3)</f>
        <v>103.21850000000001</v>
      </c>
      <c r="M13" s="32">
        <f t="shared" si="4"/>
        <v>-1.4999999999929514E-3</v>
      </c>
      <c r="N13" s="36">
        <f>_xll.BDH(C13&amp;"@CBBT Corp","OPEN",$N$1&amp;" 4:15:00 PM",$N$1&amp;" 5:15:00 PM","BarSz=60","BarTp=T","RecurDaily=True","TZ=London","DTS=H")</f>
        <v>103.22</v>
      </c>
      <c r="O13" s="36">
        <f>_xll.BDH($C13&amp;"@CBBT Corp","OPEN",$O$1&amp;" 4:15:00 PM",$O$1&amp;" 5:15:00 PM","BarSz=60","BarTp=T","RecurDaily=True","TZ=London","DTS=H")</f>
        <v>103.315</v>
      </c>
      <c r="P13" s="36">
        <f>_xll.BDH($C13&amp;"@CBBT Corp","OPEN",P$1&amp;" 4:15:00 PM",P$1&amp;" 5:15:00 PM","BarSz=60","BarTp=T","RecurDaily=True","TZ=London","DTS=H")</f>
        <v>103.56699999999999</v>
      </c>
      <c r="Q13" s="44">
        <f>_xll.BDP($C13&amp;"@CBBT Corp","YAS_BOND_YLD", "SETTLE_DT="&amp;Q$1, "YAS_BOND_PX="&amp;$N13)</f>
        <v>-0.27800000000000002</v>
      </c>
      <c r="R13" s="44">
        <f>_xll.BDP($C13&amp;"@CBBT Corp","YAS_BOND_YLD", "SETTLE_DT="&amp;R$1, "YAS_BOND_PX="&amp;$O13)</f>
        <v>-0.27600000000000002</v>
      </c>
      <c r="S13" s="44">
        <f>_xll.BDP($C13&amp;"@CBBT Corp","YAS_BOND_YLD", "SETTLE_DT="&amp;S$1, "YAS_BOND_PX="&amp;$P13)</f>
        <v>-0.153</v>
      </c>
    </row>
    <row r="14" spans="1:30">
      <c r="A14" s="46" t="str">
        <f t="shared" si="0"/>
        <v>EUR.CM_DEPTH.XLS_ANDREA.IT0003242747</v>
      </c>
      <c r="B14" s="51" t="str">
        <f>_xll.MKV("EUR.CM_INSTRUMENT.PXE."&amp;C14,B$3)</f>
        <v>BTPS</v>
      </c>
      <c r="C14" s="61" t="s">
        <v>514</v>
      </c>
      <c r="D14" s="125">
        <f>_xll.MKV("EUR.CM_INSTRUMENT.PXE."&amp;C14,D$3)</f>
        <v>42948</v>
      </c>
      <c r="E14" s="58">
        <f t="shared" si="1"/>
        <v>-4.2000000000000037</v>
      </c>
      <c r="F14" s="58">
        <f t="shared" si="2"/>
        <v>-4.7000000000000011</v>
      </c>
      <c r="G14" s="58">
        <f t="shared" si="3"/>
        <v>-13.900000000000002</v>
      </c>
      <c r="H14" s="46" t="str">
        <f>_xll.MKV_PUBLISHRECORD(A14, $H$4)</f>
        <v>OK</v>
      </c>
      <c r="I14" s="46" t="str">
        <f>_xll.MKV_SUPPLYRECORD_RANGE(A14,$B$3:$G$3,B14:G14)</f>
        <v>OK</v>
      </c>
      <c r="J14" s="34">
        <f>_xll.MKV($J$1&amp;$C14, J$3)</f>
        <v>-0.269563</v>
      </c>
      <c r="K14" s="32">
        <f>_xll.MKV($L$2&amp;$C14, K$3)</f>
        <v>-0.27800000000000002</v>
      </c>
      <c r="L14" s="35">
        <f>_xll.MKV($L$2&amp;$C14, L$3)</f>
        <v>104.43300000000001</v>
      </c>
      <c r="M14" s="32">
        <f t="shared" si="4"/>
        <v>-1.9999999999953388E-3</v>
      </c>
      <c r="N14" s="36">
        <f>_xll.BDH(C14&amp;"@CBBT Corp","OPEN",$N$1&amp;" 4:15:00 PM",$N$1&amp;" 5:15:00 PM","BarSz=60","BarTp=T","RecurDaily=True","TZ=London","DTS=H")</f>
        <v>104.435</v>
      </c>
      <c r="O14" s="36">
        <f>_xll.BDH($C14&amp;"@CBBT Corp","OPEN",$O$1&amp;" 4:15:00 PM",$O$1&amp;" 5:15:00 PM","BarSz=60","BarTp=T","RecurDaily=True","TZ=London","DTS=H")</f>
        <v>104.535</v>
      </c>
      <c r="P14" s="36">
        <f>_xll.BDH($C14&amp;"@CBBT Corp","OPEN",P$1&amp;" 4:15:00 PM",P$1&amp;" 5:15:00 PM","BarSz=60","BarTp=T","RecurDaily=True","TZ=London","DTS=H")</f>
        <v>104.82299999999999</v>
      </c>
      <c r="Q14" s="44">
        <f>_xll.BDP($C14&amp;"@CBBT Corp","YAS_BOND_YLD", "SETTLE_DT="&amp;Q$1, "YAS_BOND_PX="&amp;$N14)</f>
        <v>-0.23599999999999999</v>
      </c>
      <c r="R14" s="44">
        <f>_xll.BDP($C14&amp;"@CBBT Corp","YAS_BOND_YLD", "SETTLE_DT="&amp;R$1, "YAS_BOND_PX="&amp;$O14)</f>
        <v>-0.23100000000000001</v>
      </c>
      <c r="S14" s="44">
        <f>_xll.BDP($C14&amp;"@CBBT Corp","YAS_BOND_YLD", "SETTLE_DT="&amp;S$1, "YAS_BOND_PX="&amp;$P14)</f>
        <v>-0.13900000000000001</v>
      </c>
    </row>
    <row r="15" spans="1:30">
      <c r="A15" s="46" t="str">
        <f t="shared" si="0"/>
        <v>EUR.CM_DEPTH.XLS_ANDREA.FR0010517417</v>
      </c>
      <c r="B15" s="51" t="str">
        <f>_xll.MKV("EUR.CM_INSTRUMENT.PXE."&amp;C15,B$3)</f>
        <v>FRTR</v>
      </c>
      <c r="C15" s="62" t="s">
        <v>517</v>
      </c>
      <c r="D15" s="125">
        <f>_xll.MKV("EUR.CM_INSTRUMENT.PXE."&amp;C15,D$3)</f>
        <v>43033</v>
      </c>
      <c r="E15" s="58">
        <f t="shared" si="1"/>
        <v>-2.6000000000000023</v>
      </c>
      <c r="F15" s="58">
        <f t="shared" si="2"/>
        <v>-3.1000000000000028</v>
      </c>
      <c r="G15" s="58">
        <f t="shared" si="3"/>
        <v>-9.9000000000000092</v>
      </c>
      <c r="H15" s="46" t="str">
        <f>_xll.MKV_PUBLISHRECORD(A15, $H$4)</f>
        <v>OK</v>
      </c>
      <c r="I15" s="46" t="str">
        <f>_xll.MKV_SUPPLYRECORD_RANGE(A15,$B$3:$G$3,B15:G15)</f>
        <v>OK</v>
      </c>
      <c r="J15" s="34">
        <f>_xll.MKV($J$1&amp;$C15, J$3)</f>
        <v>-0.670821</v>
      </c>
      <c r="K15" s="32">
        <f>_xll.MKV($L$2&amp;$C15, K$3)</f>
        <v>-0.67</v>
      </c>
      <c r="L15" s="35">
        <f>_xll.MKV($L$2&amp;$C15, L$3)</f>
        <v>105.11750000000001</v>
      </c>
      <c r="M15" s="32">
        <f t="shared" si="4"/>
        <v>2.5000000000119371E-3</v>
      </c>
      <c r="N15" s="36">
        <f>_xll.BDH(C15&amp;"@CBBT Corp","OPEN",$N$1&amp;" 4:15:00 PM",$N$1&amp;" 5:15:00 PM","BarSz=60","BarTp=T","RecurDaily=True","TZ=London","DTS=H")</f>
        <v>105.11499999999999</v>
      </c>
      <c r="O15" s="36">
        <f>_xll.BDH($C15&amp;"@CBBT Corp","OPEN",$O$1&amp;" 4:15:00 PM",$O$1&amp;" 5:15:00 PM","BarSz=60","BarTp=T","RecurDaily=True","TZ=London","DTS=H")</f>
        <v>105.20399999999999</v>
      </c>
      <c r="P15" s="36">
        <f>_xll.BDH($C15&amp;"@CBBT Corp","OPEN",P$1&amp;" 4:15:00 PM",P$1&amp;" 5:15:00 PM","BarSz=60","BarTp=T","RecurDaily=True","TZ=London","DTS=H")</f>
        <v>105.461</v>
      </c>
      <c r="Q15" s="44">
        <f>_xll.BDP($C15&amp;"@CBBT Corp","YAS_BOND_YLD", "SETTLE_DT="&amp;Q$1, "YAS_BOND_PX="&amp;$N15)</f>
        <v>-0.64400000000000002</v>
      </c>
      <c r="R15" s="44">
        <f>_xll.BDP($C15&amp;"@CBBT Corp","YAS_BOND_YLD", "SETTLE_DT="&amp;R$1, "YAS_BOND_PX="&amp;$O15)</f>
        <v>-0.63900000000000001</v>
      </c>
      <c r="S15" s="44">
        <f>_xll.BDP($C15&amp;"@CBBT Corp","YAS_BOND_YLD", "SETTLE_DT="&amp;S$1, "YAS_BOND_PX="&amp;$P15)</f>
        <v>-0.57099999999999995</v>
      </c>
    </row>
    <row r="16" spans="1:30">
      <c r="A16" s="46" t="str">
        <f t="shared" si="0"/>
        <v>EUR.CM_DEPTH.XLS_ANDREA.IT0004867070</v>
      </c>
      <c r="B16" s="51" t="str">
        <f>_xll.MKV("EUR.CM_INSTRUMENT.PXE."&amp;C16,B$3)</f>
        <v>BTPS</v>
      </c>
      <c r="C16" s="61" t="s">
        <v>519</v>
      </c>
      <c r="D16" s="125">
        <f>_xll.MKV("EUR.CM_INSTRUMENT.PXE."&amp;C16,D$3)</f>
        <v>43040</v>
      </c>
      <c r="E16" s="58">
        <f t="shared" si="1"/>
        <v>-2.5000000000000022</v>
      </c>
      <c r="F16" s="58">
        <f t="shared" si="2"/>
        <v>-1.3000000000000012</v>
      </c>
      <c r="G16" s="58">
        <f t="shared" si="3"/>
        <v>-9.5000000000000018</v>
      </c>
      <c r="H16" s="46" t="str">
        <f>_xll.MKV_PUBLISHRECORD(A16, $H$4)</f>
        <v>OK</v>
      </c>
      <c r="I16" s="46" t="str">
        <f>_xll.MKV_SUPPLYRECORD_RANGE(A16,$B$3:$G$3,B16:G16)</f>
        <v>OK</v>
      </c>
      <c r="J16" s="34">
        <f>_xll.MKV($J$1&amp;$C16, J$3)</f>
        <v>-0.20480899999999999</v>
      </c>
      <c r="K16" s="32">
        <f>_xll.MKV($L$2&amp;$C16, K$3)</f>
        <v>-0.20600000000000002</v>
      </c>
      <c r="L16" s="35">
        <f>_xll.MKV($L$2&amp;$C16, L$3)</f>
        <v>103.9025</v>
      </c>
      <c r="M16" s="32">
        <f t="shared" si="4"/>
        <v>5.49999999999784E-3</v>
      </c>
      <c r="N16" s="36">
        <f>_xll.BDH(C16&amp;"@CBBT Corp","OPEN",$N$1&amp;" 4:15:00 PM",$N$1&amp;" 5:15:00 PM","BarSz=60","BarTp=T","RecurDaily=True","TZ=London","DTS=H")</f>
        <v>103.89700000000001</v>
      </c>
      <c r="O16" s="36">
        <f>_xll.BDH($C16&amp;"@CBBT Corp","OPEN",$O$1&amp;" 4:15:00 PM",$O$1&amp;" 5:15:00 PM","BarSz=60","BarTp=T","RecurDaily=True","TZ=London","DTS=H")</f>
        <v>103.98</v>
      </c>
      <c r="P16" s="36">
        <f>_xll.BDH($C16&amp;"@CBBT Corp","OPEN",P$1&amp;" 4:15:00 PM",P$1&amp;" 5:15:00 PM","BarSz=60","BarTp=T","RecurDaily=True","TZ=London","DTS=H")</f>
        <v>104.13500000000001</v>
      </c>
      <c r="Q16" s="44">
        <f>_xll.BDP($C16&amp;"@CBBT Corp","YAS_BOND_YLD", "SETTLE_DT="&amp;Q$1, "YAS_BOND_PX="&amp;$N16)</f>
        <v>-0.18099999999999999</v>
      </c>
      <c r="R16" s="44">
        <f>_xll.BDP($C16&amp;"@CBBT Corp","YAS_BOND_YLD", "SETTLE_DT="&amp;R$1, "YAS_BOND_PX="&amp;$O16)</f>
        <v>-0.193</v>
      </c>
      <c r="S16" s="44">
        <f>_xll.BDP($C16&amp;"@CBBT Corp","YAS_BOND_YLD", "SETTLE_DT="&amp;S$1, "YAS_BOND_PX="&amp;$P16)</f>
        <v>-0.111</v>
      </c>
    </row>
    <row r="17" spans="1:19">
      <c r="A17" s="46" t="str">
        <f t="shared" si="0"/>
        <v>EUR.CM_DEPTH.XLS_ANDREA.IT0005058463</v>
      </c>
      <c r="B17" s="51" t="str">
        <f>_xll.MKV("EUR.CM_INSTRUMENT.PXE."&amp;C17,B$3)</f>
        <v>BTPS</v>
      </c>
      <c r="C17" s="61" t="s">
        <v>521</v>
      </c>
      <c r="D17" s="125">
        <f>_xll.MKV("EUR.CM_INSTRUMENT.PXE."&amp;C17,D$3)</f>
        <v>43115</v>
      </c>
      <c r="E17" s="58">
        <f t="shared" si="1"/>
        <v>-0.40000000000000036</v>
      </c>
      <c r="F17" s="58">
        <f t="shared" si="2"/>
        <v>0.30000000000000027</v>
      </c>
      <c r="G17" s="58">
        <f t="shared" si="3"/>
        <v>-3.6999999999999993</v>
      </c>
      <c r="H17" s="46" t="str">
        <f>_xll.MKV_PUBLISHRECORD(A17, $H$4)</f>
        <v>OK</v>
      </c>
      <c r="I17" s="46" t="str">
        <f>_xll.MKV_SUPPLYRECORD_RANGE(A17,$B$3:$G$3,B17:G17)</f>
        <v>OK</v>
      </c>
      <c r="J17" s="34">
        <f>_xll.MKV($J$1&amp;$C17, J$3)</f>
        <v>-0.15434</v>
      </c>
      <c r="K17" s="32">
        <f>_xll.MKV($L$2&amp;$C17, K$3)</f>
        <v>-0.154</v>
      </c>
      <c r="L17" s="35">
        <f>_xll.MKV($L$2&amp;$C17, L$3)</f>
        <v>101.137</v>
      </c>
      <c r="M17" s="32">
        <f t="shared" si="4"/>
        <v>0</v>
      </c>
      <c r="N17" s="36">
        <f>_xll.BDH(C17&amp;"@CBBT Corp","OPEN",$N$1&amp;" 4:15:00 PM",$N$1&amp;" 5:15:00 PM","BarSz=60","BarTp=T","RecurDaily=True","TZ=London","DTS=H")</f>
        <v>101.137</v>
      </c>
      <c r="O17" s="36">
        <f>_xll.BDH($C17&amp;"@CBBT Corp","OPEN",$O$1&amp;" 4:15:00 PM",$O$1&amp;" 5:15:00 PM","BarSz=60","BarTp=T","RecurDaily=True","TZ=London","DTS=H")</f>
        <v>101.163</v>
      </c>
      <c r="P17" s="36">
        <f>_xll.BDH($C17&amp;"@CBBT Corp","OPEN",P$1&amp;" 4:15:00 PM",P$1&amp;" 5:15:00 PM","BarSz=60","BarTp=T","RecurDaily=True","TZ=London","DTS=H")</f>
        <v>101.17</v>
      </c>
      <c r="Q17" s="44">
        <f>_xll.BDP($C17&amp;"@CBBT Corp","YAS_BOND_YLD", "SETTLE_DT="&amp;Q$1, "YAS_BOND_PX="&amp;$N17)</f>
        <v>-0.15</v>
      </c>
      <c r="R17" s="44">
        <f>_xll.BDP($C17&amp;"@CBBT Corp","YAS_BOND_YLD", "SETTLE_DT="&amp;R$1, "YAS_BOND_PX="&amp;$O17)</f>
        <v>-0.157</v>
      </c>
      <c r="S17" s="44">
        <f>_xll.BDP($C17&amp;"@CBBT Corp","YAS_BOND_YLD", "SETTLE_DT="&amp;S$1, "YAS_BOND_PX="&amp;$P17)</f>
        <v>-0.11700000000000001</v>
      </c>
    </row>
    <row r="18" spans="1:19">
      <c r="A18" s="46" t="str">
        <f t="shared" si="0"/>
        <v>EUR.CM_DEPTH.XLS_ANDREA.IT0004273493</v>
      </c>
      <c r="B18" s="51" t="str">
        <f>_xll.MKV("EUR.CM_INSTRUMENT.PXE."&amp;C18,B$3)</f>
        <v>BTPS</v>
      </c>
      <c r="C18" s="61" t="s">
        <v>523</v>
      </c>
      <c r="D18" s="125">
        <f>_xll.MKV("EUR.CM_INSTRUMENT.PXE."&amp;C18,D$3)</f>
        <v>43132</v>
      </c>
      <c r="E18" s="58">
        <f t="shared" si="1"/>
        <v>-1.8000000000000016</v>
      </c>
      <c r="F18" s="58">
        <f t="shared" si="2"/>
        <v>-1.6000000000000014</v>
      </c>
      <c r="G18" s="58">
        <f t="shared" si="3"/>
        <v>-6.1000000000000014</v>
      </c>
      <c r="H18" s="46" t="str">
        <f>_xll.MKV_PUBLISHRECORD(A18, $H$4)</f>
        <v>OK</v>
      </c>
      <c r="I18" s="46" t="str">
        <f>_xll.MKV_SUPPLYRECORD_RANGE(A18,$B$3:$G$3,B18:G18)</f>
        <v>OK</v>
      </c>
      <c r="J18" s="34">
        <f>_xll.MKV($J$1&amp;$C18, J$3)</f>
        <v>-0.139963</v>
      </c>
      <c r="K18" s="32">
        <f>_xll.MKV($L$2&amp;$C18, K$3)</f>
        <v>-0.14100000000000001</v>
      </c>
      <c r="L18" s="35">
        <f>_xll.MKV($L$2&amp;$C18, L$3)</f>
        <v>106.047399</v>
      </c>
      <c r="M18" s="32">
        <f t="shared" si="4"/>
        <v>-2.6009999999985212E-3</v>
      </c>
      <c r="N18" s="36">
        <f>_xll.BDH(C18&amp;"@CBBT Corp","OPEN",$N$1&amp;" 4:15:00 PM",$N$1&amp;" 5:15:00 PM","BarSz=60","BarTp=T","RecurDaily=True","TZ=London","DTS=H")</f>
        <v>106.05</v>
      </c>
      <c r="O18" s="36">
        <f>_xll.BDH($C18&amp;"@CBBT Corp","OPEN",$O$1&amp;" 4:15:00 PM",$O$1&amp;" 5:15:00 PM","BarSz=60","BarTp=T","RecurDaily=True","TZ=London","DTS=H")</f>
        <v>106.14</v>
      </c>
      <c r="P18" s="36">
        <f>_xll.BDH($C18&amp;"@CBBT Corp","OPEN",P$1&amp;" 4:15:00 PM",P$1&amp;" 5:15:00 PM","BarSz=60","BarTp=T","RecurDaily=True","TZ=London","DTS=H")</f>
        <v>106.39</v>
      </c>
      <c r="Q18" s="44">
        <f>_xll.BDP($C18&amp;"@CBBT Corp","YAS_BOND_YLD", "SETTLE_DT="&amp;Q$1, "YAS_BOND_PX="&amp;$N18)</f>
        <v>-0.123</v>
      </c>
      <c r="R18" s="44">
        <f>_xll.BDP($C18&amp;"@CBBT Corp","YAS_BOND_YLD", "SETTLE_DT="&amp;R$1, "YAS_BOND_PX="&amp;$O18)</f>
        <v>-0.125</v>
      </c>
      <c r="S18" s="44">
        <f>_xll.BDP($C18&amp;"@CBBT Corp","YAS_BOND_YLD", "SETTLE_DT="&amp;S$1, "YAS_BOND_PX="&amp;$P18)</f>
        <v>-0.08</v>
      </c>
    </row>
    <row r="19" spans="1:19">
      <c r="A19" s="46" t="str">
        <f t="shared" si="0"/>
        <v>EUR.CM_DEPTH.XLS_ANDREA.FR0012634558</v>
      </c>
      <c r="B19" s="51" t="str">
        <f>_xll.MKV("EUR.CM_INSTRUMENT.PXE."&amp;C19,B$3)</f>
        <v>FRTR</v>
      </c>
      <c r="C19" s="62" t="s">
        <v>525</v>
      </c>
      <c r="D19" s="125">
        <f>_xll.MKV("EUR.CM_INSTRUMENT.PXE."&amp;C19,D$3)</f>
        <v>43156</v>
      </c>
      <c r="E19" s="58">
        <f t="shared" si="1"/>
        <v>-0.30000000000000027</v>
      </c>
      <c r="F19" s="58">
        <f t="shared" si="2"/>
        <v>-0.40000000000000036</v>
      </c>
      <c r="G19" s="58">
        <f t="shared" si="3"/>
        <v>-5.0000000000000044</v>
      </c>
      <c r="H19" s="46" t="str">
        <f>_xll.MKV_PUBLISHRECORD(A19, $H$4)</f>
        <v>OK</v>
      </c>
      <c r="I19" s="46" t="str">
        <f>_xll.MKV_SUPPLYRECORD_RANGE(A19,$B$3:$G$3,B19:G19)</f>
        <v>OK</v>
      </c>
      <c r="J19" s="34">
        <f>_xll.MKV($J$1&amp;$C19, J$3)</f>
        <v>-0.64449299999999998</v>
      </c>
      <c r="K19" s="32">
        <f>_xll.MKV($L$2&amp;$C19, K$3)</f>
        <v>-0.64600000000000002</v>
      </c>
      <c r="L19" s="35">
        <f>_xll.MKV($L$2&amp;$C19, L$3)</f>
        <v>100.889</v>
      </c>
      <c r="M19" s="32">
        <f t="shared" si="4"/>
        <v>-2.0000000000095497E-3</v>
      </c>
      <c r="N19" s="36">
        <f>_xll.BDH(C19&amp;"@CBBT Corp","OPEN",$N$1&amp;" 4:15:00 PM",$N$1&amp;" 5:15:00 PM","BarSz=60","BarTp=T","RecurDaily=True","TZ=London","DTS=H")</f>
        <v>100.89100000000001</v>
      </c>
      <c r="O19" s="36">
        <f>_xll.BDH($C19&amp;"@CBBT Corp","OPEN",$O$1&amp;" 4:15:00 PM",$O$1&amp;" 5:15:00 PM","BarSz=60","BarTp=T","RecurDaily=True","TZ=London","DTS=H")</f>
        <v>100.901</v>
      </c>
      <c r="P19" s="36">
        <f>_xll.BDH($C19&amp;"@CBBT Corp","OPEN",P$1&amp;" 4:15:00 PM",P$1&amp;" 5:15:00 PM","BarSz=60","BarTp=T","RecurDaily=True","TZ=London","DTS=H")</f>
        <v>100.878</v>
      </c>
      <c r="Q19" s="44">
        <f>_xll.BDP($C19&amp;"@CBBT Corp","YAS_BOND_YLD", "SETTLE_DT="&amp;Q$1, "YAS_BOND_PX="&amp;$N19)</f>
        <v>-0.64300000000000002</v>
      </c>
      <c r="R19" s="44">
        <f>_xll.BDP($C19&amp;"@CBBT Corp","YAS_BOND_YLD", "SETTLE_DT="&amp;R$1, "YAS_BOND_PX="&amp;$O19)</f>
        <v>-0.64200000000000002</v>
      </c>
      <c r="S19" s="44">
        <f>_xll.BDP($C19&amp;"@CBBT Corp","YAS_BOND_YLD", "SETTLE_DT="&amp;S$1, "YAS_BOND_PX="&amp;$P19)</f>
        <v>-0.59599999999999997</v>
      </c>
    </row>
    <row r="20" spans="1:19">
      <c r="A20" s="46" t="str">
        <f t="shared" si="0"/>
        <v>EUR.CM_DEPTH.XLS_ANDREA.FR0010604983</v>
      </c>
      <c r="B20" s="51" t="str">
        <f>_xll.MKV("EUR.CM_INSTRUMENT.PXE."&amp;C20,B$3)</f>
        <v>FRTR</v>
      </c>
      <c r="C20" s="62" t="s">
        <v>527</v>
      </c>
      <c r="D20" s="125">
        <f>_xll.MKV("EUR.CM_INSTRUMENT.PXE."&amp;C20,D$3)</f>
        <v>43215</v>
      </c>
      <c r="E20" s="58">
        <f t="shared" si="1"/>
        <v>-1.4000000000000012</v>
      </c>
      <c r="F20" s="58">
        <f t="shared" si="2"/>
        <v>-0.30000000000000027</v>
      </c>
      <c r="G20" s="58">
        <f t="shared" si="3"/>
        <v>-7.5999999999999961</v>
      </c>
      <c r="H20" s="46" t="str">
        <f>_xll.MKV_PUBLISHRECORD(A20, $H$4)</f>
        <v>OK</v>
      </c>
      <c r="I20" s="46" t="str">
        <f>_xll.MKV_SUPPLYRECORD_RANGE(A20,$B$3:$G$3,B20:G20)</f>
        <v>OK</v>
      </c>
      <c r="J20" s="34">
        <f>_xll.MKV($J$1&amp;$C20, J$3)</f>
        <v>-0.63244400000000001</v>
      </c>
      <c r="K20" s="32">
        <f>_xll.MKV($L$2&amp;$C20, K$3)</f>
        <v>-0.63100000000000001</v>
      </c>
      <c r="L20" s="35">
        <f>_xll.MKV($L$2&amp;$C20, L$3)</f>
        <v>107.155</v>
      </c>
      <c r="M20" s="32">
        <f t="shared" si="4"/>
        <v>-1.0000000000047748E-3</v>
      </c>
      <c r="N20" s="36">
        <f>_xll.BDH(C20&amp;"@CBBT Corp","OPEN",$N$1&amp;" 4:15:00 PM",$N$1&amp;" 5:15:00 PM","BarSz=60","BarTp=T","RecurDaily=True","TZ=London","DTS=H")</f>
        <v>107.15600000000001</v>
      </c>
      <c r="O20" s="36">
        <f>_xll.BDH($C20&amp;"@CBBT Corp","OPEN",$O$1&amp;" 4:15:00 PM",$O$1&amp;" 5:15:00 PM","BarSz=60","BarTp=T","RecurDaily=True","TZ=London","DTS=H")</f>
        <v>107.264</v>
      </c>
      <c r="P20" s="36">
        <f>_xll.BDH($C20&amp;"@CBBT Corp","OPEN",P$1&amp;" 4:15:00 PM",P$1&amp;" 5:15:00 PM","BarSz=60","BarTp=T","RecurDaily=True","TZ=London","DTS=H")</f>
        <v>107.458</v>
      </c>
      <c r="Q20" s="44">
        <f>_xll.BDP($C20&amp;"@CBBT Corp","YAS_BOND_YLD", "SETTLE_DT="&amp;Q$1, "YAS_BOND_PX="&amp;$N20)</f>
        <v>-0.61699999999999999</v>
      </c>
      <c r="R20" s="44">
        <f>_xll.BDP($C20&amp;"@CBBT Corp","YAS_BOND_YLD", "SETTLE_DT="&amp;R$1, "YAS_BOND_PX="&amp;$O20)</f>
        <v>-0.628</v>
      </c>
      <c r="S20" s="44">
        <f>_xll.BDP($C20&amp;"@CBBT Corp","YAS_BOND_YLD", "SETTLE_DT="&amp;S$1, "YAS_BOND_PX="&amp;$P20)</f>
        <v>-0.55500000000000005</v>
      </c>
    </row>
    <row r="21" spans="1:19">
      <c r="A21" s="46" t="str">
        <f t="shared" si="0"/>
        <v>EUR.CM_DEPTH.XLS_ANDREA.IT0005106049</v>
      </c>
      <c r="B21" s="51" t="str">
        <f>_xll.MKV("EUR.CM_INSTRUMENT.PXE."&amp;C21,B$3)</f>
        <v>BTPS</v>
      </c>
      <c r="C21" s="61" t="s">
        <v>529</v>
      </c>
      <c r="D21" s="125">
        <f>_xll.MKV("EUR.CM_INSTRUMENT.PXE."&amp;C21,D$3)</f>
        <v>43235</v>
      </c>
      <c r="E21" s="58">
        <f t="shared" si="1"/>
        <v>0</v>
      </c>
      <c r="F21" s="58">
        <f t="shared" si="2"/>
        <v>2.3000000000000007</v>
      </c>
      <c r="G21" s="58">
        <f t="shared" si="3"/>
        <v>-0.99999999999999956</v>
      </c>
      <c r="H21" s="46" t="str">
        <f>_xll.MKV_PUBLISHRECORD(A21, $H$4)</f>
        <v>OK</v>
      </c>
      <c r="I21" s="46" t="str">
        <f>_xll.MKV_SUPPLYRECORD_RANGE(A21,$B$3:$G$3,B21:G21)</f>
        <v>OK</v>
      </c>
      <c r="J21" s="34">
        <f>_xll.MKV($J$1&amp;$C21, J$3)</f>
        <v>-8.8725999999999999E-2</v>
      </c>
      <c r="K21" s="32">
        <f>_xll.MKV($L$2&amp;$C21, K$3)</f>
        <v>-8.7999999999999995E-2</v>
      </c>
      <c r="L21" s="35">
        <f>_xll.MKV($L$2&amp;$C21, L$3)</f>
        <v>100.539</v>
      </c>
      <c r="M21" s="32">
        <f t="shared" si="4"/>
        <v>-1.0000000000047748E-3</v>
      </c>
      <c r="N21" s="36">
        <f>_xll.BDH(C21&amp;"@CBBT Corp","OPEN",$N$1&amp;" 4:15:00 PM",$N$1&amp;" 5:15:00 PM","BarSz=60","BarTp=T","RecurDaily=True","TZ=London","DTS=H")</f>
        <v>100.54</v>
      </c>
      <c r="O21" s="36">
        <f>_xll.BDH($C21&amp;"@CBBT Corp","OPEN",$O$1&amp;" 4:15:00 PM",$O$1&amp;" 5:15:00 PM","BarSz=60","BarTp=T","RecurDaily=True","TZ=London","DTS=H")</f>
        <v>100.583</v>
      </c>
      <c r="P21" s="36">
        <f>_xll.BDH($C21&amp;"@CBBT Corp","OPEN",P$1&amp;" 4:15:00 PM",P$1&amp;" 5:15:00 PM","BarSz=60","BarTp=T","RecurDaily=True","TZ=London","DTS=H")</f>
        <v>100.55200000000001</v>
      </c>
      <c r="Q21" s="44">
        <f>_xll.BDP($C21&amp;"@CBBT Corp","YAS_BOND_YLD", "SETTLE_DT="&amp;Q$1, "YAS_BOND_PX="&amp;$N21)</f>
        <v>-8.7999999999999995E-2</v>
      </c>
      <c r="R21" s="44">
        <f>_xll.BDP($C21&amp;"@CBBT Corp","YAS_BOND_YLD", "SETTLE_DT="&amp;R$1, "YAS_BOND_PX="&amp;$O21)</f>
        <v>-0.111</v>
      </c>
      <c r="S21" s="44">
        <f>_xll.BDP($C21&amp;"@CBBT Corp","YAS_BOND_YLD", "SETTLE_DT="&amp;S$1, "YAS_BOND_PX="&amp;$P21)</f>
        <v>-7.8E-2</v>
      </c>
    </row>
    <row r="22" spans="1:19">
      <c r="A22" s="46" t="str">
        <f t="shared" si="0"/>
        <v>EUR.CM_DEPTH.XLS_ANDREA.FR0011394345</v>
      </c>
      <c r="B22" s="51" t="str">
        <f>_xll.MKV("EUR.CM_INSTRUMENT.PXE."&amp;C22,B$3)</f>
        <v>FRTR</v>
      </c>
      <c r="C22" s="62" t="s">
        <v>530</v>
      </c>
      <c r="D22" s="125">
        <f>_xll.MKV("EUR.CM_INSTRUMENT.PXE."&amp;C22,D$3)</f>
        <v>43245</v>
      </c>
      <c r="E22" s="58">
        <f t="shared" si="1"/>
        <v>-0.40000000000000036</v>
      </c>
      <c r="F22" s="58">
        <f t="shared" si="2"/>
        <v>1.5000000000000013</v>
      </c>
      <c r="G22" s="58">
        <f t="shared" si="3"/>
        <v>-4.6000000000000041</v>
      </c>
      <c r="H22" s="46" t="str">
        <f>_xll.MKV_PUBLISHRECORD(A22, $H$4)</f>
        <v>OK</v>
      </c>
      <c r="I22" s="46" t="str">
        <f>_xll.MKV_SUPPLYRECORD_RANGE(A22,$B$3:$G$3,B22:G22)</f>
        <v>OK</v>
      </c>
      <c r="J22" s="34">
        <f>_xll.MKV($J$1&amp;$C22, J$3)</f>
        <v>-0.626753</v>
      </c>
      <c r="K22" s="32">
        <f>_xll.MKV($L$2&amp;$C22, K$3)</f>
        <v>-0.626</v>
      </c>
      <c r="L22" s="35">
        <f>_xll.MKV($L$2&amp;$C22, L$3)</f>
        <v>102.64749999999999</v>
      </c>
      <c r="M22" s="32">
        <f t="shared" si="4"/>
        <v>-1.5000000000071623E-3</v>
      </c>
      <c r="N22" s="36">
        <f>_xll.BDH(C22&amp;"@CBBT Corp","OPEN",$N$1&amp;" 4:15:00 PM",$N$1&amp;" 5:15:00 PM","BarSz=60","BarTp=T","RecurDaily=True","TZ=London","DTS=H")</f>
        <v>102.649</v>
      </c>
      <c r="O22" s="36">
        <f>_xll.BDH($C22&amp;"@CBBT Corp","OPEN",$O$1&amp;" 4:15:00 PM",$O$1&amp;" 5:15:00 PM","BarSz=60","BarTp=T","RecurDaily=True","TZ=London","DTS=H")</f>
        <v>102.712</v>
      </c>
      <c r="P22" s="36">
        <f>_xll.BDH($C22&amp;"@CBBT Corp","OPEN",P$1&amp;" 4:15:00 PM",P$1&amp;" 5:15:00 PM","BarSz=60","BarTp=T","RecurDaily=True","TZ=London","DTS=H")</f>
        <v>102.718</v>
      </c>
      <c r="Q22" s="44">
        <f>_xll.BDP($C22&amp;"@CBBT Corp","YAS_BOND_YLD", "SETTLE_DT="&amp;Q$1, "YAS_BOND_PX="&amp;$N22)</f>
        <v>-0.622</v>
      </c>
      <c r="R22" s="44">
        <f>_xll.BDP($C22&amp;"@CBBT Corp","YAS_BOND_YLD", "SETTLE_DT="&amp;R$1, "YAS_BOND_PX="&amp;$O22)</f>
        <v>-0.64100000000000001</v>
      </c>
      <c r="S22" s="44">
        <f>_xll.BDP($C22&amp;"@CBBT Corp","YAS_BOND_YLD", "SETTLE_DT="&amp;S$1, "YAS_BOND_PX="&amp;$P22)</f>
        <v>-0.57999999999999996</v>
      </c>
    </row>
    <row r="23" spans="1:19">
      <c r="A23" s="46" t="str">
        <f t="shared" si="0"/>
        <v>EUR.CM_DEPTH.XLS_ANDREA.IT0004907843</v>
      </c>
      <c r="B23" s="51" t="str">
        <f>_xll.MKV("EUR.CM_INSTRUMENT.PXE."&amp;C23,B$3)</f>
        <v>BTPS</v>
      </c>
      <c r="C23" s="61" t="s">
        <v>436</v>
      </c>
      <c r="D23" s="125">
        <f>_xll.MKV("EUR.CM_INSTRUMENT.PXE."&amp;C23,D$3)</f>
        <v>43252</v>
      </c>
      <c r="E23" s="58">
        <f t="shared" si="1"/>
        <v>-0.49999999999999978</v>
      </c>
      <c r="F23" s="58">
        <f t="shared" si="2"/>
        <v>1.6</v>
      </c>
      <c r="G23" s="58">
        <f t="shared" si="3"/>
        <v>-2.6999999999999997</v>
      </c>
      <c r="H23" s="46" t="str">
        <f>_xll.MKV_PUBLISHRECORD(A23, $H$4)</f>
        <v>OK</v>
      </c>
      <c r="I23" s="46" t="str">
        <f>_xll.MKV_SUPPLYRECORD_RANGE(A23,$B$3:$G$3,B23:G23)</f>
        <v>OK</v>
      </c>
      <c r="J23" s="34">
        <f>_xll.MKV($J$1&amp;$C23, J$3)</f>
        <v>-6.4472000000000002E-2</v>
      </c>
      <c r="K23" s="32">
        <f>_xll.MKV($L$2&amp;$C23, K$3)</f>
        <v>-0.06</v>
      </c>
      <c r="L23" s="35">
        <f>_xll.MKV($L$2&amp;$C23, L$3)</f>
        <v>105.828</v>
      </c>
      <c r="M23" s="32">
        <f t="shared" si="4"/>
        <v>-3.9999999999906777E-3</v>
      </c>
      <c r="N23" s="36">
        <f>_xll.BDH(C23&amp;"@CBBT Corp","OPEN",$N$1&amp;" 4:15:00 PM",$N$1&amp;" 5:15:00 PM","BarSz=60","BarTp=T","RecurDaily=True","TZ=London","DTS=H")</f>
        <v>105.83199999999999</v>
      </c>
      <c r="O23" s="36">
        <f>_xll.BDH($C23&amp;"@CBBT Corp","OPEN",$O$1&amp;" 4:15:00 PM",$O$1&amp;" 5:15:00 PM","BarSz=60","BarTp=T","RecurDaily=True","TZ=London","DTS=H")</f>
        <v>105.935</v>
      </c>
      <c r="P23" s="36">
        <f>_xll.BDH($C23&amp;"@CBBT Corp","OPEN",P$1&amp;" 4:15:00 PM",P$1&amp;" 5:15:00 PM","BarSz=60","BarTp=T","RecurDaily=True","TZ=London","DTS=H")</f>
        <v>106.10299999999999</v>
      </c>
      <c r="Q23" s="44">
        <f>_xll.BDP($C23&amp;"@CBBT Corp","YAS_BOND_YLD", "SETTLE_DT="&amp;Q$1, "YAS_BOND_PX="&amp;$N23)</f>
        <v>-5.5E-2</v>
      </c>
      <c r="R23" s="44">
        <f>_xll.BDP($C23&amp;"@CBBT Corp","YAS_BOND_YLD", "SETTLE_DT="&amp;R$1, "YAS_BOND_PX="&amp;$O23)</f>
        <v>-7.5999999999999998E-2</v>
      </c>
      <c r="S23" s="44">
        <f>_xll.BDP($C23&amp;"@CBBT Corp","YAS_BOND_YLD", "SETTLE_DT="&amp;S$1, "YAS_BOND_PX="&amp;$P23)</f>
        <v>-3.3000000000000002E-2</v>
      </c>
    </row>
    <row r="24" spans="1:19">
      <c r="A24" s="46" t="str">
        <f t="shared" si="0"/>
        <v>EUR.CM_DEPTH.XLS_ANDREA.IT0004361041</v>
      </c>
      <c r="B24" s="51" t="str">
        <f>_xll.MKV("EUR.CM_INSTRUMENT.PXE."&amp;C24,B$3)</f>
        <v>BTPS</v>
      </c>
      <c r="C24" s="61" t="s">
        <v>437</v>
      </c>
      <c r="D24" s="125">
        <f>_xll.MKV("EUR.CM_INSTRUMENT.PXE."&amp;C24,D$3)</f>
        <v>43313</v>
      </c>
      <c r="E24" s="58">
        <f t="shared" si="1"/>
        <v>-1.4</v>
      </c>
      <c r="F24" s="58">
        <f t="shared" si="2"/>
        <v>0.90000000000000013</v>
      </c>
      <c r="G24" s="58">
        <f t="shared" si="3"/>
        <v>-4.1000000000000005</v>
      </c>
      <c r="H24" s="46" t="str">
        <f>_xll.MKV_PUBLISHRECORD(A24, $H$4)</f>
        <v>OK</v>
      </c>
      <c r="I24" s="46" t="str">
        <f>_xll.MKV_SUPPLYRECORD_RANGE(A24,$B$3:$G$3,B24:G24)</f>
        <v>OK</v>
      </c>
      <c r="J24" s="34">
        <f>_xll.MKV($J$1&amp;$C24, J$3)</f>
        <v>-5.6730000000000003E-2</v>
      </c>
      <c r="K24" s="32">
        <f>_xll.MKV($L$2&amp;$C24, K$3)</f>
        <v>-5.5E-2</v>
      </c>
      <c r="L24" s="35">
        <f>_xll.MKV($L$2&amp;$C24, L$3)</f>
        <v>108.215</v>
      </c>
      <c r="M24" s="32">
        <f t="shared" si="4"/>
        <v>5.0000000000096634E-3</v>
      </c>
      <c r="N24" s="36">
        <f>_xll.BDH(C24&amp;"@CBBT Corp","OPEN",$N$1&amp;" 4:15:00 PM",$N$1&amp;" 5:15:00 PM","BarSz=60","BarTp=T","RecurDaily=True","TZ=London","DTS=H")</f>
        <v>108.21</v>
      </c>
      <c r="O24" s="36">
        <f>_xll.BDH($C24&amp;"@CBBT Corp","OPEN",$O$1&amp;" 4:15:00 PM",$O$1&amp;" 5:15:00 PM","BarSz=60","BarTp=T","RecurDaily=True","TZ=London","DTS=H")</f>
        <v>108.34</v>
      </c>
      <c r="P24" s="36">
        <f>_xll.BDH($C24&amp;"@CBBT Corp","OPEN",P$1&amp;" 4:15:00 PM",P$1&amp;" 5:15:00 PM","BarSz=60","BarTp=T","RecurDaily=True","TZ=London","DTS=H")</f>
        <v>108.55200000000001</v>
      </c>
      <c r="Q24" s="44">
        <f>_xll.BDP($C24&amp;"@CBBT Corp","YAS_BOND_YLD", "SETTLE_DT="&amp;Q$1, "YAS_BOND_PX="&amp;$N24)</f>
        <v>-4.1000000000000002E-2</v>
      </c>
      <c r="R24" s="44">
        <f>_xll.BDP($C24&amp;"@CBBT Corp","YAS_BOND_YLD", "SETTLE_DT="&amp;R$1, "YAS_BOND_PX="&amp;$O24)</f>
        <v>-6.4000000000000001E-2</v>
      </c>
      <c r="S24" s="44">
        <f>_xll.BDP($C24&amp;"@CBBT Corp","YAS_BOND_YLD", "SETTLE_DT="&amp;S$1, "YAS_BOND_PX="&amp;$P24)</f>
        <v>-1.4E-2</v>
      </c>
    </row>
    <row r="25" spans="1:19">
      <c r="A25" s="46" t="str">
        <f t="shared" si="0"/>
        <v>EUR.CM_DEPTH.XLS_ANDREA.IT0005139099</v>
      </c>
      <c r="B25" s="51" t="str">
        <f>_xll.MKV("EUR.CM_INSTRUMENT.PXE."&amp;C25,B$3)</f>
        <v>BTPS</v>
      </c>
      <c r="C25" s="61" t="s">
        <v>641</v>
      </c>
      <c r="D25" s="125">
        <f>_xll.MKV("EUR.CM_INSTRUMENT.PXE."&amp;C25,D$3)</f>
        <v>43388</v>
      </c>
      <c r="E25" s="58">
        <f t="shared" si="1"/>
        <v>0.20000000000000018</v>
      </c>
      <c r="F25" s="58">
        <f t="shared" si="2"/>
        <v>2.4</v>
      </c>
      <c r="G25" s="58">
        <f t="shared" si="3"/>
        <v>-0.99999999999999989</v>
      </c>
      <c r="H25" s="46" t="str">
        <f>_xll.MKV_PUBLISHRECORD(A25, $H$4)</f>
        <v>OK</v>
      </c>
      <c r="I25" s="46" t="str">
        <f>_xll.MKV_SUPPLYRECORD_RANGE(A25,$B$3:$G$3,B25:G25)</f>
        <v>OK</v>
      </c>
      <c r="J25" s="34">
        <f>_xll.MKV($J$1&amp;$C25, J$3)</f>
        <v>-4.2873000000000001E-2</v>
      </c>
      <c r="K25" s="32">
        <f>_xll.MKV($L$2&amp;$C25, K$3)</f>
        <v>-3.7999999999999999E-2</v>
      </c>
      <c r="L25" s="35">
        <f>_xll.MKV($L$2&amp;$C25, L$3)</f>
        <v>100.688</v>
      </c>
      <c r="M25" s="32">
        <f t="shared" si="4"/>
        <v>3.0000000000001137E-3</v>
      </c>
      <c r="N25" s="36">
        <f>_xll.BDH(C25&amp;"@CBBT Corp","OPEN",$N$1&amp;" 4:15:00 PM",$N$1&amp;" 5:15:00 PM","BarSz=60","BarTp=T","RecurDaily=True","TZ=London","DTS=H")</f>
        <v>100.685</v>
      </c>
      <c r="O25" s="36">
        <f>_xll.BDH($C25&amp;"@CBBT Corp","OPEN",$O$1&amp;" 4:15:00 PM",$O$1&amp;" 5:15:00 PM","BarSz=60","BarTp=T","RecurDaily=True","TZ=London","DTS=H")</f>
        <v>100.735</v>
      </c>
      <c r="P25" s="36">
        <f>_xll.BDH($C25&amp;"@CBBT Corp","OPEN",P$1&amp;" 4:15:00 PM",P$1&amp;" 5:15:00 PM","BarSz=60","BarTp=T","RecurDaily=True","TZ=London","DTS=H")</f>
        <v>100.688</v>
      </c>
      <c r="Q25" s="44">
        <f>_xll.BDP($C25&amp;"@CBBT Corp","YAS_BOND_YLD", "SETTLE_DT="&amp;Q$1, "YAS_BOND_PX="&amp;$N25)</f>
        <v>-0.04</v>
      </c>
      <c r="R25" s="44">
        <f>_xll.BDP($C25&amp;"@CBBT Corp","YAS_BOND_YLD", "SETTLE_DT="&amp;R$1, "YAS_BOND_PX="&amp;$O25)</f>
        <v>-6.2E-2</v>
      </c>
      <c r="S25" s="44">
        <f>_xll.BDP($C25&amp;"@CBBT Corp","YAS_BOND_YLD", "SETTLE_DT="&amp;S$1, "YAS_BOND_PX="&amp;$P25)</f>
        <v>-2.8000000000000001E-2</v>
      </c>
    </row>
    <row r="26" spans="1:19">
      <c r="A26" s="46" t="str">
        <f t="shared" si="0"/>
        <v>EUR.CM_DEPTH.XLS_ANDREA.FR0010670737</v>
      </c>
      <c r="B26" s="51" t="str">
        <f>_xll.MKV("EUR.CM_INSTRUMENT.PXE."&amp;C26,B$3)</f>
        <v>FRTR</v>
      </c>
      <c r="C26" s="62" t="s">
        <v>535</v>
      </c>
      <c r="D26" s="125">
        <f>_xll.MKV("EUR.CM_INSTRUMENT.PXE."&amp;C26,D$3)</f>
        <v>43398</v>
      </c>
      <c r="E26" s="58">
        <f t="shared" si="1"/>
        <v>-0.9000000000000008</v>
      </c>
      <c r="F26" s="58">
        <f t="shared" si="2"/>
        <v>1.4000000000000012</v>
      </c>
      <c r="G26" s="58">
        <f t="shared" si="3"/>
        <v>-7.5999999999999961</v>
      </c>
      <c r="H26" s="46" t="str">
        <f>_xll.MKV_PUBLISHRECORD(A26, $H$4)</f>
        <v>OK</v>
      </c>
      <c r="I26" s="46" t="str">
        <f>_xll.MKV_SUPPLYRECORD_RANGE(A26,$B$3:$G$3,B26:G26)</f>
        <v>OK</v>
      </c>
      <c r="J26" s="34">
        <f>_xll.MKV($J$1&amp;$C26, J$3)</f>
        <v>-0.60914000000000001</v>
      </c>
      <c r="K26" s="32">
        <f>_xll.MKV($L$2&amp;$C26, K$3)</f>
        <v>-0.60799999999999998</v>
      </c>
      <c r="L26" s="35">
        <f>_xll.MKV($L$2&amp;$C26, L$3)</f>
        <v>109.97</v>
      </c>
      <c r="M26" s="32">
        <f t="shared" si="4"/>
        <v>-4.0000000000048885E-3</v>
      </c>
      <c r="N26" s="36">
        <f>_xll.BDH($C26&amp;"@CBBT Corp","OPEN",$N$1&amp;" 4:15:00 PM",$N$1&amp;" 5:15:00 PM","BarSz=60","BarTp=T","RecurDaily=True","TZ=London","DTS=H")</f>
        <v>109.974</v>
      </c>
      <c r="O26" s="36">
        <f>_xll.BDH($C26&amp;"@CBBT Corp","OPEN",$O$1&amp;" 4:15:00 PM",$O$1&amp;" 5:15:00 PM","BarSz=60","BarTp=T","RecurDaily=True","TZ=London","DTS=H")</f>
        <v>110.12</v>
      </c>
      <c r="P26" s="36">
        <f>_xll.BDH($C26&amp;"@CBBT Corp","OPEN",P$1&amp;" 4:15:00 PM",P$1&amp;" 5:15:00 PM","BarSz=60","BarTp=T","RecurDaily=True","TZ=London","DTS=H")</f>
        <v>110.252</v>
      </c>
      <c r="Q26" s="44">
        <f>_xll.BDP($C26&amp;"@CBBT Corp","YAS_BOND_YLD", "SETTLE_DT="&amp;Q$1, "YAS_BOND_PX="&amp;$N26)</f>
        <v>-0.59899999999999998</v>
      </c>
      <c r="R26" s="44">
        <f>_xll.BDP($C26&amp;"@CBBT Corp","YAS_BOND_YLD", "SETTLE_DT="&amp;R$1, "YAS_BOND_PX="&amp;$O26)</f>
        <v>-0.622</v>
      </c>
      <c r="S26" s="44">
        <f>_xll.BDP($C26&amp;"@CBBT Corp","YAS_BOND_YLD", "SETTLE_DT="&amp;S$1, "YAS_BOND_PX="&amp;$P26)</f>
        <v>-0.53200000000000003</v>
      </c>
    </row>
    <row r="27" spans="1:19">
      <c r="A27" s="46" t="str">
        <f t="shared" si="0"/>
        <v>EUR.CM_DEPTH.XLS_ANDREA.FR0011523257</v>
      </c>
      <c r="B27" s="51" t="str">
        <f>_xll.MKV("EUR.CM_INSTRUMENT.PXE."&amp;C27,B$3)</f>
        <v>FRTR</v>
      </c>
      <c r="C27" s="62" t="s">
        <v>537</v>
      </c>
      <c r="D27" s="125">
        <f>_xll.MKV("EUR.CM_INSTRUMENT.PXE."&amp;C27,D$3)</f>
        <v>43429</v>
      </c>
      <c r="E27" s="58">
        <f t="shared" si="1"/>
        <v>0</v>
      </c>
      <c r="F27" s="58">
        <f t="shared" si="2"/>
        <v>2.8000000000000025</v>
      </c>
      <c r="G27" s="58">
        <f t="shared" si="3"/>
        <v>-6.0999999999999943</v>
      </c>
      <c r="H27" s="46" t="str">
        <f>_xll.MKV_PUBLISHRECORD(A27, $H$4)</f>
        <v>OK</v>
      </c>
      <c r="I27" s="46" t="str">
        <f>_xll.MKV_SUPPLYRECORD_RANGE(A27,$B$3:$G$3,B27:G27)</f>
        <v>OK</v>
      </c>
      <c r="J27" s="34">
        <f>_xll.MKV($J$1&amp;$C27, J$3)</f>
        <v>-0.61243599999999998</v>
      </c>
      <c r="K27" s="32">
        <f>_xll.MKV($L$2&amp;$C27, K$3)</f>
        <v>-0.61199999999999999</v>
      </c>
      <c r="L27" s="35">
        <f>_xll.MKV($L$2&amp;$C27, L$3)</f>
        <v>103.44750000000001</v>
      </c>
      <c r="M27" s="32">
        <f t="shared" si="4"/>
        <v>-7.4999999999931788E-3</v>
      </c>
      <c r="N27" s="36">
        <f>_xll.BDH($C27&amp;"@CBBT Corp","OPEN",$N$1&amp;" 4:15:00 PM",$N$1&amp;" 5:15:00 PM","BarSz=60","BarTp=T","RecurDaily=True","TZ=London","DTS=H")</f>
        <v>103.455</v>
      </c>
      <c r="O27" s="36">
        <f>_xll.BDH($C27&amp;"@CBBT Corp","OPEN",$O$1&amp;" 4:15:00 PM",$O$1&amp;" 5:15:00 PM","BarSz=60","BarTp=T","RecurDaily=True","TZ=London","DTS=H")</f>
        <v>103.55</v>
      </c>
      <c r="P27" s="36">
        <f>_xll.BDH($C27&amp;"@CBBT Corp","OPEN",P$1&amp;" 4:15:00 PM",P$1&amp;" 5:15:00 PM","BarSz=60","BarTp=T","RecurDaily=True","TZ=London","DTS=H")</f>
        <v>103.46</v>
      </c>
      <c r="Q27" s="44">
        <f>_xll.BDP($C27&amp;"@CBBT Corp","YAS_BOND_YLD", "SETTLE_DT="&amp;Q$1, "YAS_BOND_PX="&amp;$N27)</f>
        <v>-0.61199999999999999</v>
      </c>
      <c r="R27" s="44">
        <f>_xll.BDP($C27&amp;"@CBBT Corp","YAS_BOND_YLD", "SETTLE_DT="&amp;R$1, "YAS_BOND_PX="&amp;$O27)</f>
        <v>-0.64</v>
      </c>
      <c r="S27" s="44">
        <f>_xll.BDP($C27&amp;"@CBBT Corp","YAS_BOND_YLD", "SETTLE_DT="&amp;S$1, "YAS_BOND_PX="&amp;$P27)</f>
        <v>-0.55100000000000005</v>
      </c>
    </row>
    <row r="28" spans="1:19">
      <c r="A28" s="46" t="str">
        <f t="shared" si="0"/>
        <v>EUR.CM_DEPTH.XLS_ANDREA.IT0004957574</v>
      </c>
      <c r="B28" s="51" t="str">
        <f>_xll.MKV("EUR.CM_INSTRUMENT.PXE."&amp;C28,B$3)</f>
        <v>BTPS</v>
      </c>
      <c r="C28" s="61" t="s">
        <v>438</v>
      </c>
      <c r="D28" s="125">
        <f>_xll.MKV("EUR.CM_INSTRUMENT.PXE."&amp;C28,D$3)</f>
        <v>43435</v>
      </c>
      <c r="E28" s="58">
        <f t="shared" si="1"/>
        <v>-0.40000000000000036</v>
      </c>
      <c r="F28" s="58">
        <f t="shared" si="2"/>
        <v>1.4</v>
      </c>
      <c r="G28" s="58">
        <f t="shared" si="3"/>
        <v>-3.4000000000000004</v>
      </c>
      <c r="H28" s="46" t="str">
        <f>_xll.MKV_PUBLISHRECORD(A28, $H$4)</f>
        <v>OK</v>
      </c>
      <c r="I28" s="46" t="str">
        <f>_xll.MKV_SUPPLYRECORD_RANGE(A28,$B$3:$G$3,B28:G28)</f>
        <v>OK</v>
      </c>
      <c r="J28" s="34">
        <f>_xll.MKV($J$1&amp;$C28, J$3)</f>
        <v>-5.3516000000000001E-2</v>
      </c>
      <c r="K28" s="32">
        <f>_xll.MKV($L$2&amp;$C28, K$3)</f>
        <v>-0.05</v>
      </c>
      <c r="L28" s="35">
        <f>_xll.MKV($L$2&amp;$C28, L$3)</f>
        <v>107.588486</v>
      </c>
      <c r="M28" s="32">
        <f t="shared" si="4"/>
        <v>-1.5140000000002374E-3</v>
      </c>
      <c r="N28" s="36">
        <f>_xll.BDH(C28&amp;"@CBBT Corp","OPEN",$N$1&amp;" 4:15:00 PM",$N$1&amp;" 5:15:00 PM","BarSz=60","BarTp=T","RecurDaily=True","TZ=London","DTS=H")</f>
        <v>107.59</v>
      </c>
      <c r="O28" s="36">
        <f>_xll.BDH($C28&amp;"@CBBT Corp","OPEN",$O$1&amp;" 4:15:00 PM",$O$1&amp;" 5:15:00 PM","BarSz=60","BarTp=T","RecurDaily=True","TZ=London","DTS=H")</f>
        <v>107.7</v>
      </c>
      <c r="P28" s="36">
        <f>_xll.BDH($C28&amp;"@CBBT Corp","OPEN",P$1&amp;" 4:15:00 PM",P$1&amp;" 5:15:00 PM","BarSz=60","BarTp=T","RecurDaily=True","TZ=London","DTS=H")</f>
        <v>107.83199999999999</v>
      </c>
      <c r="Q28" s="44">
        <f>_xll.BDP($C28&amp;"@CBBT Corp","YAS_BOND_YLD", "SETTLE_DT="&amp;Q$1, "YAS_BOND_PX="&amp;$N28)</f>
        <v>-4.5999999999999999E-2</v>
      </c>
      <c r="R28" s="44">
        <f>_xll.BDP($C28&amp;"@CBBT Corp","YAS_BOND_YLD", "SETTLE_DT="&amp;R$1, "YAS_BOND_PX="&amp;$O28)</f>
        <v>-6.4000000000000001E-2</v>
      </c>
      <c r="S28" s="44">
        <f>_xll.BDP($C28&amp;"@CBBT Corp","YAS_BOND_YLD", "SETTLE_DT="&amp;S$1, "YAS_BOND_PX="&amp;$P28)</f>
        <v>-1.6E-2</v>
      </c>
    </row>
    <row r="29" spans="1:19">
      <c r="A29" s="46" t="str">
        <f t="shared" si="0"/>
        <v>EUR.CM_DEPTH.XLS_ANDREA.IT0003493258</v>
      </c>
      <c r="B29" s="51" t="str">
        <f>_xll.MKV("EUR.CM_INSTRUMENT.PXE."&amp;C29,B$3)</f>
        <v>BTPS</v>
      </c>
      <c r="C29" s="61" t="s">
        <v>439</v>
      </c>
      <c r="D29" s="125">
        <f>_xll.MKV("EUR.CM_INSTRUMENT.PXE."&amp;C29,D$3)</f>
        <v>43497</v>
      </c>
      <c r="E29" s="58">
        <f t="shared" si="1"/>
        <v>-0.3</v>
      </c>
      <c r="F29" s="58">
        <f t="shared" si="2"/>
        <v>2.2999999999999998</v>
      </c>
      <c r="G29" s="58">
        <f t="shared" si="3"/>
        <v>-0.4</v>
      </c>
      <c r="H29" s="46" t="str">
        <f>_xll.MKV_PUBLISHRECORD(A29, $H$4)</f>
        <v>OK</v>
      </c>
      <c r="I29" s="46" t="str">
        <f>_xll.MKV_SUPPLYRECORD_RANGE(A29,$B$3:$G$3,B29:G29)</f>
        <v>OK</v>
      </c>
      <c r="J29" s="34">
        <f>_xll.MKV($J$1&amp;$C29, J$3)</f>
        <v>-3.307E-3</v>
      </c>
      <c r="K29" s="32">
        <f>_xll.MKV($L$2&amp;$C29, K$3)</f>
        <v>1E-3</v>
      </c>
      <c r="L29" s="35">
        <f>_xll.MKV($L$2&amp;$C29, L$3)</f>
        <v>109.79</v>
      </c>
      <c r="M29" s="32">
        <f t="shared" si="4"/>
        <v>-4.9999999999954525E-3</v>
      </c>
      <c r="N29" s="36">
        <f>_xll.BDH(C29&amp;"@CBBT Corp","OPEN",$N$1&amp;" 4:15:00 PM",$N$1&amp;" 5:15:00 PM","BarSz=60","BarTp=T","RecurDaily=True","TZ=London","DTS=H")</f>
        <v>109.795</v>
      </c>
      <c r="O29" s="36">
        <f>_xll.BDH($C29&amp;"@CBBT Corp","OPEN",$O$1&amp;" 4:15:00 PM",$O$1&amp;" 5:15:00 PM","BarSz=60","BarTp=T","RecurDaily=True","TZ=London","DTS=H")</f>
        <v>109.94</v>
      </c>
      <c r="P29" s="36">
        <f>_xll.BDH($C29&amp;"@CBBT Corp","OPEN",P$1&amp;" 4:15:00 PM",P$1&amp;" 5:15:00 PM","BarSz=60","BarTp=T","RecurDaily=True","TZ=London","DTS=H")</f>
        <v>110.16200000000001</v>
      </c>
      <c r="Q29" s="44">
        <f>_xll.BDP($C29&amp;"@CBBT Corp","YAS_BOND_YLD", "SETTLE_DT="&amp;Q$1, "YAS_BOND_PX="&amp;$N29)</f>
        <v>4.0000000000000001E-3</v>
      </c>
      <c r="R29" s="44">
        <f>_xll.BDP($C29&amp;"@CBBT Corp","YAS_BOND_YLD", "SETTLE_DT="&amp;R$1, "YAS_BOND_PX="&amp;$O29)</f>
        <v>-2.1999999999999999E-2</v>
      </c>
      <c r="S29" s="44">
        <f>_xll.BDP($C29&amp;"@CBBT Corp","YAS_BOND_YLD", "SETTLE_DT="&amp;S$1, "YAS_BOND_PX="&amp;$P29)</f>
        <v>5.0000000000000001E-3</v>
      </c>
    </row>
    <row r="30" spans="1:19">
      <c r="A30" s="46" t="str">
        <f t="shared" si="0"/>
        <v>EUR.CM_DEPTH.XLS_ANDREA.FR0013101466</v>
      </c>
      <c r="B30" s="51" t="str">
        <f>_xll.MKV("EUR.CM_INSTRUMENT.PXE."&amp;C30,B$3)</f>
        <v>FRTR</v>
      </c>
      <c r="C30" s="62" t="s">
        <v>682</v>
      </c>
      <c r="D30" s="125">
        <f>_xll.MKV("EUR.CM_INSTRUMENT.PXE."&amp;C30,D$3)</f>
        <v>43521</v>
      </c>
      <c r="E30" s="58">
        <f t="shared" si="1"/>
        <v>-0.10000000000000009</v>
      </c>
      <c r="F30" s="58">
        <f t="shared" si="2"/>
        <v>2.4000000000000021</v>
      </c>
      <c r="G30" s="58">
        <f t="shared" si="3"/>
        <v>-5.699999999999994</v>
      </c>
      <c r="H30" s="46" t="str">
        <f>_xll.MKV_PUBLISHRECORD(A30, $H$4)</f>
        <v>OK</v>
      </c>
      <c r="I30" s="46" t="str">
        <f>_xll.MKV_SUPPLYRECORD_RANGE(A30,$B$3:$G$3,B30:G30)</f>
        <v>OK</v>
      </c>
      <c r="J30" s="34">
        <f>_xll.MKV($J$1&amp;$C30, J$3)</f>
        <v>-0.59103799999999995</v>
      </c>
      <c r="K30" s="32">
        <f>_xll.MKV($L$2&amp;$C30, K$3)</f>
        <v>-0.58899999999999997</v>
      </c>
      <c r="L30" s="35">
        <f>_xll.MKV($L$2&amp;$C30, L$3)</f>
        <v>101.41249999999999</v>
      </c>
      <c r="M30" s="32">
        <f t="shared" si="4"/>
        <v>3.4999999999882903E-3</v>
      </c>
      <c r="N30" s="36">
        <f>_xll.BDH(C30&amp;"@CBBT Corp","OPEN",$N$1&amp;" 4:15:00 PM",$N$1&amp;" 5:15:00 PM","BarSz=60","BarTp=T","RecurDaily=True","TZ=London","DTS=H")</f>
        <v>101.40900000000001</v>
      </c>
      <c r="O30" s="36">
        <f>_xll.BDH($C30&amp;"@CBBT Corp","OPEN",$O$1&amp;" 4:15:00 PM",$O$1&amp;" 5:15:00 PM","BarSz=60","BarTp=T","RecurDaily=True","TZ=London","DTS=H")</f>
        <v>101.483</v>
      </c>
      <c r="P30" s="36">
        <f>_xll.BDH($C30&amp;"@CBBT Corp","OPEN",P$1&amp;" 4:15:00 PM",P$1&amp;" 5:15:00 PM","BarSz=60","BarTp=T","RecurDaily=True","TZ=London","DTS=H")</f>
        <v>101.322</v>
      </c>
      <c r="Q30" s="44">
        <f>_xll.BDP($C30&amp;"@CBBT Corp","YAS_BOND_YLD", "SETTLE_DT="&amp;Q$1, "YAS_BOND_PX="&amp;$N30)</f>
        <v>-0.58799999999999997</v>
      </c>
      <c r="R30" s="44">
        <f>_xll.BDP($C30&amp;"@CBBT Corp","YAS_BOND_YLD", "SETTLE_DT="&amp;R$1, "YAS_BOND_PX="&amp;$O30)</f>
        <v>-0.61299999999999999</v>
      </c>
      <c r="S30" s="44">
        <f>_xll.BDP($C30&amp;"@CBBT Corp","YAS_BOND_YLD", "SETTLE_DT="&amp;S$1, "YAS_BOND_PX="&amp;$P30)</f>
        <v>-0.53200000000000003</v>
      </c>
    </row>
    <row r="31" spans="1:19">
      <c r="A31" s="46" t="str">
        <f t="shared" si="0"/>
        <v>EUR.CM_DEPTH.XLS_ANDREA.IT0004423957</v>
      </c>
      <c r="B31" s="51" t="str">
        <f>_xll.MKV("EUR.CM_INSTRUMENT.PXE."&amp;C31,B$3)</f>
        <v>BTPS</v>
      </c>
      <c r="C31" s="61" t="s">
        <v>440</v>
      </c>
      <c r="D31" s="125">
        <f>_xll.MKV("EUR.CM_INSTRUMENT.PXE."&amp;C31,D$3)</f>
        <v>43525</v>
      </c>
      <c r="E31" s="58">
        <f t="shared" si="1"/>
        <v>-0.5</v>
      </c>
      <c r="F31" s="58">
        <f t="shared" si="2"/>
        <v>1.7000000000000002</v>
      </c>
      <c r="G31" s="58">
        <f t="shared" si="3"/>
        <v>-1.5</v>
      </c>
      <c r="H31" s="46" t="str">
        <f>_xll.MKV_PUBLISHRECORD(A31, $H$4)</f>
        <v>OK</v>
      </c>
      <c r="I31" s="46" t="str">
        <f>_xll.MKV_SUPPLYRECORD_RANGE(A31,$B$3:$G$3,B31:G31)</f>
        <v>OK</v>
      </c>
      <c r="J31" s="34">
        <f>_xll.MKV($J$1&amp;$C31, J$3)</f>
        <v>-1.0204E-2</v>
      </c>
      <c r="K31" s="32">
        <f>_xll.MKV($L$2&amp;$C31, K$3)</f>
        <v>-6.0000000000000001E-3</v>
      </c>
      <c r="L31" s="35">
        <f>_xll.MKV($L$2&amp;$C31, L$3)</f>
        <v>110.753821</v>
      </c>
      <c r="M31" s="32">
        <f t="shared" si="4"/>
        <v>-1.1789999999933798E-3</v>
      </c>
      <c r="N31" s="36">
        <f>_xll.BDH(C31&amp;"@CBBT Corp","OPEN",$N$1&amp;" 4:15:00 PM",$N$1&amp;" 5:15:00 PM","BarSz=60","BarTp=T","RecurDaily=True","TZ=London","DTS=H")</f>
        <v>110.755</v>
      </c>
      <c r="O31" s="36">
        <f>_xll.BDH($C31&amp;"@CBBT Corp","OPEN",$O$1&amp;" 4:15:00 PM",$O$1&amp;" 5:15:00 PM","BarSz=60","BarTp=T","RecurDaily=True","TZ=London","DTS=H")</f>
        <v>110.9</v>
      </c>
      <c r="P31" s="36">
        <f>_xll.BDH($C31&amp;"@CBBT Corp","OPEN",P$1&amp;" 4:15:00 PM",P$1&amp;" 5:15:00 PM","BarSz=60","BarTp=T","RecurDaily=True","TZ=London","DTS=H")</f>
        <v>111.128</v>
      </c>
      <c r="Q31" s="44">
        <f>_xll.BDP($C31&amp;"@CBBT Corp","YAS_BOND_YLD", "SETTLE_DT="&amp;Q$1, "YAS_BOND_PX="&amp;$N31)</f>
        <v>-1E-3</v>
      </c>
      <c r="R31" s="44">
        <f>_xll.BDP($C31&amp;"@CBBT Corp","YAS_BOND_YLD", "SETTLE_DT="&amp;R$1, "YAS_BOND_PX="&amp;$O31)</f>
        <v>-2.3E-2</v>
      </c>
      <c r="S31" s="44">
        <f>_xll.BDP($C31&amp;"@CBBT Corp","YAS_BOND_YLD", "SETTLE_DT="&amp;S$1, "YAS_BOND_PX="&amp;$P31)</f>
        <v>8.9999999999999993E-3</v>
      </c>
    </row>
    <row r="32" spans="1:19">
      <c r="A32" s="46" t="str">
        <f t="shared" si="0"/>
        <v>EUR.CM_DEPTH.XLS_ANDREA.FR0000189151</v>
      </c>
      <c r="B32" s="51" t="str">
        <f>_xll.MKV("EUR.CM_INSTRUMENT.PXE."&amp;C32,B$3)</f>
        <v>FRTR</v>
      </c>
      <c r="C32" s="62" t="s">
        <v>541</v>
      </c>
      <c r="D32" s="125">
        <f>_xll.MKV("EUR.CM_INSTRUMENT.PXE."&amp;C32,D$3)</f>
        <v>43580</v>
      </c>
      <c r="E32" s="58">
        <f t="shared" si="1"/>
        <v>-0.80000000000000071</v>
      </c>
      <c r="F32" s="58">
        <f t="shared" si="2"/>
        <v>2.5000000000000022</v>
      </c>
      <c r="G32" s="58">
        <f t="shared" si="3"/>
        <v>-5.8999999999999941</v>
      </c>
      <c r="H32" s="46" t="str">
        <f>_xll.MKV_PUBLISHRECORD(A32, $H$4)</f>
        <v>OK</v>
      </c>
      <c r="I32" s="46" t="str">
        <f>_xll.MKV_SUPPLYRECORD_RANGE(A32,$B$3:$G$3,B32:G32)</f>
        <v>OK</v>
      </c>
      <c r="J32" s="34">
        <f>_xll.MKV($J$1&amp;$C32, J$3)</f>
        <v>-0.57943</v>
      </c>
      <c r="K32" s="32">
        <f>_xll.MKV($L$2&amp;$C32, K$3)</f>
        <v>-0.58099999999999996</v>
      </c>
      <c r="L32" s="35">
        <f>_xll.MKV($L$2&amp;$C32, L$3)</f>
        <v>112.355</v>
      </c>
      <c r="M32" s="32">
        <f t="shared" si="4"/>
        <v>-9.9999999999909051E-3</v>
      </c>
      <c r="N32" s="36">
        <f>_xll.BDH(C32&amp;"@CBBT Corp","OPEN",$N$1&amp;" 4:15:00 PM",$N$1&amp;" 5:15:00 PM","BarSz=60","BarTp=T","RecurDaily=True","TZ=London","DTS=H")</f>
        <v>112.36499999999999</v>
      </c>
      <c r="O32" s="36">
        <f>_xll.BDH($C32&amp;"@CBBT Corp","OPEN",$O$1&amp;" 4:15:00 PM",$O$1&amp;" 5:15:00 PM","BarSz=60","BarTp=T","RecurDaily=True","TZ=London","DTS=H")</f>
        <v>112.55200000000001</v>
      </c>
      <c r="P32" s="36">
        <f>_xll.BDH($C32&amp;"@CBBT Corp","OPEN",P$1&amp;" 4:15:00 PM",P$1&amp;" 5:15:00 PM","BarSz=60","BarTp=T","RecurDaily=True","TZ=London","DTS=H")</f>
        <v>112.64700000000001</v>
      </c>
      <c r="Q32" s="44">
        <f>_xll.BDP($C32&amp;"@CBBT Corp","YAS_BOND_YLD", "SETTLE_DT="&amp;Q$1, "YAS_BOND_PX="&amp;$N32)</f>
        <v>-0.57299999999999995</v>
      </c>
      <c r="R32" s="44">
        <f>_xll.BDP($C32&amp;"@CBBT Corp","YAS_BOND_YLD", "SETTLE_DT="&amp;R$1, "YAS_BOND_PX="&amp;$O32)</f>
        <v>-0.60599999999999998</v>
      </c>
      <c r="S32" s="44">
        <f>_xll.BDP($C32&amp;"@CBBT Corp","YAS_BOND_YLD", "SETTLE_DT="&amp;S$1, "YAS_BOND_PX="&amp;$P32)</f>
        <v>-0.52200000000000002</v>
      </c>
    </row>
    <row r="33" spans="1:19">
      <c r="A33" s="46" t="str">
        <f>$A$4 &amp; ".CM_DEPTH."&amp; $H$4 &amp; "." &amp; C33</f>
        <v>EUR.CM_DEPTH.XLS_ANDREA.IT0005177271</v>
      </c>
      <c r="B33" s="51" t="str">
        <f>_xll.MKV("EUR.CM_INSTRUMENT.PXE."&amp;C33,B$3)</f>
        <v>BTPS</v>
      </c>
      <c r="C33" s="62" t="s">
        <v>718</v>
      </c>
      <c r="D33" s="125">
        <f>_xll.MKV("EUR.CM_INSTRUMENT.PXE."&amp;C33,D$3)</f>
        <v>43570</v>
      </c>
      <c r="E33" s="58">
        <f>IFERROR(($K33-Q33)*100,"99")</f>
        <v>0.40000000000000036</v>
      </c>
      <c r="F33" s="58">
        <f>IFERROR(($K33-R33)*100,"99")</f>
        <v>3.3000000000000003</v>
      </c>
      <c r="G33" s="58">
        <f>IFERROR(($K33-S33)*100,"99")</f>
        <v>1.6000000000000003</v>
      </c>
      <c r="H33" s="46" t="str">
        <f>_xll.MKV_PUBLISHRECORD(A33, $H$4)</f>
        <v>OK</v>
      </c>
      <c r="I33" s="46" t="str">
        <f>_xll.MKV_SUPPLYRECORD_RANGE(A33,$B$3:$G$3,B33:G33)</f>
        <v>OK</v>
      </c>
      <c r="J33" s="34">
        <f>_xll.MKV($J$1&amp;$C33, J$3)</f>
        <v>3.0119E-2</v>
      </c>
      <c r="K33" s="32">
        <f>_xll.MKV($L$2&amp;$C33, K$3)</f>
        <v>3.4000000000000002E-2</v>
      </c>
      <c r="L33" s="35">
        <f>_xll.MKV($L$2&amp;$C33, L$3)</f>
        <v>100.175015</v>
      </c>
      <c r="M33" s="32">
        <f>L33-N33</f>
        <v>1.5000000004761205E-5</v>
      </c>
      <c r="N33" s="36">
        <f>_xll.BDH(C33&amp;"@CBBT Corp","OPEN",$N$1&amp;" 4:15:00 PM",$N$1&amp;" 5:15:00 PM","BarSz=60","BarTp=T","RecurDaily=True","TZ=London","DTS=H")</f>
        <v>100.175</v>
      </c>
      <c r="O33" s="36">
        <f>_xll.BDH($C33&amp;"@CBBT Corp","OPEN",$O$1&amp;" 4:15:00 PM",$O$1&amp;" 5:15:00 PM","BarSz=60","BarTp=T","RecurDaily=True","TZ=London","DTS=H")</f>
        <v>100.25</v>
      </c>
      <c r="P33" s="36">
        <f>_xll.BDH($C33&amp;"@CBBT Corp","OPEN",P$1&amp;" 4:15:00 PM",P$1&amp;" 5:15:00 PM","BarSz=60","BarTp=T","RecurDaily=True","TZ=London","DTS=H")</f>
        <v>100.21299999999999</v>
      </c>
      <c r="Q33" s="44">
        <f>_xll.BDP($C33&amp;"@CBBT Corp","YAS_BOND_YLD", "SETTLE_DT="&amp;Q$1, "YAS_BOND_PX="&amp;$N33)</f>
        <v>0.03</v>
      </c>
      <c r="R33" s="44">
        <f>_xll.BDP($C33&amp;"@CBBT Corp","YAS_BOND_YLD", "SETTLE_DT="&amp;R$1, "YAS_BOND_PX="&amp;$O33)</f>
        <v>1E-3</v>
      </c>
      <c r="S33" s="44">
        <f>_xll.BDP($C33&amp;"@CBBT Corp","YAS_BOND_YLD", "SETTLE_DT="&amp;S$1, "YAS_BOND_PX="&amp;$P33)</f>
        <v>1.7999999999999999E-2</v>
      </c>
    </row>
    <row r="34" spans="1:19">
      <c r="A34" s="46" t="str">
        <f t="shared" si="0"/>
        <v>EUR.CM_DEPTH.XLS_ANDREA.IT0004992308</v>
      </c>
      <c r="B34" s="51" t="str">
        <f>_xll.MKV("EUR.CM_INSTRUMENT.PXE."&amp;C34,B$3)</f>
        <v>BTPS</v>
      </c>
      <c r="C34" s="61" t="s">
        <v>441</v>
      </c>
      <c r="D34" s="125">
        <f>_xll.MKV("EUR.CM_INSTRUMENT.PXE."&amp;C34,D$3)</f>
        <v>43586</v>
      </c>
      <c r="E34" s="58">
        <f t="shared" si="1"/>
        <v>-0.10000000000000009</v>
      </c>
      <c r="F34" s="58">
        <f t="shared" si="2"/>
        <v>2.9000000000000004</v>
      </c>
      <c r="G34" s="58">
        <f t="shared" si="3"/>
        <v>0.10000000000000009</v>
      </c>
      <c r="H34" s="46" t="str">
        <f>_xll.MKV_PUBLISHRECORD(A34, $H$4)</f>
        <v>OK</v>
      </c>
      <c r="I34" s="46" t="str">
        <f>_xll.MKV_SUPPLYRECORD_RANGE(A34,$B$3:$G$3,B34:G34)</f>
        <v>OK</v>
      </c>
      <c r="J34" s="34">
        <f>_xll.MKV($J$1&amp;$C34, J$3)</f>
        <v>3.6250999999999999E-2</v>
      </c>
      <c r="K34" s="32">
        <f>_xll.MKV($L$2&amp;$C34, K$3)</f>
        <v>0.04</v>
      </c>
      <c r="L34" s="35">
        <f>_xll.MKV($L$2&amp;$C34, L$3)</f>
        <v>106.283</v>
      </c>
      <c r="M34" s="32">
        <f t="shared" si="4"/>
        <v>-1.9999999999953388E-3</v>
      </c>
      <c r="N34" s="36">
        <f>_xll.BDH(C34&amp;"@CBBT Corp","OPEN",$N$1&amp;" 4:15:00 PM",$N$1&amp;" 5:15:00 PM","BarSz=60","BarTp=T","RecurDaily=True","TZ=London","DTS=H")</f>
        <v>106.285</v>
      </c>
      <c r="O34" s="36">
        <f>_xll.BDH($C34&amp;"@CBBT Corp","OPEN",$O$1&amp;" 4:15:00 PM",$O$1&amp;" 5:15:00 PM","BarSz=60","BarTp=T","RecurDaily=True","TZ=London","DTS=H")</f>
        <v>106.41</v>
      </c>
      <c r="P34" s="36">
        <f>_xll.BDH($C34&amp;"@CBBT Corp","OPEN",P$1&amp;" 4:15:00 PM",P$1&amp;" 5:15:00 PM","BarSz=60","BarTp=T","RecurDaily=True","TZ=London","DTS=H")</f>
        <v>106.503</v>
      </c>
      <c r="Q34" s="44">
        <f>_xll.BDP($C34&amp;"@CBBT Corp","YAS_BOND_YLD", "SETTLE_DT="&amp;Q$1, "YAS_BOND_PX="&amp;$N34)</f>
        <v>4.1000000000000002E-2</v>
      </c>
      <c r="R34" s="44">
        <f>_xll.BDP($C34&amp;"@CBBT Corp","YAS_BOND_YLD", "SETTLE_DT="&amp;R$1, "YAS_BOND_PX="&amp;$O34)</f>
        <v>1.0999999999999999E-2</v>
      </c>
      <c r="S34" s="44">
        <f>_xll.BDP($C34&amp;"@CBBT Corp","YAS_BOND_YLD", "SETTLE_DT="&amp;S$1, "YAS_BOND_PX="&amp;$P34)</f>
        <v>3.9E-2</v>
      </c>
    </row>
    <row r="35" spans="1:19">
      <c r="A35" s="46" t="str">
        <f t="shared" si="0"/>
        <v>EUR.CM_DEPTH.XLS_ANDREA.FR0011708080</v>
      </c>
      <c r="B35" s="51" t="str">
        <f>_xll.MKV("EUR.CM_INSTRUMENT.PXE."&amp;C35,B$3)</f>
        <v>FRTR</v>
      </c>
      <c r="C35" s="62" t="s">
        <v>543</v>
      </c>
      <c r="D35" s="125">
        <f>_xll.MKV("EUR.CM_INSTRUMENT.PXE."&amp;C35,D$3)</f>
        <v>43610</v>
      </c>
      <c r="E35" s="58">
        <f t="shared" si="1"/>
        <v>-0.10000000000000009</v>
      </c>
      <c r="F35" s="58">
        <f t="shared" si="2"/>
        <v>3.3000000000000029</v>
      </c>
      <c r="G35" s="58">
        <f t="shared" si="3"/>
        <v>-4.3999999999999932</v>
      </c>
      <c r="H35" s="46" t="str">
        <f>_xll.MKV_PUBLISHRECORD(A35, $H$4)</f>
        <v>OK</v>
      </c>
      <c r="I35" s="46" t="str">
        <f>_xll.MKV_SUPPLYRECORD_RANGE(A35,$B$3:$G$3,B35:G35)</f>
        <v>OK</v>
      </c>
      <c r="J35" s="34">
        <f>_xll.MKV($J$1&amp;$C35, J$3)</f>
        <v>-0.58036799999999999</v>
      </c>
      <c r="K35" s="32">
        <f>_xll.MKV($L$2&amp;$C35, K$3)</f>
        <v>-0.57799999999999996</v>
      </c>
      <c r="L35" s="35">
        <f>_xll.MKV($L$2&amp;$C35, L$3)</f>
        <v>104.175</v>
      </c>
      <c r="M35" s="32">
        <f t="shared" si="4"/>
        <v>0</v>
      </c>
      <c r="N35" s="36">
        <f>_xll.BDH(C35&amp;"@CBBT Corp","OPEN",$N$1&amp;" 4:15:00 PM",$N$1&amp;" 5:15:00 PM","BarSz=60","BarTp=T","RecurDaily=True","TZ=London","DTS=H")</f>
        <v>104.175</v>
      </c>
      <c r="O35" s="36">
        <f>_xll.BDH($C35&amp;"@CBBT Corp","OPEN",$O$1&amp;" 4:15:00 PM",$O$1&amp;" 5:15:00 PM","BarSz=60","BarTp=T","RecurDaily=True","TZ=London","DTS=H")</f>
        <v>104.29900000000001</v>
      </c>
      <c r="P35" s="36">
        <f>_xll.BDH($C35&amp;"@CBBT Corp","OPEN",P$1&amp;" 4:15:00 PM",P$1&amp;" 5:15:00 PM","BarSz=60","BarTp=T","RecurDaily=True","TZ=London","DTS=H")</f>
        <v>104.194</v>
      </c>
      <c r="Q35" s="44">
        <f>_xll.BDP($C35&amp;"@CBBT Corp","YAS_BOND_YLD", "SETTLE_DT="&amp;Q$1, "YAS_BOND_PX="&amp;$N35)</f>
        <v>-0.57699999999999996</v>
      </c>
      <c r="R35" s="44">
        <f>_xll.BDP($C35&amp;"@CBBT Corp","YAS_BOND_YLD", "SETTLE_DT="&amp;R$1, "YAS_BOND_PX="&amp;$O35)</f>
        <v>-0.61099999999999999</v>
      </c>
      <c r="S35" s="44">
        <f>_xll.BDP($C35&amp;"@CBBT Corp","YAS_BOND_YLD", "SETTLE_DT="&amp;S$1, "YAS_BOND_PX="&amp;$P35)</f>
        <v>-0.53400000000000003</v>
      </c>
    </row>
    <row r="36" spans="1:19">
      <c r="A36" s="46" t="str">
        <f t="shared" si="0"/>
        <v>EUR.CM_DEPTH.XLS_ANDREA.IT0005030504</v>
      </c>
      <c r="B36" s="51" t="str">
        <f>_xll.MKV("EUR.CM_INSTRUMENT.PXE."&amp;C36,B$3)</f>
        <v>BTPS</v>
      </c>
      <c r="C36" s="61" t="s">
        <v>442</v>
      </c>
      <c r="D36" s="125">
        <f>_xll.MKV("EUR.CM_INSTRUMENT.PXE."&amp;C36,D$3)</f>
        <v>43678</v>
      </c>
      <c r="E36" s="58">
        <f t="shared" si="1"/>
        <v>0.20000000000000018</v>
      </c>
      <c r="F36" s="58">
        <f t="shared" si="2"/>
        <v>3.6000000000000005</v>
      </c>
      <c r="G36" s="58">
        <f t="shared" si="3"/>
        <v>1.2000000000000004</v>
      </c>
      <c r="H36" s="46" t="str">
        <f>_xll.MKV_PUBLISHRECORD(A36, $H$4)</f>
        <v>OK</v>
      </c>
      <c r="I36" s="46" t="str">
        <f>_xll.MKV_SUPPLYRECORD_RANGE(A36,$B$3:$G$3,B36:G36)</f>
        <v>OK</v>
      </c>
      <c r="J36" s="34">
        <f>_xll.MKV($J$1&amp;$C36, J$3)</f>
        <v>4.5817999999999998E-2</v>
      </c>
      <c r="K36" s="32">
        <f>_xll.MKV($L$2&amp;$C36, K$3)</f>
        <v>0.05</v>
      </c>
      <c r="L36" s="35">
        <f>_xll.MKV($L$2&amp;$C36, L$3)</f>
        <v>104.071</v>
      </c>
      <c r="M36" s="32">
        <f t="shared" si="4"/>
        <v>-1.9999999999953388E-3</v>
      </c>
      <c r="N36" s="36">
        <f>_xll.BDH(C36&amp;"@CBBT Corp","OPEN",$N$1&amp;" 4:15:00 PM",$N$1&amp;" 5:15:00 PM","BarSz=60","BarTp=T","RecurDaily=True","TZ=London","DTS=H")</f>
        <v>104.07299999999999</v>
      </c>
      <c r="O36" s="36">
        <f>_xll.BDH($C36&amp;"@CBBT Corp","OPEN",$O$1&amp;" 4:15:00 PM",$O$1&amp;" 5:15:00 PM","BarSz=60","BarTp=T","RecurDaily=True","TZ=London","DTS=H")</f>
        <v>104.19799999999999</v>
      </c>
      <c r="P36" s="36">
        <f>_xll.BDH($C36&amp;"@CBBT Corp","OPEN",P$1&amp;" 4:15:00 PM",P$1&amp;" 5:15:00 PM","BarSz=60","BarTp=T","RecurDaily=True","TZ=London","DTS=H")</f>
        <v>104.22799999999999</v>
      </c>
      <c r="Q36" s="44">
        <f>_xll.BDP($C36&amp;"@CBBT Corp","YAS_BOND_YLD", "SETTLE_DT="&amp;Q$1, "YAS_BOND_PX="&amp;$N36)</f>
        <v>4.8000000000000001E-2</v>
      </c>
      <c r="R36" s="44">
        <f>_xll.BDP($C36&amp;"@CBBT Corp","YAS_BOND_YLD", "SETTLE_DT="&amp;R$1, "YAS_BOND_PX="&amp;$O36)</f>
        <v>1.4E-2</v>
      </c>
      <c r="S36" s="44">
        <f>_xll.BDP($C36&amp;"@CBBT Corp","YAS_BOND_YLD", "SETTLE_DT="&amp;S$1, "YAS_BOND_PX="&amp;$P36)</f>
        <v>3.7999999999999999E-2</v>
      </c>
    </row>
    <row r="37" spans="1:19">
      <c r="A37" s="46" t="str">
        <f t="shared" si="0"/>
        <v>EUR.CM_DEPTH.XLS_ANDREA.IT0004489610</v>
      </c>
      <c r="B37" s="51" t="str">
        <f>_xll.MKV("EUR.CM_INSTRUMENT.PXE."&amp;C37,B$3)</f>
        <v>BTPS</v>
      </c>
      <c r="C37" s="61" t="s">
        <v>443</v>
      </c>
      <c r="D37" s="125">
        <f>_xll.MKV("EUR.CM_INSTRUMENT.PXE."&amp;C37,D$3)</f>
        <v>43709</v>
      </c>
      <c r="E37" s="58">
        <f t="shared" si="1"/>
        <v>-0.20000000000000018</v>
      </c>
      <c r="F37" s="58">
        <f t="shared" si="2"/>
        <v>3.4000000000000004</v>
      </c>
      <c r="G37" s="58">
        <f t="shared" si="3"/>
        <v>-0.90000000000000013</v>
      </c>
      <c r="H37" s="46" t="str">
        <f>_xll.MKV_PUBLISHRECORD(A37, $H$4)</f>
        <v>OK</v>
      </c>
      <c r="I37" s="46" t="str">
        <f>_xll.MKV_SUPPLYRECORD_RANGE(A37,$B$3:$G$3,B37:G37)</f>
        <v>OK</v>
      </c>
      <c r="J37" s="34">
        <f>_xll.MKV($J$1&amp;$C37, J$3)</f>
        <v>4.7507000000000001E-2</v>
      </c>
      <c r="K37" s="32">
        <f>_xll.MKV($L$2&amp;$C37, K$3)</f>
        <v>5.2999999999999999E-2</v>
      </c>
      <c r="L37" s="35">
        <f>_xll.MKV($L$2&amp;$C37, L$3)</f>
        <v>112.11</v>
      </c>
      <c r="M37" s="32">
        <f t="shared" si="4"/>
        <v>0</v>
      </c>
      <c r="N37" s="36">
        <f>_xll.BDH(C37&amp;"@CBBT Corp","OPEN",$N$1&amp;" 4:15:00 PM",$N$1&amp;" 5:15:00 PM","BarSz=60","BarTp=T","RecurDaily=True","TZ=London","DTS=H")</f>
        <v>112.11</v>
      </c>
      <c r="O37" s="36">
        <f>_xll.BDH($C37&amp;"@CBBT Corp","OPEN",$O$1&amp;" 4:15:00 PM",$O$1&amp;" 5:15:00 PM","BarSz=60","BarTp=T","RecurDaily=True","TZ=London","DTS=H")</f>
        <v>112.30200000000001</v>
      </c>
      <c r="P37" s="36">
        <f>_xll.BDH($C37&amp;"@CBBT Corp","OPEN",P$1&amp;" 4:15:00 PM",P$1&amp;" 5:15:00 PM","BarSz=60","BarTp=T","RecurDaily=True","TZ=London","DTS=H")</f>
        <v>112.45699999999999</v>
      </c>
      <c r="Q37" s="44">
        <f>_xll.BDP($C37&amp;"@CBBT Corp","YAS_BOND_YLD", "SETTLE_DT="&amp;Q$1, "YAS_BOND_PX="&amp;$N37)</f>
        <v>5.5E-2</v>
      </c>
      <c r="R37" s="44">
        <f>_xll.BDP($C37&amp;"@CBBT Corp","YAS_BOND_YLD", "SETTLE_DT="&amp;R$1, "YAS_BOND_PX="&amp;$O37)</f>
        <v>1.9E-2</v>
      </c>
      <c r="S37" s="44">
        <f>_xll.BDP($C37&amp;"@CBBT Corp","YAS_BOND_YLD", "SETTLE_DT="&amp;S$1, "YAS_BOND_PX="&amp;$P37)</f>
        <v>6.2E-2</v>
      </c>
    </row>
    <row r="38" spans="1:19">
      <c r="A38" s="46" t="str">
        <f t="shared" ref="A38" si="5">$A$4 &amp; ".CM_DEPTH."&amp; $H$4 &amp; "." &amp; C38</f>
        <v>EUR.CM_DEPTH.XLS_ANDREA.IT0005217929</v>
      </c>
      <c r="B38" s="51" t="str">
        <f>_xll.MKV("EUR.CM_INSTRUMENT.PXE."&amp;C38,B$3)</f>
        <v>BTPS</v>
      </c>
      <c r="C38" s="61" t="s">
        <v>761</v>
      </c>
      <c r="D38" s="125">
        <f>_xll.MKV("EUR.CM_INSTRUMENT.PXE."&amp;C38,D$3)</f>
        <v>43753</v>
      </c>
      <c r="E38" s="58" t="str">
        <f t="shared" ref="E38" si="6">IFERROR(($K38-Q38)*100,"99")</f>
        <v>99</v>
      </c>
      <c r="F38" s="58" t="str">
        <f t="shared" ref="F38" si="7">IFERROR(($K38-R38)*100,"99")</f>
        <v>99</v>
      </c>
      <c r="G38" s="58" t="str">
        <f t="shared" ref="G38" si="8">IFERROR(($K38-S38)*100,"99")</f>
        <v>99</v>
      </c>
      <c r="H38" s="46" t="str">
        <f>_xll.MKV_PUBLISHRECORD(A38, $H$4)</f>
        <v>OK</v>
      </c>
      <c r="I38" s="46" t="str">
        <f>_xll.MKV_SUPPLYRECORD_RANGE(A38,$B$3:$G$3,B38:G38)</f>
        <v>OK</v>
      </c>
      <c r="J38" s="34">
        <f>_xll.MKV($J$1&amp;$C38, J$3)</f>
        <v>5.8651000000000002E-2</v>
      </c>
      <c r="K38" s="32">
        <f>_xll.MKV($L$2&amp;$C38, K$3)</f>
        <v>7.2000000000000008E-2</v>
      </c>
      <c r="L38" s="35">
        <f>_xll.MKV($L$2&amp;$C38, L$3)</f>
        <v>99.974151000000006</v>
      </c>
      <c r="M38" s="32" t="e">
        <f t="shared" ref="M38" si="9">L38-N38</f>
        <v>#VALUE!</v>
      </c>
      <c r="N38" s="36" t="str">
        <f>_xll.BDH(C38&amp;"@CBBT Corp","OPEN",$N$1&amp;" 4:15:00 PM",$N$1&amp;" 5:15:00 PM","BarSz=60","BarTp=T","RecurDaily=True","TZ=London","DTS=H")</f>
        <v>#N/A N/A</v>
      </c>
      <c r="O38" s="36" t="str">
        <f>_xll.BDH($C38&amp;"@CBBT Corp","OPEN",$O$1&amp;" 4:15:00 PM",$O$1&amp;" 5:15:00 PM","BarSz=60","BarTp=T","RecurDaily=True","TZ=London","DTS=H")</f>
        <v>#N/A N/A</v>
      </c>
      <c r="P38" s="36" t="str">
        <f>_xll.BDH($C38&amp;"@CBBT Corp","OPEN",P$1&amp;" 4:15:00 PM",P$1&amp;" 5:15:00 PM","BarSz=60","BarTp=T","RecurDaily=True","TZ=London","DTS=H")</f>
        <v>#N/A N/A</v>
      </c>
      <c r="Q38" s="44" t="str">
        <f>_xll.BDP($C38&amp;"@CBBT Corp","YAS_BOND_YLD", "SETTLE_DT="&amp;Q$1, "YAS_BOND_PX="&amp;$N38)</f>
        <v>#N/A Invalid Override</v>
      </c>
      <c r="R38" s="44" t="str">
        <f>_xll.BDP($C38&amp;"@CBBT Corp","YAS_BOND_YLD", "SETTLE_DT="&amp;R$1, "YAS_BOND_PX="&amp;$O38)</f>
        <v>#N/A Invalid Override</v>
      </c>
      <c r="S38" s="44" t="str">
        <f>_xll.BDP($C38&amp;"@CBBT Corp","YAS_BOND_YLD", "SETTLE_DT="&amp;S$1, "YAS_BOND_PX="&amp;$P38)</f>
        <v>#N/A Invalid Override</v>
      </c>
    </row>
    <row r="39" spans="1:19">
      <c r="A39" s="46" t="str">
        <f t="shared" si="0"/>
        <v>EUR.CM_DEPTH.XLS_ANDREA.FR0010776161</v>
      </c>
      <c r="B39" s="51" t="str">
        <f>_xll.MKV("EUR.CM_INSTRUMENT.PXE."&amp;C39,B$3)</f>
        <v>FRTR</v>
      </c>
      <c r="C39" s="62" t="s">
        <v>548</v>
      </c>
      <c r="D39" s="125">
        <f>_xll.MKV("EUR.CM_INSTRUMENT.PXE."&amp;C39,D$3)</f>
        <v>43763</v>
      </c>
      <c r="E39" s="58">
        <f t="shared" si="1"/>
        <v>-0.70000000000000062</v>
      </c>
      <c r="F39" s="58">
        <f t="shared" si="2"/>
        <v>2.8999999999999915</v>
      </c>
      <c r="G39" s="58">
        <f t="shared" si="3"/>
        <v>-3.3000000000000029</v>
      </c>
      <c r="H39" s="46" t="str">
        <f>_xll.MKV_PUBLISHRECORD(A39, $H$4)</f>
        <v>OK</v>
      </c>
      <c r="I39" s="46" t="str">
        <f>_xll.MKV_SUPPLYRECORD_RANGE(A39,$B$3:$G$3,B39:G39)</f>
        <v>OK</v>
      </c>
      <c r="J39" s="34">
        <f>_xll.MKV($J$1&amp;$C39, J$3)</f>
        <v>-0.54331799999999997</v>
      </c>
      <c r="K39" s="32">
        <f>_xll.MKV($L$2&amp;$C39, K$3)</f>
        <v>-0.54400000000000004</v>
      </c>
      <c r="L39" s="35">
        <f>_xll.MKV($L$2&amp;$C39, L$3)</f>
        <v>113.16500000000001</v>
      </c>
      <c r="M39" s="32">
        <f t="shared" si="4"/>
        <v>-3.0000000000001137E-3</v>
      </c>
      <c r="N39" s="36">
        <f>_xll.BDH(C39&amp;"@CBBT Corp","OPEN",$N$1&amp;" 4:15:00 PM",$N$1&amp;" 5:15:00 PM","BarSz=60","BarTp=T","RecurDaily=True","TZ=London","DTS=H")</f>
        <v>113.16800000000001</v>
      </c>
      <c r="O39" s="36">
        <f>_xll.BDH($C39&amp;"@CBBT Corp","OPEN",$O$1&amp;" 4:15:00 PM",$O$1&amp;" 5:15:00 PM","BarSz=60","BarTp=T","RecurDaily=True","TZ=London","DTS=H")</f>
        <v>113.372</v>
      </c>
      <c r="P39" s="36">
        <f>_xll.BDH($C39&amp;"@CBBT Corp","OPEN",P$1&amp;" 4:15:00 PM",P$1&amp;" 5:15:00 PM","BarSz=60","BarTp=T","RecurDaily=True","TZ=London","DTS=H")</f>
        <v>113.46</v>
      </c>
      <c r="Q39" s="44">
        <f>_xll.BDP($C39&amp;"@CBBT Corp","YAS_BOND_YLD", "SETTLE_DT="&amp;Q$1, "YAS_BOND_PX="&amp;$N39)</f>
        <v>-0.53700000000000003</v>
      </c>
      <c r="R39" s="44">
        <f>_xll.BDP($C39&amp;"@CBBT Corp","YAS_BOND_YLD", "SETTLE_DT="&amp;R$1, "YAS_BOND_PX="&amp;$O39)</f>
        <v>-0.57299999999999995</v>
      </c>
      <c r="S39" s="44">
        <f>_xll.BDP($C39&amp;"@CBBT Corp","YAS_BOND_YLD", "SETTLE_DT="&amp;S$1, "YAS_BOND_PX="&amp;$P39)</f>
        <v>-0.51100000000000001</v>
      </c>
    </row>
    <row r="40" spans="1:19">
      <c r="A40" s="46" t="str">
        <f t="shared" si="0"/>
        <v>EUR.CM_DEPTH.XLS_ANDREA.FR0011993179</v>
      </c>
      <c r="B40" s="51" t="str">
        <f>_xll.MKV("EUR.CM_INSTRUMENT.PXE."&amp;C40,B$3)</f>
        <v>FRTR</v>
      </c>
      <c r="C40" s="62" t="s">
        <v>550</v>
      </c>
      <c r="D40" s="125">
        <f>_xll.MKV("EUR.CM_INSTRUMENT.PXE."&amp;C40,D$3)</f>
        <v>43794</v>
      </c>
      <c r="E40" s="58">
        <f t="shared" si="1"/>
        <v>0.10000000000000009</v>
      </c>
      <c r="F40" s="58">
        <f t="shared" si="2"/>
        <v>3.7999999999999923</v>
      </c>
      <c r="G40" s="58">
        <f t="shared" si="3"/>
        <v>-2.200000000000002</v>
      </c>
      <c r="H40" s="46" t="str">
        <f>_xll.MKV_PUBLISHRECORD(A40, $H$4)</f>
        <v>OK</v>
      </c>
      <c r="I40" s="46" t="str">
        <f>_xll.MKV_SUPPLYRECORD_RANGE(A40,$B$3:$G$3,B40:G40)</f>
        <v>OK</v>
      </c>
      <c r="J40" s="34">
        <f>_xll.MKV($J$1&amp;$C40, J$3)</f>
        <v>-0.54195499999999996</v>
      </c>
      <c r="K40" s="32">
        <f>_xll.MKV($L$2&amp;$C40, K$3)</f>
        <v>-0.54100000000000004</v>
      </c>
      <c r="L40" s="35">
        <f>_xll.MKV($L$2&amp;$C40, L$3)</f>
        <v>103.285</v>
      </c>
      <c r="M40" s="32">
        <f t="shared" si="4"/>
        <v>-5.0000000000096634E-3</v>
      </c>
      <c r="N40" s="36">
        <f>_xll.BDH(C40&amp;"@CBBT Corp","OPEN",$N$1&amp;" 4:15:00 PM",$N$1&amp;" 5:15:00 PM","BarSz=60","BarTp=T","RecurDaily=True","TZ=London","DTS=H")</f>
        <v>103.29</v>
      </c>
      <c r="O40" s="36">
        <f>_xll.BDH($C40&amp;"@CBBT Corp","OPEN",$O$1&amp;" 4:15:00 PM",$O$1&amp;" 5:15:00 PM","BarSz=60","BarTp=T","RecurDaily=True","TZ=London","DTS=H")</f>
        <v>103.431</v>
      </c>
      <c r="P40" s="36">
        <f>_xll.BDH($C40&amp;"@CBBT Corp","OPEN",P$1&amp;" 4:15:00 PM",P$1&amp;" 5:15:00 PM","BarSz=60","BarTp=T","RecurDaily=True","TZ=London","DTS=H")</f>
        <v>103.30800000000001</v>
      </c>
      <c r="Q40" s="44">
        <f>_xll.BDP($C40&amp;"@CBBT Corp","YAS_BOND_YLD", "SETTLE_DT="&amp;Q$1, "YAS_BOND_PX="&amp;$N40)</f>
        <v>-0.54200000000000004</v>
      </c>
      <c r="R40" s="44">
        <f>_xll.BDP($C40&amp;"@CBBT Corp","YAS_BOND_YLD", "SETTLE_DT="&amp;R$1, "YAS_BOND_PX="&amp;$O40)</f>
        <v>-0.57899999999999996</v>
      </c>
      <c r="S40" s="44">
        <f>_xll.BDP($C40&amp;"@CBBT Corp","YAS_BOND_YLD", "SETTLE_DT="&amp;S$1, "YAS_BOND_PX="&amp;$P40)</f>
        <v>-0.51900000000000002</v>
      </c>
    </row>
    <row r="41" spans="1:19">
      <c r="A41" s="46" t="str">
        <f t="shared" si="0"/>
        <v>EUR.CM_DEPTH.XLS_ANDREA.IT0005069395</v>
      </c>
      <c r="B41" s="51" t="str">
        <f>_xll.MKV("EUR.CM_INSTRUMENT.PXE."&amp;C41,B$3)</f>
        <v>BTPS</v>
      </c>
      <c r="C41" s="61" t="s">
        <v>444</v>
      </c>
      <c r="D41" s="125">
        <f>_xll.MKV("EUR.CM_INSTRUMENT.PXE."&amp;C41,D$3)</f>
        <v>43800</v>
      </c>
      <c r="E41" s="58">
        <f t="shared" si="1"/>
        <v>0.50000000000000044</v>
      </c>
      <c r="F41" s="58">
        <f t="shared" si="2"/>
        <v>4.4000000000000012</v>
      </c>
      <c r="G41" s="58">
        <f t="shared" si="3"/>
        <v>1.6000000000000008</v>
      </c>
      <c r="H41" s="46" t="str">
        <f>_xll.MKV_PUBLISHRECORD(A41, $H$4)</f>
        <v>OK</v>
      </c>
      <c r="I41" s="46" t="str">
        <f>_xll.MKV_SUPPLYRECORD_RANGE(A41,$B$3:$G$3,B41:G41)</f>
        <v>OK</v>
      </c>
      <c r="J41" s="34">
        <f>_xll.MKV($J$1&amp;$C41, J$3)</f>
        <v>6.5333000000000002E-2</v>
      </c>
      <c r="K41" s="32">
        <f>_xll.MKV($L$2&amp;$C41, K$3)</f>
        <v>7.1000000000000008E-2</v>
      </c>
      <c r="L41" s="35">
        <f>_xll.MKV($L$2&amp;$C41, L$3)</f>
        <v>103.08199999999999</v>
      </c>
      <c r="M41" s="32">
        <f t="shared" si="4"/>
        <v>-3.0000000000001137E-3</v>
      </c>
      <c r="N41" s="36">
        <f>_xll.BDH(C41&amp;"@CBBT Corp","OPEN",$N$1&amp;" 4:15:00 PM",$N$1&amp;" 5:15:00 PM","BarSz=60","BarTp=T","RecurDaily=True","TZ=London","DTS=H")</f>
        <v>103.08499999999999</v>
      </c>
      <c r="O41" s="36">
        <f>_xll.BDH($C41&amp;"@CBBT Corp","OPEN",$O$1&amp;" 4:15:00 PM",$O$1&amp;" 5:15:00 PM","BarSz=60","BarTp=T","RecurDaily=True","TZ=London","DTS=H")</f>
        <v>103.22799999999999</v>
      </c>
      <c r="P41" s="36">
        <f>_xll.BDH($C41&amp;"@CBBT Corp","OPEN",P$1&amp;" 4:15:00 PM",P$1&amp;" 5:15:00 PM","BarSz=60","BarTp=T","RecurDaily=True","TZ=London","DTS=H")</f>
        <v>103.20699999999999</v>
      </c>
      <c r="Q41" s="44">
        <f>_xll.BDP($C41&amp;"@CBBT Corp","YAS_BOND_YLD", "SETTLE_DT="&amp;Q$1, "YAS_BOND_PX="&amp;$N41)</f>
        <v>6.6000000000000003E-2</v>
      </c>
      <c r="R41" s="44">
        <f>_xll.BDP($C41&amp;"@CBBT Corp","YAS_BOND_YLD", "SETTLE_DT="&amp;R$1, "YAS_BOND_PX="&amp;$O41)</f>
        <v>2.7E-2</v>
      </c>
      <c r="S41" s="44">
        <f>_xll.BDP($C41&amp;"@CBBT Corp","YAS_BOND_YLD", "SETTLE_DT="&amp;S$1, "YAS_BOND_PX="&amp;$P41)</f>
        <v>5.5E-2</v>
      </c>
    </row>
    <row r="42" spans="1:19">
      <c r="A42" s="46" t="str">
        <f t="shared" si="0"/>
        <v>EUR.CM_DEPTH.XLS_ANDREA.IT0003644769</v>
      </c>
      <c r="B42" s="51" t="str">
        <f>_xll.MKV("EUR.CM_INSTRUMENT.PXE."&amp;C42,B$3)</f>
        <v>BTPS</v>
      </c>
      <c r="C42" s="61" t="s">
        <v>445</v>
      </c>
      <c r="D42" s="125">
        <f>_xll.MKV("EUR.CM_INSTRUMENT.PXE."&amp;C42,D$3)</f>
        <v>43862</v>
      </c>
      <c r="E42" s="58">
        <f t="shared" si="1"/>
        <v>0</v>
      </c>
      <c r="F42" s="58">
        <f t="shared" si="2"/>
        <v>4.0000000000000009</v>
      </c>
      <c r="G42" s="58">
        <f t="shared" si="3"/>
        <v>1.1999999999999997</v>
      </c>
      <c r="H42" s="46" t="str">
        <f>_xll.MKV_PUBLISHRECORD(A42, $H$4)</f>
        <v>OK</v>
      </c>
      <c r="I42" s="46" t="str">
        <f>_xll.MKV_SUPPLYRECORD_RANGE(A42,$B$3:$G$3,B42:G42)</f>
        <v>OK</v>
      </c>
      <c r="J42" s="34">
        <f>_xll.MKV($J$1&amp;$C42, J$3)</f>
        <v>0.10727200000000001</v>
      </c>
      <c r="K42" s="32">
        <f>_xll.MKV($L$2&amp;$C42, K$3)</f>
        <v>0.113</v>
      </c>
      <c r="L42" s="35">
        <f>_xll.MKV($L$2&amp;$C42, L$3)</f>
        <v>114.473</v>
      </c>
      <c r="M42" s="32">
        <f t="shared" si="4"/>
        <v>-4.9999999999954525E-3</v>
      </c>
      <c r="N42" s="36">
        <f>_xll.BDH(C42&amp;"@CBBT Corp","OPEN",$N$1&amp;" 4:15:00 PM",$N$1&amp;" 5:15:00 PM","BarSz=60","BarTp=T","RecurDaily=True","TZ=London","DTS=H")</f>
        <v>114.47799999999999</v>
      </c>
      <c r="O42" s="36">
        <f>_xll.BDH($C42&amp;"@CBBT Corp","OPEN",$O$1&amp;" 4:15:00 PM",$O$1&amp;" 5:15:00 PM","BarSz=60","BarTp=T","RecurDaily=True","TZ=London","DTS=H")</f>
        <v>114.705</v>
      </c>
      <c r="P42" s="36">
        <f>_xll.BDH($C42&amp;"@CBBT Corp","OPEN",P$1&amp;" 4:15:00 PM",P$1&amp;" 5:15:00 PM","BarSz=60","BarTp=T","RecurDaily=True","TZ=London","DTS=H")</f>
        <v>114.9</v>
      </c>
      <c r="Q42" s="44">
        <f>_xll.BDP($C42&amp;"@CBBT Corp","YAS_BOND_YLD", "SETTLE_DT="&amp;Q$1, "YAS_BOND_PX="&amp;$N42)</f>
        <v>0.113</v>
      </c>
      <c r="R42" s="44">
        <f>_xll.BDP($C42&amp;"@CBBT Corp","YAS_BOND_YLD", "SETTLE_DT="&amp;R$1, "YAS_BOND_PX="&amp;$O42)</f>
        <v>7.2999999999999995E-2</v>
      </c>
      <c r="S42" s="44">
        <f>_xll.BDP($C42&amp;"@CBBT Corp","YAS_BOND_YLD", "SETTLE_DT="&amp;S$1, "YAS_BOND_PX="&amp;$P42)</f>
        <v>0.10100000000000001</v>
      </c>
    </row>
    <row r="43" spans="1:19">
      <c r="A43" s="46" t="str">
        <f t="shared" si="0"/>
        <v>EUR.CM_DEPTH.XLS_ANDREA.IT0004536949</v>
      </c>
      <c r="B43" s="51" t="str">
        <f>_xll.MKV("EUR.CM_INSTRUMENT.PXE."&amp;C43,B$3)</f>
        <v>BTPS</v>
      </c>
      <c r="C43" s="61" t="s">
        <v>446</v>
      </c>
      <c r="D43" s="125">
        <f>_xll.MKV("EUR.CM_INSTRUMENT.PXE."&amp;C43,D$3)</f>
        <v>43891</v>
      </c>
      <c r="E43" s="58">
        <f t="shared" si="1"/>
        <v>0.10000000000000009</v>
      </c>
      <c r="F43" s="58">
        <f t="shared" si="2"/>
        <v>4.5000000000000009</v>
      </c>
      <c r="G43" s="58">
        <f t="shared" si="3"/>
        <v>1.4000000000000012</v>
      </c>
      <c r="H43" s="46" t="str">
        <f>_xll.MKV_PUBLISHRECORD(A43, $H$4)</f>
        <v>OK</v>
      </c>
      <c r="I43" s="46" t="str">
        <f>_xll.MKV_SUPPLYRECORD_RANGE(A43,$B$3:$G$3,B43:G43)</f>
        <v>OK</v>
      </c>
      <c r="J43" s="34">
        <f>_xll.MKV($J$1&amp;$C43, J$3)</f>
        <v>0.110952</v>
      </c>
      <c r="K43" s="32">
        <f>_xll.MKV($L$2&amp;$C43, K$3)</f>
        <v>0.11700000000000001</v>
      </c>
      <c r="L43" s="35">
        <f>_xll.MKV($L$2&amp;$C43, L$3)</f>
        <v>113.976</v>
      </c>
      <c r="M43" s="32">
        <f t="shared" si="4"/>
        <v>-4.0000000000048885E-3</v>
      </c>
      <c r="N43" s="36">
        <f>_xll.BDH(C43&amp;"@CBBT Corp","OPEN",$N$1&amp;" 4:15:00 PM",$N$1&amp;" 5:15:00 PM","BarSz=60","BarTp=T","RecurDaily=True","TZ=London","DTS=H")</f>
        <v>113.98</v>
      </c>
      <c r="O43" s="36">
        <f>_xll.BDH($C43&amp;"@CBBT Corp","OPEN",$O$1&amp;" 4:15:00 PM",$O$1&amp;" 5:15:00 PM","BarSz=60","BarTp=T","RecurDaily=True","TZ=London","DTS=H")</f>
        <v>114.223</v>
      </c>
      <c r="P43" s="36">
        <f>_xll.BDH($C43&amp;"@CBBT Corp","OPEN",P$1&amp;" 4:15:00 PM",P$1&amp;" 5:15:00 PM","BarSz=60","BarTp=T","RecurDaily=True","TZ=London","DTS=H")</f>
        <v>114.393</v>
      </c>
      <c r="Q43" s="44">
        <f>_xll.BDP($C43&amp;"@CBBT Corp","YAS_BOND_YLD", "SETTLE_DT="&amp;Q$1, "YAS_BOND_PX="&amp;$N43)</f>
        <v>0.11600000000000001</v>
      </c>
      <c r="R43" s="44">
        <f>_xll.BDP($C43&amp;"@CBBT Corp","YAS_BOND_YLD", "SETTLE_DT="&amp;R$1, "YAS_BOND_PX="&amp;$O43)</f>
        <v>7.1999999999999995E-2</v>
      </c>
      <c r="S43" s="44">
        <f>_xll.BDP($C43&amp;"@CBBT Corp","YAS_BOND_YLD", "SETTLE_DT="&amp;S$1, "YAS_BOND_PX="&amp;$P43)</f>
        <v>0.10299999999999999</v>
      </c>
    </row>
    <row r="44" spans="1:19">
      <c r="A44" s="46" t="str">
        <f t="shared" si="0"/>
        <v>EUR.CM_DEPTH.XLS_ANDREA.FR0010854182</v>
      </c>
      <c r="B44" s="51" t="str">
        <f>_xll.MKV("EUR.CM_INSTRUMENT.PXE."&amp;C44,B$3)</f>
        <v>FRTR</v>
      </c>
      <c r="C44" s="62" t="s">
        <v>554</v>
      </c>
      <c r="D44" s="125">
        <f>_xll.MKV("EUR.CM_INSTRUMENT.PXE."&amp;C44,D$3)</f>
        <v>43946</v>
      </c>
      <c r="E44" s="58">
        <f t="shared" si="1"/>
        <v>-0.70000000000000062</v>
      </c>
      <c r="F44" s="58">
        <f t="shared" si="2"/>
        <v>4.2000000000000037</v>
      </c>
      <c r="G44" s="58">
        <f t="shared" si="3"/>
        <v>-2.5000000000000022</v>
      </c>
      <c r="H44" s="46" t="str">
        <f>_xll.MKV_PUBLISHRECORD(A44, $H$4)</f>
        <v>OK</v>
      </c>
      <c r="I44" s="46" t="str">
        <f>_xll.MKV_SUPPLYRECORD_RANGE(A44,$B$3:$G$3,B44:G44)</f>
        <v>OK</v>
      </c>
      <c r="J44" s="34">
        <f>_xll.MKV($J$1&amp;$C44, J$3)</f>
        <v>-0.50134999999999996</v>
      </c>
      <c r="K44" s="32">
        <f>_xll.MKV($L$2&amp;$C44, K$3)</f>
        <v>-0.503</v>
      </c>
      <c r="L44" s="35">
        <f>_xll.MKV($L$2&amp;$C44, L$3)</f>
        <v>114.295</v>
      </c>
      <c r="M44" s="32">
        <f t="shared" si="4"/>
        <v>-1.0000000000047748E-3</v>
      </c>
      <c r="N44" s="36">
        <f>_xll.BDH(C44&amp;"@CBBT Corp","OPEN",$N$1&amp;" 4:15:00 PM",$N$1&amp;" 5:15:00 PM","BarSz=60","BarTp=T","RecurDaily=True","TZ=London","DTS=H")</f>
        <v>114.29600000000001</v>
      </c>
      <c r="O44" s="36">
        <f>_xll.BDH($C44&amp;"@CBBT Corp","OPEN",$O$1&amp;" 4:15:00 PM",$O$1&amp;" 5:15:00 PM","BarSz=60","BarTp=T","RecurDaily=True","TZ=London","DTS=H")</f>
        <v>114.568</v>
      </c>
      <c r="P44" s="36">
        <f>_xll.BDH($C44&amp;"@CBBT Corp","OPEN",P$1&amp;" 4:15:00 PM",P$1&amp;" 5:15:00 PM","BarSz=60","BarTp=T","RecurDaily=True","TZ=London","DTS=H")</f>
        <v>114.583</v>
      </c>
      <c r="Q44" s="44">
        <f>_xll.BDP($C44&amp;"@CBBT Corp","YAS_BOND_YLD", "SETTLE_DT="&amp;Q$1, "YAS_BOND_PX="&amp;$N44)</f>
        <v>-0.496</v>
      </c>
      <c r="R44" s="44">
        <f>_xll.BDP($C44&amp;"@CBBT Corp","YAS_BOND_YLD", "SETTLE_DT="&amp;R$1, "YAS_BOND_PX="&amp;$O44)</f>
        <v>-0.54500000000000004</v>
      </c>
      <c r="S44" s="44">
        <f>_xll.BDP($C44&amp;"@CBBT Corp","YAS_BOND_YLD", "SETTLE_DT="&amp;S$1, "YAS_BOND_PX="&amp;$P44)</f>
        <v>-0.47799999999999998</v>
      </c>
    </row>
    <row r="45" spans="1:19">
      <c r="A45" s="46" t="str">
        <f t="shared" si="0"/>
        <v>EUR.CM_DEPTH.XLS_ANDREA.IT0005107708</v>
      </c>
      <c r="B45" s="51" t="str">
        <f>_xll.MKV("EUR.CM_INSTRUMENT.PXE."&amp;C45,B$3)</f>
        <v>BTPS</v>
      </c>
      <c r="C45" s="61" t="s">
        <v>447</v>
      </c>
      <c r="D45" s="125">
        <f>_xll.MKV("EUR.CM_INSTRUMENT.PXE."&amp;C45,D$3)</f>
        <v>43952</v>
      </c>
      <c r="E45" s="58">
        <f t="shared" si="1"/>
        <v>0.49999999999999906</v>
      </c>
      <c r="F45" s="58">
        <f t="shared" si="2"/>
        <v>5.3999999999999995</v>
      </c>
      <c r="G45" s="58">
        <f t="shared" si="3"/>
        <v>2.5999999999999996</v>
      </c>
      <c r="H45" s="46" t="str">
        <f>_xll.MKV_PUBLISHRECORD(A45, $H$4)</f>
        <v>OK</v>
      </c>
      <c r="I45" s="46" t="str">
        <f>_xll.MKV_SUPPLYRECORD_RANGE(A45,$B$3:$G$3,B45:G45)</f>
        <v>OK</v>
      </c>
      <c r="J45" s="34">
        <f>_xll.MKV($J$1&amp;$C45, J$3)</f>
        <v>0.113619</v>
      </c>
      <c r="K45" s="32">
        <f>_xll.MKV($L$2&amp;$C45, K$3)</f>
        <v>0.12</v>
      </c>
      <c r="L45" s="35">
        <f>_xll.MKV($L$2&amp;$C45, L$3)</f>
        <v>102.077</v>
      </c>
      <c r="M45" s="32">
        <f t="shared" si="4"/>
        <v>0</v>
      </c>
      <c r="N45" s="36">
        <f>_xll.BDH(C45&amp;"@CBBT Corp","OPEN",$N$1&amp;" 4:15:00 PM",$N$1&amp;" 5:15:00 PM","BarSz=60","BarTp=T","RecurDaily=True","TZ=London","DTS=H")</f>
        <v>102.077</v>
      </c>
      <c r="O45" s="36">
        <f>_xll.BDH($C45&amp;"@CBBT Corp","OPEN",$O$1&amp;" 4:15:00 PM",$O$1&amp;" 5:15:00 PM","BarSz=60","BarTp=T","RecurDaily=True","TZ=London","DTS=H")</f>
        <v>102.265</v>
      </c>
      <c r="P45" s="36">
        <f>_xll.BDH($C45&amp;"@CBBT Corp","OPEN",P$1&amp;" 4:15:00 PM",P$1&amp;" 5:15:00 PM","BarSz=60","BarTp=T","RecurDaily=True","TZ=London","DTS=H")</f>
        <v>102.202</v>
      </c>
      <c r="Q45" s="44">
        <f>_xll.BDP($C45&amp;"@CBBT Corp","YAS_BOND_YLD", "SETTLE_DT="&amp;Q$1, "YAS_BOND_PX="&amp;$N45)</f>
        <v>0.115</v>
      </c>
      <c r="R45" s="44">
        <f>_xll.BDP($C45&amp;"@CBBT Corp","YAS_BOND_YLD", "SETTLE_DT="&amp;R$1, "YAS_BOND_PX="&amp;$O45)</f>
        <v>6.6000000000000003E-2</v>
      </c>
      <c r="S45" s="44">
        <f>_xll.BDP($C45&amp;"@CBBT Corp","YAS_BOND_YLD", "SETTLE_DT="&amp;S$1, "YAS_BOND_PX="&amp;$P45)</f>
        <v>9.4E-2</v>
      </c>
    </row>
    <row r="46" spans="1:19">
      <c r="A46" s="46" t="str">
        <f t="shared" si="0"/>
        <v>EUR.CM_DEPTH.XLS_ANDREA.FR0012557957</v>
      </c>
      <c r="B46" s="51" t="str">
        <f>_xll.MKV("EUR.CM_INSTRUMENT.PXE."&amp;C46,B$3)</f>
        <v>FRTR</v>
      </c>
      <c r="C46" s="62" t="s">
        <v>556</v>
      </c>
      <c r="D46" s="125">
        <f>_xll.MKV("EUR.CM_INSTRUMENT.PXE."&amp;C46,D$3)</f>
        <v>43976</v>
      </c>
      <c r="E46" s="58">
        <f t="shared" si="1"/>
        <v>0.20000000000000018</v>
      </c>
      <c r="F46" s="58">
        <f t="shared" si="2"/>
        <v>5.2000000000000046</v>
      </c>
      <c r="G46" s="58">
        <f t="shared" si="3"/>
        <v>-0.40000000000000036</v>
      </c>
      <c r="H46" s="46" t="str">
        <f>_xll.MKV_PUBLISHRECORD(A46, $H$4)</f>
        <v>OK</v>
      </c>
      <c r="I46" s="46" t="str">
        <f>_xll.MKV_SUPPLYRECORD_RANGE(A46,$B$3:$G$3,B46:G46)</f>
        <v>OK</v>
      </c>
      <c r="J46" s="34">
        <f>_xll.MKV($J$1&amp;$C46, J$3)</f>
        <v>-0.48569499999999999</v>
      </c>
      <c r="K46" s="32">
        <f>_xll.MKV($L$2&amp;$C46, K$3)</f>
        <v>-0.48599999999999999</v>
      </c>
      <c r="L46" s="35">
        <f>_xll.MKV($L$2&amp;$C46, L$3)</f>
        <v>101.77500000000001</v>
      </c>
      <c r="M46" s="32">
        <f t="shared" si="4"/>
        <v>-1.099999999999568E-2</v>
      </c>
      <c r="N46" s="36">
        <f>_xll.BDH(C46&amp;"@CBBT Corp","OPEN",$N$1&amp;" 4:15:00 PM",$N$1&amp;" 5:15:00 PM","BarSz=60","BarTp=T","RecurDaily=True","TZ=London","DTS=H")</f>
        <v>101.786</v>
      </c>
      <c r="O46" s="36">
        <f>_xll.BDH($C46&amp;"@CBBT Corp","OPEN",$O$1&amp;" 4:15:00 PM",$O$1&amp;" 5:15:00 PM","BarSz=60","BarTp=T","RecurDaily=True","TZ=London","DTS=H")</f>
        <v>101.98099999999999</v>
      </c>
      <c r="P46" s="36">
        <f>_xll.BDH($C46&amp;"@CBBT Corp","OPEN",P$1&amp;" 4:15:00 PM",P$1&amp;" 5:15:00 PM","BarSz=60","BarTp=T","RecurDaily=True","TZ=London","DTS=H")</f>
        <v>101.806</v>
      </c>
      <c r="Q46" s="44">
        <f>_xll.BDP($C46&amp;"@CBBT Corp","YAS_BOND_YLD", "SETTLE_DT="&amp;Q$1, "YAS_BOND_PX="&amp;$N46)</f>
        <v>-0.48799999999999999</v>
      </c>
      <c r="R46" s="44">
        <f>_xll.BDP($C46&amp;"@CBBT Corp","YAS_BOND_YLD", "SETTLE_DT="&amp;R$1, "YAS_BOND_PX="&amp;$O46)</f>
        <v>-0.53800000000000003</v>
      </c>
      <c r="S46" s="44">
        <f>_xll.BDP($C46&amp;"@CBBT Corp","YAS_BOND_YLD", "SETTLE_DT="&amp;S$1, "YAS_BOND_PX="&amp;$P46)</f>
        <v>-0.48199999999999998</v>
      </c>
    </row>
    <row r="47" spans="1:19">
      <c r="A47" s="46" t="str">
        <f t="shared" si="0"/>
        <v>EUR.CM_DEPTH.XLS_ANDREA.IT0004594930</v>
      </c>
      <c r="B47" s="51" t="str">
        <f>_xll.MKV("EUR.CM_INSTRUMENT.PXE."&amp;C47,B$3)</f>
        <v>BTPS</v>
      </c>
      <c r="C47" s="61" t="s">
        <v>448</v>
      </c>
      <c r="D47" s="125">
        <f>_xll.MKV("EUR.CM_INSTRUMENT.PXE."&amp;C47,D$3)</f>
        <v>44075</v>
      </c>
      <c r="E47" s="58">
        <f t="shared" si="1"/>
        <v>0.20000000000000018</v>
      </c>
      <c r="F47" s="58">
        <f t="shared" si="2"/>
        <v>5.8999999999999995</v>
      </c>
      <c r="G47" s="58">
        <f t="shared" si="3"/>
        <v>3.7000000000000006</v>
      </c>
      <c r="H47" s="46" t="str">
        <f>_xll.MKV_PUBLISHRECORD(A47, $H$4)</f>
        <v>OK</v>
      </c>
      <c r="I47" s="46" t="str">
        <f>_xll.MKV_SUPPLYRECORD_RANGE(A47,$B$3:$G$3,B47:G47)</f>
        <v>OK</v>
      </c>
      <c r="J47" s="34">
        <f>_xll.MKV($J$1&amp;$C47, J$3)</f>
        <v>0.17369100000000001</v>
      </c>
      <c r="K47" s="32">
        <f>_xll.MKV($L$2&amp;$C47, K$3)</f>
        <v>0.18099999999999999</v>
      </c>
      <c r="L47" s="35">
        <f>_xll.MKV($L$2&amp;$C47, L$3)</f>
        <v>114.80500000000001</v>
      </c>
      <c r="M47" s="32">
        <f t="shared" si="4"/>
        <v>3.0000000000001137E-3</v>
      </c>
      <c r="N47" s="36">
        <f>_xll.BDH(C47&amp;"@CBBT Corp","OPEN",$N$1&amp;" 4:15:00 PM",$N$1&amp;" 5:15:00 PM","BarSz=60","BarTp=T","RecurDaily=True","TZ=London","DTS=H")</f>
        <v>114.80200000000001</v>
      </c>
      <c r="O47" s="36">
        <f>_xll.BDH($C47&amp;"@CBBT Corp","OPEN",$O$1&amp;" 4:15:00 PM",$O$1&amp;" 5:15:00 PM","BarSz=60","BarTp=T","RecurDaily=True","TZ=London","DTS=H")</f>
        <v>115.11799999999999</v>
      </c>
      <c r="P47" s="36">
        <f>_xll.BDH($C47&amp;"@CBBT Corp","OPEN",P$1&amp;" 4:15:00 PM",P$1&amp;" 5:15:00 PM","BarSz=60","BarTp=T","RecurDaily=True","TZ=London","DTS=H")</f>
        <v>115.29</v>
      </c>
      <c r="Q47" s="44">
        <f>_xll.BDP($C47&amp;"@CBBT Corp","YAS_BOND_YLD", "SETTLE_DT="&amp;Q$1, "YAS_BOND_PX="&amp;$N47)</f>
        <v>0.17899999999999999</v>
      </c>
      <c r="R47" s="44">
        <f>_xll.BDP($C47&amp;"@CBBT Corp","YAS_BOND_YLD", "SETTLE_DT="&amp;R$1, "YAS_BOND_PX="&amp;$O47)</f>
        <v>0.122</v>
      </c>
      <c r="S47" s="44">
        <f>_xll.BDP($C47&amp;"@CBBT Corp","YAS_BOND_YLD", "SETTLE_DT="&amp;S$1, "YAS_BOND_PX="&amp;$P47)</f>
        <v>0.14399999999999999</v>
      </c>
    </row>
    <row r="48" spans="1:19">
      <c r="A48" s="46" t="str">
        <f t="shared" si="0"/>
        <v>EUR.CM_DEPTH.XLS_ANDREA.FR0010949651</v>
      </c>
      <c r="B48" s="51" t="str">
        <f>_xll.MKV("EUR.CM_INSTRUMENT.PXE."&amp;C48,B$3)</f>
        <v>FRTR</v>
      </c>
      <c r="C48" s="62" t="s">
        <v>560</v>
      </c>
      <c r="D48" s="125">
        <f>_xll.MKV("EUR.CM_INSTRUMENT.PXE."&amp;C48,D$3)</f>
        <v>44129</v>
      </c>
      <c r="E48" s="58">
        <f t="shared" si="1"/>
        <v>-0.20000000000000018</v>
      </c>
      <c r="F48" s="58">
        <f t="shared" si="2"/>
        <v>5.4999999999999991</v>
      </c>
      <c r="G48" s="58">
        <f t="shared" si="3"/>
        <v>-1.3000000000000012</v>
      </c>
      <c r="H48" s="46" t="str">
        <f>_xll.MKV_PUBLISHRECORD(A48, $H$4)</f>
        <v>OK</v>
      </c>
      <c r="I48" s="46" t="str">
        <f>_xll.MKV_SUPPLYRECORD_RANGE(A48,$B$3:$G$3,B48:G48)</f>
        <v>OK</v>
      </c>
      <c r="J48" s="34">
        <f>_xll.MKV($J$1&amp;$C48, J$3)</f>
        <v>-0.45163199999999998</v>
      </c>
      <c r="K48" s="32">
        <f>_xll.MKV($L$2&amp;$C48, K$3)</f>
        <v>-0.45200000000000001</v>
      </c>
      <c r="L48" s="35">
        <f>_xll.MKV($L$2&amp;$C48, L$3)</f>
        <v>112.04</v>
      </c>
      <c r="M48" s="32">
        <f t="shared" si="4"/>
        <v>-1.099999999999568E-2</v>
      </c>
      <c r="N48" s="36">
        <f>_xll.BDH(C48&amp;"@CBBT Corp","OPEN",$N$1&amp;" 4:15:00 PM",$N$1&amp;" 5:15:00 PM","BarSz=60","BarTp=T","RecurDaily=True","TZ=London","DTS=H")</f>
        <v>112.051</v>
      </c>
      <c r="O48" s="36">
        <f>_xll.BDH($C48&amp;"@CBBT Corp","OPEN",$O$1&amp;" 4:15:00 PM",$O$1&amp;" 5:15:00 PM","BarSz=60","BarTp=T","RecurDaily=True","TZ=London","DTS=H")</f>
        <v>112.361</v>
      </c>
      <c r="P48" s="36">
        <f>_xll.BDH($C48&amp;"@CBBT Corp","OPEN",P$1&amp;" 4:15:00 PM",P$1&amp;" 5:15:00 PM","BarSz=60","BarTp=T","RecurDaily=True","TZ=London","DTS=H")</f>
        <v>112.264</v>
      </c>
      <c r="Q48" s="44">
        <f>_xll.BDP($C48&amp;"@CBBT Corp","YAS_BOND_YLD", "SETTLE_DT="&amp;Q$1, "YAS_BOND_PX="&amp;$N48)</f>
        <v>-0.45</v>
      </c>
      <c r="R48" s="44">
        <f>_xll.BDP($C48&amp;"@CBBT Corp","YAS_BOND_YLD", "SETTLE_DT="&amp;R$1, "YAS_BOND_PX="&amp;$O48)</f>
        <v>-0.50700000000000001</v>
      </c>
      <c r="S48" s="44">
        <f>_xll.BDP($C48&amp;"@CBBT Corp","YAS_BOND_YLD", "SETTLE_DT="&amp;S$1, "YAS_BOND_PX="&amp;$P48)</f>
        <v>-0.439</v>
      </c>
    </row>
    <row r="49" spans="1:19">
      <c r="A49" s="46" t="str">
        <f t="shared" si="0"/>
        <v>EUR.CM_DEPTH.XLS_ANDREA.IT0005142143</v>
      </c>
      <c r="B49" s="51" t="str">
        <f>_xll.MKV("EUR.CM_INSTRUMENT.PXE."&amp;C49,B$3)</f>
        <v>BTPS</v>
      </c>
      <c r="C49" s="61" t="s">
        <v>661</v>
      </c>
      <c r="D49" s="125">
        <f>_xll.MKV("EUR.CM_INSTRUMENT.PXE."&amp;C49,D$3)</f>
        <v>44136</v>
      </c>
      <c r="E49" s="58">
        <f t="shared" si="1"/>
        <v>0.50000000000000044</v>
      </c>
      <c r="F49" s="58">
        <f t="shared" si="2"/>
        <v>5.8</v>
      </c>
      <c r="G49" s="58">
        <f t="shared" si="3"/>
        <v>3.9000000000000008</v>
      </c>
      <c r="H49" s="46" t="str">
        <f>_xll.MKV_PUBLISHRECORD(A49, $H$4)</f>
        <v>OK</v>
      </c>
      <c r="I49" s="46" t="str">
        <f>_xll.MKV_SUPPLYRECORD_RANGE(A49,$B$3:$G$3,B49:G49)</f>
        <v>OK</v>
      </c>
      <c r="J49" s="34">
        <f>_xll.MKV($J$1&amp;$C49, J$3)</f>
        <v>0.18792400000000001</v>
      </c>
      <c r="K49" s="32">
        <f>_xll.MKV($L$2&amp;$C49, K$3)</f>
        <v>0.19600000000000001</v>
      </c>
      <c r="L49" s="35">
        <f>_xll.MKV($L$2&amp;$C49, L$3)</f>
        <v>101.864</v>
      </c>
      <c r="M49" s="32">
        <f t="shared" si="4"/>
        <v>9.0000000000003411E-3</v>
      </c>
      <c r="N49" s="36">
        <f>_xll.BDH(C49&amp;"@CBBT Corp","OPEN",$N$1&amp;" 4:15:00 PM",$N$1&amp;" 5:15:00 PM","BarSz=60","BarTp=T","RecurDaily=True","TZ=London","DTS=H")</f>
        <v>101.855</v>
      </c>
      <c r="O49" s="36">
        <f>_xll.BDH($C49&amp;"@CBBT Corp","OPEN",O$1&amp;" 4:15:00 PM",O$1&amp;" 5:15:00 PM","BarSz=60","BarTp=T","RecurDaily=True","TZ=London","DTS=H")</f>
        <v>102.08199999999999</v>
      </c>
      <c r="P49" s="36">
        <f>_xll.BDH($C49&amp;"@CBBT Corp","OPEN",P$1&amp;" 4:15:00 PM",P$1&amp;" 5:15:00 PM","BarSz=60","BarTp=T","RecurDaily=True","TZ=London","DTS=H")</f>
        <v>102.035</v>
      </c>
      <c r="Q49" s="44">
        <f>_xll.BDP($C49&amp;"@CBBT Corp","YAS_BOND_YLD", "SETTLE_DT="&amp;Q$1, "YAS_BOND_PX="&amp;$N49)</f>
        <v>0.191</v>
      </c>
      <c r="R49" s="44">
        <f>_xll.BDP($C49&amp;"@CBBT Corp","YAS_BOND_YLD", "SETTLE_DT="&amp;R$1, "YAS_BOND_PX="&amp;$O49)</f>
        <v>0.13800000000000001</v>
      </c>
      <c r="S49" s="44">
        <f>_xll.BDP($C49&amp;"@CBBT Corp","YAS_BOND_YLD", "SETTLE_DT="&amp;S$1, "YAS_BOND_PX="&amp;$P49)</f>
        <v>0.157</v>
      </c>
    </row>
    <row r="50" spans="1:19">
      <c r="A50" s="46" t="str">
        <f t="shared" si="0"/>
        <v>EUR.CM_DEPTH.XLS_ANDREA.IT0005142143</v>
      </c>
      <c r="B50" s="51" t="str">
        <f>_xll.MKV("EUR.CM_INSTRUMENT.PXE."&amp;C50,B$3)</f>
        <v>BTPS</v>
      </c>
      <c r="C50" s="61" t="s">
        <v>661</v>
      </c>
      <c r="D50" s="125">
        <f>_xll.MKV("EUR.CM_INSTRUMENT.PXE."&amp;C50,D$3)</f>
        <v>44136</v>
      </c>
      <c r="E50" s="58">
        <f t="shared" si="1"/>
        <v>0.50000000000000044</v>
      </c>
      <c r="F50" s="58">
        <f t="shared" si="2"/>
        <v>5.8</v>
      </c>
      <c r="G50" s="58">
        <f t="shared" si="3"/>
        <v>3.9000000000000008</v>
      </c>
      <c r="H50" s="46" t="str">
        <f>_xll.MKV_PUBLISHRECORD(A50, $H$4)</f>
        <v>OK</v>
      </c>
      <c r="I50" s="46" t="str">
        <f>_xll.MKV_SUPPLYRECORD_RANGE(A50,$B$3:$G$3,B50:G50)</f>
        <v>OK</v>
      </c>
      <c r="J50" s="34">
        <f>_xll.MKV($J$1&amp;$C50, J$3)</f>
        <v>0.18792400000000001</v>
      </c>
      <c r="K50" s="32">
        <f>_xll.MKV($L$2&amp;$C50, K$3)</f>
        <v>0.19600000000000001</v>
      </c>
      <c r="L50" s="35">
        <f>_xll.MKV($L$2&amp;$C50, L$3)</f>
        <v>101.864</v>
      </c>
      <c r="M50" s="32">
        <f t="shared" si="4"/>
        <v>9.0000000000003411E-3</v>
      </c>
      <c r="N50" s="36">
        <f>_xll.BDH(C50&amp;"@CBBT Corp","OPEN",$N$1&amp;" 4:15:00 PM",$N$1&amp;" 5:15:00 PM","BarSz=60","BarTp=T","RecurDaily=True","TZ=London","DTS=H")</f>
        <v>101.855</v>
      </c>
      <c r="O50" s="36">
        <f>_xll.BDH($C50&amp;"@CBBT Corp","OPEN",$O$1&amp;" 4:15:00 PM",$O$1&amp;" 5:15:00 PM","BarSz=60","BarTp=T","RecurDaily=True","TZ=London","DTS=H")</f>
        <v>102.08199999999999</v>
      </c>
      <c r="P50" s="36">
        <f>_xll.BDH($C50&amp;"@CBBT Corp","OPEN",P$1&amp;" 4:15:00 PM",P$1&amp;" 5:15:00 PM","BarSz=60","BarTp=T","RecurDaily=True","TZ=London","DTS=H")</f>
        <v>102.035</v>
      </c>
      <c r="Q50" s="44">
        <f>_xll.BDP($C50&amp;"@CBBT Corp","YAS_BOND_YLD", "SETTLE_DT="&amp;Q$1, "YAS_BOND_PX="&amp;$N50)</f>
        <v>0.191</v>
      </c>
      <c r="R50" s="44">
        <f>_xll.BDP($C50&amp;"@CBBT Corp","YAS_BOND_YLD", "SETTLE_DT="&amp;R$1, "YAS_BOND_PX="&amp;$O50)</f>
        <v>0.13800000000000001</v>
      </c>
      <c r="S50" s="44">
        <f>_xll.BDP($C50&amp;"@CBBT Corp","YAS_BOND_YLD", "SETTLE_DT="&amp;S$1, "YAS_BOND_PX="&amp;$P50)</f>
        <v>0.157</v>
      </c>
    </row>
    <row r="51" spans="1:19">
      <c r="A51" s="46" t="str">
        <f t="shared" si="0"/>
        <v>EUR.CM_DEPTH.XLS_ANDREA.FR0012968337</v>
      </c>
      <c r="B51" s="51" t="str">
        <f>_xll.MKV("EUR.CM_INSTRUMENT.PXE."&amp;C51,B$3)</f>
        <v>FRTR</v>
      </c>
      <c r="C51" s="62" t="s">
        <v>638</v>
      </c>
      <c r="D51" s="125">
        <f>_xll.MKV("EUR.CM_INSTRUMENT.PXE."&amp;C51,D$3)</f>
        <v>44160</v>
      </c>
      <c r="E51" s="58">
        <f t="shared" si="1"/>
        <v>-0.40000000000000036</v>
      </c>
      <c r="F51" s="58">
        <f t="shared" si="2"/>
        <v>5.4999999999999991</v>
      </c>
      <c r="G51" s="58">
        <f t="shared" si="3"/>
        <v>-1.100000000000001</v>
      </c>
      <c r="H51" s="46" t="str">
        <f>_xll.MKV_PUBLISHRECORD(A51, $H$4)</f>
        <v>OK</v>
      </c>
      <c r="I51" s="46" t="str">
        <f>_xll.MKV_SUPPLYRECORD_RANGE(A51,$B$3:$G$3,B51:G51)</f>
        <v>OK</v>
      </c>
      <c r="J51" s="34">
        <f>_xll.MKV($J$1&amp;$C51, J$3)</f>
        <v>-0.42857800000000001</v>
      </c>
      <c r="K51" s="32">
        <f>_xll.MKV($L$2&amp;$C51, K$3)</f>
        <v>-0.43099999999999999</v>
      </c>
      <c r="L51" s="35">
        <f>_xll.MKV($L$2&amp;$C51, L$3)</f>
        <v>102.825</v>
      </c>
      <c r="M51" s="32">
        <f t="shared" si="4"/>
        <v>5.0000000000096634E-3</v>
      </c>
      <c r="N51" s="36">
        <f>_xll.BDH(C51&amp;"@CBBT Corp","OPEN",$N$1&amp;" 4:15:00 PM",$N$1&amp;" 5:15:00 PM","BarSz=60","BarTp=T","RecurDaily=True","TZ=London","DTS=H")</f>
        <v>102.82</v>
      </c>
      <c r="O51" s="36">
        <f>_xll.BDH($C51&amp;"@CBBT Corp","OPEN",$O$1&amp;" 4:15:00 PM",$O$1&amp;" 5:15:00 PM","BarSz=60","BarTp=T","RecurDaily=True","TZ=London","DTS=H")</f>
        <v>103.087</v>
      </c>
      <c r="P51" s="36">
        <f>_xll.BDH($C51&amp;"@CBBT Corp","OPEN",P$1&amp;" 4:15:00 PM",P$1&amp;" 5:15:00 PM","BarSz=60","BarTp=T","RecurDaily=True","TZ=London","DTS=H")</f>
        <v>102.85299999999999</v>
      </c>
      <c r="Q51" s="44">
        <f>_xll.BDP($C51&amp;"@CBBT Corp","YAS_BOND_YLD", "SETTLE_DT="&amp;Q$1, "YAS_BOND_PX="&amp;$N51)</f>
        <v>-0.42699999999999999</v>
      </c>
      <c r="R51" s="44">
        <f>_xll.BDP($C51&amp;"@CBBT Corp","YAS_BOND_YLD", "SETTLE_DT="&amp;R$1, "YAS_BOND_PX="&amp;$O51)</f>
        <v>-0.48599999999999999</v>
      </c>
      <c r="S51" s="44">
        <f>_xll.BDP($C51&amp;"@CBBT Corp","YAS_BOND_YLD", "SETTLE_DT="&amp;S$1, "YAS_BOND_PX="&amp;$P51)</f>
        <v>-0.42</v>
      </c>
    </row>
    <row r="52" spans="1:19">
      <c r="A52" s="46" t="str">
        <f t="shared" si="0"/>
        <v>EUR.CM_DEPTH.XLS_ANDREA.IT0004634132</v>
      </c>
      <c r="B52" s="51" t="str">
        <f>_xll.MKV("EUR.CM_INSTRUMENT.PXE."&amp;C52,B$3)</f>
        <v>BTPS</v>
      </c>
      <c r="C52" s="61" t="s">
        <v>449</v>
      </c>
      <c r="D52" s="125">
        <f>_xll.MKV("EUR.CM_INSTRUMENT.PXE."&amp;C52,D$3)</f>
        <v>44256</v>
      </c>
      <c r="E52" s="58">
        <f t="shared" si="1"/>
        <v>0.30000000000000027</v>
      </c>
      <c r="F52" s="58" t="str">
        <f t="shared" ca="1" si="2"/>
        <v>99</v>
      </c>
      <c r="G52" s="58">
        <f t="shared" si="3"/>
        <v>3.1000000000000028</v>
      </c>
      <c r="H52" s="46" t="str">
        <f>_xll.MKV_PUBLISHRECORD(A52, $H$4)</f>
        <v>OK</v>
      </c>
      <c r="I52" s="46" t="str">
        <f ca="1">_xll.MKV_SUPPLYRECORD_RANGE(A52,$B$3:$G$3,B52:G52)</f>
        <v>OK</v>
      </c>
      <c r="J52" s="34">
        <f>_xll.MKV($J$1&amp;$C52, J$3)</f>
        <v>0.259772</v>
      </c>
      <c r="K52" s="32">
        <f>_xll.MKV($L$2&amp;$C52, K$3)</f>
        <v>0.26800000000000002</v>
      </c>
      <c r="L52" s="35">
        <f>_xll.MKV($L$2&amp;$C52, L$3)</f>
        <v>115.205</v>
      </c>
      <c r="M52" s="32">
        <f t="shared" si="4"/>
        <v>4.9999999999954525E-3</v>
      </c>
      <c r="N52" s="36">
        <f>_xll.BDH(C52&amp;"@CBBT Corp","OPEN",$N$1&amp;" 4:15:00 PM",$N$1&amp;" 5:15:00 PM","BarSz=60","BarTp=T","RecurDaily=True","TZ=London","DTS=H")</f>
        <v>115.2</v>
      </c>
      <c r="O52" s="36" t="e">
        <f ca="1">[1]!BError(_xll.BDH($C52&amp;"@CBBT Corp","OPEN",$O$1&amp;" 4:15:00 PM",$O$1&amp;" 5:15:00 PM","BarSz=60","BarTp=T","RecurDaily=True","TZ=London","DTS=H"))</f>
        <v>#NAME?</v>
      </c>
      <c r="P52" s="36">
        <f>_xll.BDH($C52&amp;"@CBBT Corp","OPEN",P$1&amp;" 4:15:00 PM",P$1&amp;" 5:15:00 PM","BarSz=60","BarTp=T","RecurDaily=True","TZ=London","DTS=H")</f>
        <v>115.637</v>
      </c>
      <c r="Q52" s="44">
        <f>_xll.BDP($C52&amp;"@CBBT Corp","YAS_BOND_YLD", "SETTLE_DT="&amp;Q$1, "YAS_BOND_PX="&amp;$N52)</f>
        <v>0.26500000000000001</v>
      </c>
      <c r="R52" s="44" t="e">
        <f ca="1">_xll.BDP($C52&amp;"@CBBT Corp","YAS_BOND_YLD", "SETTLE_DT="&amp;R$1, "YAS_BOND_PX="&amp;$O52)</f>
        <v>#NAME?</v>
      </c>
      <c r="S52" s="44">
        <f>_xll.BDP($C52&amp;"@CBBT Corp","YAS_BOND_YLD", "SETTLE_DT="&amp;S$1, "YAS_BOND_PX="&amp;$P52)</f>
        <v>0.23699999999999999</v>
      </c>
    </row>
    <row r="53" spans="1:19">
      <c r="A53" s="46" t="str">
        <f t="shared" si="0"/>
        <v>EUR.CM_DEPTH.XLS_ANDREA.FR0010192997</v>
      </c>
      <c r="B53" s="51" t="str">
        <f>_xll.MKV("EUR.CM_INSTRUMENT.PXE."&amp;C53,B$3)</f>
        <v>FRTR</v>
      </c>
      <c r="C53" s="62" t="s">
        <v>564</v>
      </c>
      <c r="D53" s="125">
        <f>_xll.MKV("EUR.CM_INSTRUMENT.PXE."&amp;C53,D$3)</f>
        <v>44311</v>
      </c>
      <c r="E53" s="58">
        <f t="shared" si="1"/>
        <v>-0.20000000000000018</v>
      </c>
      <c r="F53" s="58" t="str">
        <f t="shared" ca="1" si="2"/>
        <v>99</v>
      </c>
      <c r="G53" s="58">
        <f t="shared" si="3"/>
        <v>-1.100000000000001</v>
      </c>
      <c r="H53" s="46" t="str">
        <f>_xll.MKV_PUBLISHRECORD(A53, $H$4)</f>
        <v>OK</v>
      </c>
      <c r="I53" s="46" t="str">
        <f ca="1">_xll.MKV_SUPPLYRECORD_RANGE(A53,$B$3:$G$3,B53:G53)</f>
        <v>OK</v>
      </c>
      <c r="J53" s="34">
        <f>_xll.MKV($J$1&amp;$C53, J$3)</f>
        <v>-0.39951199999999998</v>
      </c>
      <c r="K53" s="32">
        <f>_xll.MKV($L$2&amp;$C53, K$3)</f>
        <v>-0.4</v>
      </c>
      <c r="L53" s="35">
        <f>_xll.MKV($L$2&amp;$C53, L$3)</f>
        <v>119.015</v>
      </c>
      <c r="M53" s="32">
        <f t="shared" si="4"/>
        <v>-1.3999999999995794E-2</v>
      </c>
      <c r="N53" s="36">
        <f>_xll.BDH(C53&amp;"@CBBT Corp","OPEN",$N$1&amp;" 4:15:00 PM",$N$1&amp;" 5:15:00 PM","BarSz=60","BarTp=T","RecurDaily=True","TZ=London","DTS=H")</f>
        <v>119.029</v>
      </c>
      <c r="O53" s="36" t="e">
        <f ca="1">[1]!BError(_xll.BDH($C53&amp;"@CBBT Corp","OPEN",$O$1&amp;" 4:15:00 PM",$O$1&amp;" 5:15:00 PM","BarSz=60","BarTp=T","RecurDaily=True","TZ=London","DTS=H"))</f>
        <v>#NAME?</v>
      </c>
      <c r="P53" s="36">
        <f>_xll.BDH($C53&amp;"@CBBT Corp","OPEN",P$1&amp;" 4:15:00 PM",P$1&amp;" 5:15:00 PM","BarSz=60","BarTp=T","RecurDaily=True","TZ=London","DTS=H")</f>
        <v>119.357</v>
      </c>
      <c r="Q53" s="44">
        <f>_xll.BDP($C53&amp;"@CBBT Corp","YAS_BOND_YLD", "SETTLE_DT="&amp;Q$1, "YAS_BOND_PX="&amp;$N53)</f>
        <v>-0.39800000000000002</v>
      </c>
      <c r="R53" s="44" t="e">
        <f ca="1">_xll.BDP($C53&amp;"@CBBT Corp","YAS_BOND_YLD", "SETTLE_DT="&amp;R$1, "YAS_BOND_PX="&amp;$O53)</f>
        <v>#NAME?</v>
      </c>
      <c r="S53" s="44">
        <f>_xll.BDP($C53&amp;"@CBBT Corp","YAS_BOND_YLD", "SETTLE_DT="&amp;S$1, "YAS_BOND_PX="&amp;$P53)</f>
        <v>-0.38900000000000001</v>
      </c>
    </row>
    <row r="54" spans="1:19">
      <c r="A54" s="46" t="str">
        <f t="shared" si="0"/>
        <v>EUR.CM_DEPTH.XLS_ANDREA.IT0004966401</v>
      </c>
      <c r="B54" s="51" t="str">
        <f>_xll.MKV("EUR.CM_INSTRUMENT.PXE."&amp;C54,B$3)</f>
        <v>BTPS</v>
      </c>
      <c r="C54" s="61" t="s">
        <v>450</v>
      </c>
      <c r="D54" s="125">
        <f>_xll.MKV("EUR.CM_INSTRUMENT.PXE."&amp;C54,D$3)</f>
        <v>44317</v>
      </c>
      <c r="E54" s="58">
        <f t="shared" si="1"/>
        <v>0.50000000000000044</v>
      </c>
      <c r="F54" s="58" t="str">
        <f t="shared" ca="1" si="2"/>
        <v>99</v>
      </c>
      <c r="G54" s="58">
        <f t="shared" si="3"/>
        <v>4.0000000000000036</v>
      </c>
      <c r="H54" s="46" t="str">
        <f>_xll.MKV_PUBLISHRECORD(A54, $H$4)</f>
        <v>OK</v>
      </c>
      <c r="I54" s="46" t="str">
        <f ca="1">_xll.MKV_SUPPLYRECORD_RANGE(A54,$B$3:$G$3,B54:G54)</f>
        <v>OK</v>
      </c>
      <c r="J54" s="34">
        <f>_xll.MKV($J$1&amp;$C54, J$3)</f>
        <v>0.33446700000000001</v>
      </c>
      <c r="K54" s="32">
        <f>_xll.MKV($L$2&amp;$C54, K$3)</f>
        <v>0.34300000000000003</v>
      </c>
      <c r="L54" s="35">
        <f>_xll.MKV($L$2&amp;$C54, L$3)</f>
        <v>115.41500000000001</v>
      </c>
      <c r="M54" s="32">
        <f t="shared" si="4"/>
        <v>0</v>
      </c>
      <c r="N54" s="36">
        <f>_xll.BDH(C54&amp;"@CBBT Corp","OPEN",$N$1&amp;" 4:15:00 PM",$N$1&amp;" 5:15:00 PM","BarSz=60","BarTp=T","RecurDaily=True","TZ=London","DTS=H")</f>
        <v>115.41500000000001</v>
      </c>
      <c r="O54" s="36" t="e">
        <f ca="1">[1]!BError(_xll.BDH($C54&amp;"@CBBT Corp","OPEN",$O$1&amp;" 4:15:00 PM",$O$1&amp;" 5:15:00 PM","BarSz=60","BarTp=T","RecurDaily=True","TZ=London","DTS=H"))</f>
        <v>#NAME?</v>
      </c>
      <c r="P54" s="36">
        <f>_xll.BDH($C54&amp;"@CBBT Corp","OPEN",P$1&amp;" 4:15:00 PM",P$1&amp;" 5:15:00 PM","BarSz=60","BarTp=T","RecurDaily=True","TZ=London","DTS=H")</f>
        <v>115.88500000000001</v>
      </c>
      <c r="Q54" s="44">
        <f>_xll.BDP($C54&amp;"@CBBT Corp","YAS_BOND_YLD", "SETTLE_DT="&amp;Q$1, "YAS_BOND_PX="&amp;$N54)</f>
        <v>0.33800000000000002</v>
      </c>
      <c r="R54" s="44" t="e">
        <f ca="1">_xll.BDP($C54&amp;"@CBBT Corp","YAS_BOND_YLD", "SETTLE_DT="&amp;R$1, "YAS_BOND_PX="&amp;$O54)</f>
        <v>#NAME?</v>
      </c>
      <c r="S54" s="44">
        <f>_xll.BDP($C54&amp;"@CBBT Corp","YAS_BOND_YLD", "SETTLE_DT="&amp;S$1, "YAS_BOND_PX="&amp;$P54)</f>
        <v>0.30299999999999999</v>
      </c>
    </row>
    <row r="55" spans="1:19">
      <c r="A55" s="46" t="str">
        <f t="shared" ref="A55" si="10">$A$4 &amp; ".CM_DEPTH."&amp; $H$4 &amp; "." &amp; C55</f>
        <v>EUR.CM_DEPTH.XLS_ANDREA.FR0013157096</v>
      </c>
      <c r="B55" s="51" t="str">
        <f>_xll.MKV("EUR.CM_INSTRUMENT.PXE."&amp;C55,B$3)</f>
        <v>FRTR</v>
      </c>
      <c r="C55" s="61" t="s">
        <v>762</v>
      </c>
      <c r="D55" s="125">
        <f>_xll.MKV("EUR.CM_INSTRUMENT.PXE."&amp;C55,D$3)</f>
        <v>44341</v>
      </c>
      <c r="E55" s="58">
        <f t="shared" ref="E55" si="11">IFERROR(($K55-Q55)*100,"99")</f>
        <v>-0.30000000000000027</v>
      </c>
      <c r="F55" s="58" t="str">
        <f t="shared" ref="F55" ca="1" si="12">IFERROR(($K55-R55)*100,"99")</f>
        <v>99</v>
      </c>
      <c r="G55" s="58">
        <f t="shared" ref="G55" si="13">IFERROR(($K55-S55)*100,"99")</f>
        <v>-1.100000000000001</v>
      </c>
      <c r="H55" s="46" t="str">
        <f>_xll.MKV_PUBLISHRECORD(A55, $H$4)</f>
        <v>OK</v>
      </c>
      <c r="I55" s="46" t="str">
        <f ca="1">_xll.MKV_SUPPLYRECORD_RANGE(A55,$B$3:$G$3,B55:G55)</f>
        <v>OK</v>
      </c>
      <c r="J55" s="34">
        <f>_xll.MKV($J$1&amp;$C55, J$3)</f>
        <v>-0.36788900000000002</v>
      </c>
      <c r="K55" s="32">
        <f>_xll.MKV($L$2&amp;$C55, K$3)</f>
        <v>-0.36799999999999999</v>
      </c>
      <c r="L55" s="35">
        <f>_xll.MKV($L$2&amp;$C55, L$3)</f>
        <v>101.715</v>
      </c>
      <c r="M55" s="32">
        <f t="shared" ref="M55" si="14">L55-N55</f>
        <v>1.2000000000000455E-2</v>
      </c>
      <c r="N55" s="36">
        <f>_xll.BDH(C55&amp;"@CBBT Corp","OPEN",$N$1&amp;" 4:15:00 PM",$N$1&amp;" 5:15:00 PM","BarSz=60","BarTp=T","RecurDaily=True","TZ=London","DTS=H")</f>
        <v>101.703</v>
      </c>
      <c r="O55" s="36" t="e">
        <f ca="1">[1]!BError(_xll.BDH($C55&amp;"@CBBT Corp","OPEN",$O$1&amp;" 4:15:00 PM",$O$1&amp;" 5:15:00 PM","BarSz=60","BarTp=T","RecurDaily=True","TZ=London","DTS=H"))</f>
        <v>#NAME?</v>
      </c>
      <c r="P55" s="36">
        <f>_xll.BDH($C55&amp;"@CBBT Corp","OPEN",P$1&amp;" 4:15:00 PM",P$1&amp;" 5:15:00 PM","BarSz=60","BarTp=T","RecurDaily=True","TZ=London","DTS=H")</f>
        <v>101.69799999999999</v>
      </c>
      <c r="Q55" s="44">
        <f>_xll.BDP($C55&amp;"@CBBT Corp","YAS_BOND_YLD", "SETTLE_DT="&amp;Q$1, "YAS_BOND_PX="&amp;$N55)</f>
        <v>-0.36499999999999999</v>
      </c>
      <c r="R55" s="44" t="e">
        <f ca="1">_xll.BDP($C55&amp;"@CBBT Corp","YAS_BOND_YLD", "SETTLE_DT="&amp;R$1, "YAS_BOND_PX="&amp;$O55)</f>
        <v>#NAME?</v>
      </c>
      <c r="S55" s="44">
        <f>_xll.BDP($C55&amp;"@CBBT Corp","YAS_BOND_YLD", "SETTLE_DT="&amp;S$1, "YAS_BOND_PX="&amp;$P55)</f>
        <v>-0.35699999999999998</v>
      </c>
    </row>
    <row r="56" spans="1:19">
      <c r="A56" s="46" t="str">
        <f>$A$4 &amp; ".CM_DEPTH."&amp; $H$4 &amp; "." &amp; C56</f>
        <v>EUR.CM_DEPTH.XLS_ANDREA.IT0005175598</v>
      </c>
      <c r="B56" s="51" t="str">
        <f>_xll.MKV("EUR.CM_INSTRUMENT.PXE."&amp;C56,B$3)</f>
        <v>BTPS</v>
      </c>
      <c r="C56" s="61" t="s">
        <v>717</v>
      </c>
      <c r="D56" s="125">
        <f>_xll.MKV("EUR.CM_INSTRUMENT.PXE."&amp;C56,D$3)</f>
        <v>44348</v>
      </c>
      <c r="E56" s="58">
        <f t="shared" si="1"/>
        <v>0.9000000000000008</v>
      </c>
      <c r="F56" s="58" t="str">
        <f t="shared" ca="1" si="2"/>
        <v>99</v>
      </c>
      <c r="G56" s="58">
        <f t="shared" si="3"/>
        <v>5.1999999999999993</v>
      </c>
      <c r="H56" s="46" t="str">
        <f>_xll.MKV_PUBLISHRECORD(A56, $H$4)</f>
        <v>OK</v>
      </c>
      <c r="I56" s="46" t="str">
        <f ca="1">_xll.MKV_SUPPLYRECORD_RANGE(A56,$B$3:$G$3,B56:G56)</f>
        <v>OK</v>
      </c>
      <c r="J56" s="34">
        <f>_xll.MKV($J$1&amp;$C56, J$3)</f>
        <v>0.34578300000000001</v>
      </c>
      <c r="K56" s="32">
        <f>_xll.MKV($L$2&amp;$C56, K$3)</f>
        <v>0.35699999999999998</v>
      </c>
      <c r="L56" s="35">
        <f>_xll.MKV($L$2&amp;$C56, L$3)</f>
        <v>100.48</v>
      </c>
      <c r="M56" s="32">
        <f>L56-N56</f>
        <v>1.0000000000005116E-2</v>
      </c>
      <c r="N56" s="36">
        <f>_xll.BDH(C56&amp;"@CBBT Corp","OPEN",$N$1&amp;" 4:15:00 PM",$N$1&amp;" 5:15:00 PM","BarSz=60","BarTp=T","RecurDaily=True","TZ=London","DTS=H")</f>
        <v>100.47</v>
      </c>
      <c r="O56" s="36" t="e">
        <f ca="1">[1]!BError(_xll.BDH($C56&amp;"@CBBT Corp","OPEN",$O$1&amp;" 4:15:00 PM",$O$1&amp;" 5:15:00 PM","BarSz=60","BarTp=T","RecurDaily=True","TZ=London","DTS=H"))</f>
        <v>#NAME?</v>
      </c>
      <c r="P56" s="36">
        <f>_xll.BDH($C56&amp;"@CBBT Corp","OPEN",P$1&amp;" 4:15:00 PM",P$1&amp;" 5:15:00 PM","BarSz=60","BarTp=T","RecurDaily=True","TZ=London","DTS=H")</f>
        <v>100.68300000000001</v>
      </c>
      <c r="Q56" s="44">
        <f>_xll.BDP($C56&amp;"@CBBT Corp","YAS_BOND_YLD", "SETTLE_DT="&amp;Q$1, "YAS_BOND_PX="&amp;$N56)</f>
        <v>0.34799999999999998</v>
      </c>
      <c r="R56" s="44" t="e">
        <f ca="1">_xll.BDP($C56&amp;"@CBBT Corp","YAS_BOND_YLD", "SETTLE_DT="&amp;R$1, "YAS_BOND_PX="&amp;$O56)</f>
        <v>#NAME?</v>
      </c>
      <c r="S56" s="44">
        <f>_xll.BDP($C56&amp;"@CBBT Corp","YAS_BOND_YLD", "SETTLE_DT="&amp;S$1, "YAS_BOND_PX="&amp;$P56)</f>
        <v>0.30499999999999999</v>
      </c>
    </row>
    <row r="57" spans="1:19">
      <c r="A57" s="46" t="str">
        <f>$A$4 &amp; ".CM_DEPTH."&amp; $H$4 &amp; "." &amp; C57</f>
        <v>EUR.CM_DEPTH.XLS_ANDREA.ES00000128B8</v>
      </c>
      <c r="B57" s="51" t="str">
        <f>_xll.MKV("EUR.CM_INSTRUMENT.PXE."&amp;C57,B$3)</f>
        <v>SPGB</v>
      </c>
      <c r="C57" s="61" t="s">
        <v>704</v>
      </c>
      <c r="D57" s="125">
        <f>_xll.MKV("EUR.CM_INSTRUMENT.PXE."&amp;C57,D$3)</f>
        <v>44407</v>
      </c>
      <c r="E57" s="58">
        <f t="shared" si="1"/>
        <v>2.0000000000000004</v>
      </c>
      <c r="F57" s="58" t="str">
        <f t="shared" ca="1" si="2"/>
        <v>99</v>
      </c>
      <c r="G57" s="58">
        <f t="shared" si="3"/>
        <v>-6.9</v>
      </c>
      <c r="H57" s="46" t="str">
        <f>_xll.MKV_PUBLISHRECORD(A57, $H$4)</f>
        <v>OK</v>
      </c>
      <c r="I57" s="46" t="str">
        <f ca="1">_xll.MKV_SUPPLYRECORD_RANGE(A57,$B$3:$G$3,B57:G57)</f>
        <v>OK</v>
      </c>
      <c r="J57" s="34">
        <f>_xll.MKV($J$1&amp;$C57, J$3)</f>
        <v>0.105106</v>
      </c>
      <c r="K57" s="32">
        <f>_xll.MKV($L$2&amp;$C57, K$3)</f>
        <v>0.127</v>
      </c>
      <c r="L57" s="35">
        <f>_xll.MKV($L$2&amp;$C57, L$3)</f>
        <v>103.0825</v>
      </c>
      <c r="M57" s="32">
        <f t="shared" si="4"/>
        <v>5.49999999999784E-3</v>
      </c>
      <c r="N57" s="36">
        <f>_xll.BDH(C57&amp;"@CBBT Corp","OPEN",$N$1&amp;" 4:15:00 PM",$N$1&amp;" 5:15:00 PM","BarSz=60","BarTp=T","RecurDaily=True","TZ=London","DTS=H")</f>
        <v>103.077</v>
      </c>
      <c r="O57" s="36" t="e">
        <f ca="1">[1]!BError(_xll.BDH($C57&amp;"@CBBT Corp","OPEN",$O$1&amp;" 4:15:00 PM",$O$1&amp;" 5:15:00 PM","BarSz=60","BarTp=T","RecurDaily=True","TZ=London","DTS=H"))</f>
        <v>#NAME?</v>
      </c>
      <c r="P57" s="36">
        <f>_xll.BDH($C57&amp;"@CBBT Corp","OPEN",P$1&amp;" 4:15:00 PM",P$1&amp;" 5:15:00 PM","BarSz=60","BarTp=T","RecurDaily=True","TZ=London","DTS=H")</f>
        <v>102.69</v>
      </c>
      <c r="Q57" s="44">
        <f>_xll.BDP($C57&amp;"@CBBT Corp","YAS_BOND_YLD", "SETTLE_DT="&amp;Q$1, "YAS_BOND_PX="&amp;$N57)</f>
        <v>0.107</v>
      </c>
      <c r="R57" s="44" t="e">
        <f ca="1">_xll.BDP($C57&amp;"@CBBT Corp","YAS_BOND_YLD", "SETTLE_DT="&amp;R$1, "YAS_BOND_PX="&amp;$O57)</f>
        <v>#NAME?</v>
      </c>
      <c r="S57" s="44">
        <f>_xll.BDP($C57&amp;"@CBBT Corp","YAS_BOND_YLD", "SETTLE_DT="&amp;S$1, "YAS_BOND_PX="&amp;$P57)</f>
        <v>0.19600000000000001</v>
      </c>
    </row>
    <row r="58" spans="1:19">
      <c r="A58" s="46" t="str">
        <f t="shared" si="0"/>
        <v>EUR.CM_DEPTH.XLS_ANDREA.IT0004009673</v>
      </c>
      <c r="B58" s="51" t="str">
        <f>_xll.MKV("EUR.CM_INSTRUMENT.PXE."&amp;C58,B$3)</f>
        <v>BTPS</v>
      </c>
      <c r="C58" s="61" t="s">
        <v>451</v>
      </c>
      <c r="D58" s="125">
        <f>_xll.MKV("EUR.CM_INSTRUMENT.PXE."&amp;C58,D$3)</f>
        <v>44409</v>
      </c>
      <c r="E58" s="58">
        <f t="shared" si="1"/>
        <v>0.60000000000000053</v>
      </c>
      <c r="F58" s="58" t="str">
        <f t="shared" ca="1" si="2"/>
        <v>99</v>
      </c>
      <c r="G58" s="58">
        <f t="shared" si="3"/>
        <v>5.6</v>
      </c>
      <c r="H58" s="46" t="str">
        <f>_xll.MKV_PUBLISHRECORD(A58, $H$4)</f>
        <v>OK</v>
      </c>
      <c r="I58" s="46" t="str">
        <f ca="1">_xll.MKV_SUPPLYRECORD_RANGE(A58,$B$3:$G$3,B58:G58)</f>
        <v>OK</v>
      </c>
      <c r="J58" s="34">
        <f>_xll.MKV($J$1&amp;$C58, J$3)</f>
        <v>0.35758299999999998</v>
      </c>
      <c r="K58" s="32">
        <f>_xll.MKV($L$2&amp;$C58, K$3)</f>
        <v>0.36699999999999999</v>
      </c>
      <c r="L58" s="35">
        <f>_xll.MKV($L$2&amp;$C58, L$3)</f>
        <v>116.136</v>
      </c>
      <c r="M58" s="32">
        <f t="shared" si="4"/>
        <v>9.9999999999056399E-4</v>
      </c>
      <c r="N58" s="36">
        <f>_xll.BDH(C58&amp;"@CBBT Corp","OPEN",$N$1&amp;" 4:15:00 PM",$N$1&amp;" 5:15:00 PM","BarSz=60","BarTp=T","RecurDaily=True","TZ=London","DTS=H")</f>
        <v>116.13500000000001</v>
      </c>
      <c r="O58" s="36" t="e">
        <f ca="1">[1]!BError(_xll.BDH($C58&amp;"@CBBT Corp","OPEN",$O$1&amp;" 4:15:00 PM",$O$1&amp;" 5:15:00 PM","BarSz=60","BarTp=T","RecurDaily=True","TZ=London","DTS=H"))</f>
        <v>#NAME?</v>
      </c>
      <c r="P58" s="36">
        <f>_xll.BDH($C58&amp;"@CBBT Corp","OPEN",P$1&amp;" 4:15:00 PM",P$1&amp;" 5:15:00 PM","BarSz=60","BarTp=T","RecurDaily=True","TZ=London","DTS=H")</f>
        <v>116.69</v>
      </c>
      <c r="Q58" s="44">
        <f>_xll.BDP($C58&amp;"@CBBT Corp","YAS_BOND_YLD", "SETTLE_DT="&amp;Q$1, "YAS_BOND_PX="&amp;$N58)</f>
        <v>0.36099999999999999</v>
      </c>
      <c r="R58" s="44" t="e">
        <f ca="1">_xll.BDP($C58&amp;"@CBBT Corp","YAS_BOND_YLD", "SETTLE_DT="&amp;R$1, "YAS_BOND_PX="&amp;$O58)</f>
        <v>#NAME?</v>
      </c>
      <c r="S58" s="44">
        <f>_xll.BDP($C58&amp;"@CBBT Corp","YAS_BOND_YLD", "SETTLE_DT="&amp;S$1, "YAS_BOND_PX="&amp;$P58)</f>
        <v>0.311</v>
      </c>
    </row>
    <row r="59" spans="1:19">
      <c r="A59" s="46" t="str">
        <f t="shared" si="0"/>
        <v>EUR.CM_DEPTH.XLS_ANDREA.IT0004695075</v>
      </c>
      <c r="B59" s="51" t="str">
        <f>_xll.MKV("EUR.CM_INSTRUMENT.PXE."&amp;C59,B$3)</f>
        <v>BTPS</v>
      </c>
      <c r="C59" s="61" t="s">
        <v>452</v>
      </c>
      <c r="D59" s="125">
        <f>_xll.MKV("EUR.CM_INSTRUMENT.PXE."&amp;C59,D$3)</f>
        <v>44440</v>
      </c>
      <c r="E59" s="58">
        <f t="shared" si="1"/>
        <v>0.40000000000000036</v>
      </c>
      <c r="F59" s="58" t="str">
        <f t="shared" ca="1" si="2"/>
        <v>99</v>
      </c>
      <c r="G59" s="58">
        <f t="shared" si="3"/>
        <v>5.2999999999999989</v>
      </c>
      <c r="H59" s="46" t="str">
        <f>_xll.MKV_PUBLISHRECORD(A59, $H$4)</f>
        <v>OK</v>
      </c>
      <c r="I59" s="46" t="str">
        <f ca="1">_xll.MKV_SUPPLYRECORD_RANGE(A59,$B$3:$G$3,B59:G59)</f>
        <v>OK</v>
      </c>
      <c r="J59" s="34">
        <f>_xll.MKV($J$1&amp;$C59, J$3)</f>
        <v>0.384772</v>
      </c>
      <c r="K59" s="32">
        <f>_xll.MKV($L$2&amp;$C59, K$3)</f>
        <v>0.39400000000000002</v>
      </c>
      <c r="L59" s="35">
        <f>_xll.MKV($L$2&amp;$C59, L$3)</f>
        <v>121.102</v>
      </c>
      <c r="M59" s="32">
        <f t="shared" si="4"/>
        <v>2.0000000000095497E-3</v>
      </c>
      <c r="N59" s="36">
        <f>_xll.BDH(C59&amp;"@CBBT Corp","OPEN",$N$1&amp;" 4:15:00 PM",$N$1&amp;" 5:15:00 PM","BarSz=60","BarTp=T","RecurDaily=True","TZ=London","DTS=H")</f>
        <v>121.1</v>
      </c>
      <c r="O59" s="36" t="e">
        <f ca="1">[1]!BError(_xll.BDH($C59&amp;"@CBBT Corp","OPEN",$O$1&amp;" 4:15:00 PM",$O$1&amp;" 5:15:00 PM","BarSz=60","BarTp=T","RecurDaily=True","TZ=London","DTS=H"))</f>
        <v>#NAME?</v>
      </c>
      <c r="P59" s="36">
        <f>_xll.BDH($C59&amp;"@CBBT Corp","OPEN",P$1&amp;" 4:15:00 PM",P$1&amp;" 5:15:00 PM","BarSz=60","BarTp=T","RecurDaily=True","TZ=London","DTS=H")</f>
        <v>121.74299999999999</v>
      </c>
      <c r="Q59" s="44">
        <f>_xll.BDP($C59&amp;"@CBBT Corp","YAS_BOND_YLD", "SETTLE_DT="&amp;Q$1, "YAS_BOND_PX="&amp;$N59)</f>
        <v>0.39</v>
      </c>
      <c r="R59" s="44" t="e">
        <f ca="1">_xll.BDP($C59&amp;"@CBBT Corp","YAS_BOND_YLD", "SETTLE_DT="&amp;R$1, "YAS_BOND_PX="&amp;$O59)</f>
        <v>#NAME?</v>
      </c>
      <c r="S59" s="44">
        <f>_xll.BDP($C59&amp;"@CBBT Corp","YAS_BOND_YLD", "SETTLE_DT="&amp;S$1, "YAS_BOND_PX="&amp;$P59)</f>
        <v>0.34100000000000003</v>
      </c>
    </row>
    <row r="60" spans="1:19">
      <c r="A60" s="46" t="str">
        <f t="shared" si="0"/>
        <v>EUR.CM_DEPTH.XLS_ANDREA.FR0011059088</v>
      </c>
      <c r="B60" s="51" t="str">
        <f>_xll.MKV("EUR.CM_INSTRUMENT.PXE."&amp;C60,B$3)</f>
        <v>FRTR</v>
      </c>
      <c r="C60" s="62" t="s">
        <v>568</v>
      </c>
      <c r="D60" s="125">
        <f>_xll.MKV("EUR.CM_INSTRUMENT.PXE."&amp;C60,D$3)</f>
        <v>44494</v>
      </c>
      <c r="E60" s="58">
        <f t="shared" si="1"/>
        <v>-0.10000000000000564</v>
      </c>
      <c r="F60" s="58" t="str">
        <f t="shared" ca="1" si="2"/>
        <v>99</v>
      </c>
      <c r="G60" s="58">
        <f t="shared" si="3"/>
        <v>-0.60000000000000053</v>
      </c>
      <c r="H60" s="46" t="str">
        <f>_xll.MKV_PUBLISHRECORD(A60, $H$4)</f>
        <v>OK</v>
      </c>
      <c r="I60" s="46" t="str">
        <f ca="1">_xll.MKV_SUPPLYRECORD_RANGE(A60,$B$3:$G$3,B60:G60)</f>
        <v>OK</v>
      </c>
      <c r="J60" s="34">
        <f>_xll.MKV($J$1&amp;$C60, J$3)</f>
        <v>-0.34803699999999999</v>
      </c>
      <c r="K60" s="32">
        <f>_xll.MKV($L$2&amp;$C60, K$3)</f>
        <v>-0.34700000000000003</v>
      </c>
      <c r="L60" s="35">
        <f>_xll.MKV($L$2&amp;$C60, L$3)</f>
        <v>118.3</v>
      </c>
      <c r="M60" s="32">
        <f t="shared" si="4"/>
        <v>-1.1000000000009891E-2</v>
      </c>
      <c r="N60" s="36">
        <f>_xll.BDH(C60&amp;"@CBBT Corp","OPEN",$N$1&amp;" 4:15:00 PM",$N$1&amp;" 5:15:00 PM","BarSz=60","BarTp=T","RecurDaily=True","TZ=London","DTS=H")</f>
        <v>118.31100000000001</v>
      </c>
      <c r="O60" s="36" t="e">
        <f ca="1">[1]!BError(_xll.BDH($C60&amp;"@CBBT Corp","OPEN",$O$1&amp;" 4:15:00 PM",$O$1&amp;" 5:15:00 PM","BarSz=60","BarTp=T","RecurDaily=True","TZ=London","DTS=H"))</f>
        <v>#NAME?</v>
      </c>
      <c r="P60" s="36">
        <f>_xll.BDH($C60&amp;"@CBBT Corp","OPEN",P$1&amp;" 4:15:00 PM",P$1&amp;" 5:15:00 PM","BarSz=60","BarTp=T","RecurDaily=True","TZ=London","DTS=H")</f>
        <v>118.602</v>
      </c>
      <c r="Q60" s="44">
        <f>_xll.BDP($C60&amp;"@CBBT Corp","YAS_BOND_YLD", "SETTLE_DT="&amp;Q$1, "YAS_BOND_PX="&amp;$N60)</f>
        <v>-0.34599999999999997</v>
      </c>
      <c r="R60" s="44" t="e">
        <f ca="1">_xll.BDP($C60&amp;"@CBBT Corp","YAS_BOND_YLD", "SETTLE_DT="&amp;R$1, "YAS_BOND_PX="&amp;$O60)</f>
        <v>#NAME?</v>
      </c>
      <c r="S60" s="44">
        <f>_xll.BDP($C60&amp;"@CBBT Corp","YAS_BOND_YLD", "SETTLE_DT="&amp;S$1, "YAS_BOND_PX="&amp;$P60)</f>
        <v>-0.34100000000000003</v>
      </c>
    </row>
    <row r="61" spans="1:19">
      <c r="A61" s="46" t="str">
        <f t="shared" ref="A61" si="15">$A$4 &amp; ".CM_DEPTH."&amp; $H$4 &amp; "." &amp; C61</f>
        <v>EUR.CM_DEPTH.XLS_ANDREA.IT0005216491</v>
      </c>
      <c r="B61" s="51" t="str">
        <f>_xll.MKV("EUR.CM_INSTRUMENT.PXE."&amp;C61,B$3)</f>
        <v>BTPS</v>
      </c>
      <c r="C61" s="62" t="s">
        <v>758</v>
      </c>
      <c r="D61" s="125">
        <f>_xll.MKV("EUR.CM_INSTRUMENT.PXE."&amp;C61,D$3)</f>
        <v>44501</v>
      </c>
      <c r="E61" s="58">
        <f t="shared" ref="E61" si="16">IFERROR(($K61-Q61)*100,"99")</f>
        <v>0.80000000000000071</v>
      </c>
      <c r="F61" s="58" t="str">
        <f t="shared" ref="F61" ca="1" si="17">IFERROR(($K61-R61)*100,"99")</f>
        <v>99</v>
      </c>
      <c r="G61" s="58" t="str">
        <f t="shared" ref="G61" si="18">IFERROR(($K61-S61)*100,"99")</f>
        <v>99</v>
      </c>
      <c r="H61" s="46" t="str">
        <f>_xll.MKV_PUBLISHRECORD(A61, $H$4)</f>
        <v>OK</v>
      </c>
      <c r="I61" s="46" t="str">
        <f ca="1">_xll.MKV_SUPPLYRECORD_RANGE(A61,$B$3:$G$3,B61:G61)</f>
        <v>OK</v>
      </c>
      <c r="J61" s="34">
        <f>_xll.MKV($J$1&amp;$C61, J$3)</f>
        <v>0.42918499999999998</v>
      </c>
      <c r="K61" s="32">
        <f>_xll.MKV($L$2&amp;$C61, K$3)</f>
        <v>0.439</v>
      </c>
      <c r="L61" s="35">
        <f>_xll.MKV($L$2&amp;$C61, L$3)</f>
        <v>99.606999999999999</v>
      </c>
      <c r="M61" s="32">
        <f t="shared" ref="M61" si="19">L61-N61</f>
        <v>7.0000000000050022E-3</v>
      </c>
      <c r="N61" s="36">
        <f>_xll.BDH(C61&amp;"@CBBT Corp","OPEN",$N$1&amp;" 4:15:00 PM",$N$1&amp;" 5:15:00 PM","BarSz=60","BarTp=T","RecurDaily=True","TZ=London","DTS=H")</f>
        <v>99.6</v>
      </c>
      <c r="O61" s="36" t="e">
        <f ca="1">[1]!BError(_xll.BDH($C61&amp;"@CBBT Corp","OPEN",$O$1&amp;" 4:15:00 PM",$O$1&amp;" 5:15:00 PM","BarSz=60","BarTp=T","RecurDaily=True","TZ=London","DTS=H"))</f>
        <v>#NAME?</v>
      </c>
      <c r="P61" s="36" t="str">
        <f>_xll.BDH($C61&amp;"@CBBT Corp","OPEN",P$1&amp;" 4:15:00 PM",P$1&amp;" 5:15:00 PM","BarSz=60","BarTp=T","RecurDaily=True","TZ=London","DTS=H")</f>
        <v>#N/A N/A</v>
      </c>
      <c r="Q61" s="44">
        <f>_xll.BDP($C61&amp;"@CBBT Corp","YAS_BOND_YLD", "SETTLE_DT="&amp;Q$1, "YAS_BOND_PX="&amp;$N61)</f>
        <v>0.43099999999999999</v>
      </c>
      <c r="R61" s="44" t="e">
        <f ca="1">_xll.BDP($C61&amp;"@CBBT Corp","YAS_BOND_YLD", "SETTLE_DT="&amp;R$1, "YAS_BOND_PX="&amp;$O61)</f>
        <v>#NAME?</v>
      </c>
      <c r="S61" s="44" t="str">
        <f>_xll.BDP($C61&amp;"@CBBT Corp","YAS_BOND_YLD", "SETTLE_DT="&amp;S$1, "YAS_BOND_PX="&amp;$P61)</f>
        <v>#N/A Invalid Override</v>
      </c>
    </row>
    <row r="62" spans="1:19">
      <c r="A62" s="46" t="str">
        <f t="shared" si="0"/>
        <v>EUR.CM_DEPTH.XLS_ANDREA.IT0005028003</v>
      </c>
      <c r="B62" s="51" t="str">
        <f>_xll.MKV("EUR.CM_INSTRUMENT.PXE."&amp;C62,B$3)</f>
        <v>BTPS</v>
      </c>
      <c r="C62" s="61" t="s">
        <v>453</v>
      </c>
      <c r="D62" s="125">
        <f>_xll.MKV("EUR.CM_INSTRUMENT.PXE."&amp;C62,D$3)</f>
        <v>44545</v>
      </c>
      <c r="E62" s="58">
        <f t="shared" si="1"/>
        <v>0.70000000000000062</v>
      </c>
      <c r="F62" s="58" t="str">
        <f t="shared" ca="1" si="2"/>
        <v>99</v>
      </c>
      <c r="G62" s="58">
        <f t="shared" si="3"/>
        <v>5.7000000000000046</v>
      </c>
      <c r="H62" s="46" t="str">
        <f>_xll.MKV_PUBLISHRECORD(A62, $H$4)</f>
        <v>OK</v>
      </c>
      <c r="I62" s="46" t="str">
        <f ca="1">_xll.MKV_SUPPLYRECORD_RANGE(A62,$B$3:$G$3,B62:G62)</f>
        <v>OK</v>
      </c>
      <c r="J62" s="34">
        <f>_xll.MKV($J$1&amp;$C62, J$3)</f>
        <v>0.45989000000000002</v>
      </c>
      <c r="K62" s="32">
        <f>_xll.MKV($L$2&amp;$C62, K$3)</f>
        <v>0.47000000000000003</v>
      </c>
      <c r="L62" s="35">
        <f>_xll.MKV($L$2&amp;$C62, L$3)</f>
        <v>108.631</v>
      </c>
      <c r="M62" s="32">
        <f t="shared" si="4"/>
        <v>9.0000000000003411E-3</v>
      </c>
      <c r="N62" s="36">
        <f>_xll.BDH(C62&amp;"@CBBT Corp","OPEN",$N$1&amp;" 4:15:00 PM",$N$1&amp;" 5:15:00 PM","BarSz=60","BarTp=T","RecurDaily=True","TZ=London","DTS=H")</f>
        <v>108.622</v>
      </c>
      <c r="O62" s="36" t="e">
        <f ca="1">[1]!BError(_xll.BDH($C62&amp;"@CBBT Corp","OPEN",$O$1&amp;" 4:15:00 PM",$O$1&amp;" 5:15:00 PM","BarSz=60","BarTp=T","RecurDaily=True","TZ=London","DTS=H"))</f>
        <v>#NAME?</v>
      </c>
      <c r="P62" s="36">
        <f>_xll.BDH($C62&amp;"@CBBT Corp","OPEN",P$1&amp;" 4:15:00 PM",P$1&amp;" 5:15:00 PM","BarSz=60","BarTp=T","RecurDaily=True","TZ=London","DTS=H")</f>
        <v>109.04</v>
      </c>
      <c r="Q62" s="44">
        <f>_xll.BDP($C62&amp;"@CBBT Corp","YAS_BOND_YLD", "SETTLE_DT="&amp;Q$1, "YAS_BOND_PX="&amp;$N62)</f>
        <v>0.46300000000000002</v>
      </c>
      <c r="R62" s="44" t="e">
        <f ca="1">_xll.BDP($C62&amp;"@CBBT Corp","YAS_BOND_YLD", "SETTLE_DT="&amp;R$1, "YAS_BOND_PX="&amp;$O62)</f>
        <v>#NAME?</v>
      </c>
      <c r="S62" s="44">
        <f>_xll.BDP($C62&amp;"@CBBT Corp","YAS_BOND_YLD", "SETTLE_DT="&amp;S$1, "YAS_BOND_PX="&amp;$P62)</f>
        <v>0.41299999999999998</v>
      </c>
    </row>
    <row r="63" spans="1:19">
      <c r="A63" s="46" t="str">
        <f t="shared" si="0"/>
        <v>EUR.CM_DEPTH.XLS_ANDREA.IT0004759673</v>
      </c>
      <c r="B63" s="51" t="str">
        <f>_xll.MKV("EUR.CM_INSTRUMENT.PXE."&amp;C63,B$3)</f>
        <v>BTPS</v>
      </c>
      <c r="C63" s="61" t="s">
        <v>454</v>
      </c>
      <c r="D63" s="125">
        <f>_xll.MKV("EUR.CM_INSTRUMENT.PXE."&amp;C63,D$3)</f>
        <v>44621</v>
      </c>
      <c r="E63" s="58">
        <f t="shared" si="1"/>
        <v>0.70000000000000062</v>
      </c>
      <c r="F63" s="58" t="str">
        <f t="shared" ca="1" si="2"/>
        <v>99</v>
      </c>
      <c r="G63" s="58">
        <f t="shared" si="3"/>
        <v>6.0000000000000053</v>
      </c>
      <c r="H63" s="46" t="str">
        <f>_xll.MKV_PUBLISHRECORD(A63, $H$4)</f>
        <v>OK</v>
      </c>
      <c r="I63" s="46" t="str">
        <f ca="1">_xll.MKV_SUPPLYRECORD_RANGE(A63,$B$3:$G$3,B63:G63)</f>
        <v>OK</v>
      </c>
      <c r="J63" s="34">
        <f>_xll.MKV($J$1&amp;$C63, J$3)</f>
        <v>0.52896100000000001</v>
      </c>
      <c r="K63" s="32">
        <f>_xll.MKV($L$2&amp;$C63, K$3)</f>
        <v>0.54100000000000004</v>
      </c>
      <c r="L63" s="35">
        <f>_xll.MKV($L$2&amp;$C63, L$3)</f>
        <v>123.705</v>
      </c>
      <c r="M63" s="32">
        <f t="shared" si="4"/>
        <v>4.9999999999954525E-3</v>
      </c>
      <c r="N63" s="36">
        <f>_xll.BDH(C63&amp;"@CBBT Corp","OPEN",$N$1&amp;" 4:15:00 PM",$N$1&amp;" 5:15:00 PM","BarSz=60","BarTp=T","RecurDaily=True","TZ=London","DTS=H")</f>
        <v>123.7</v>
      </c>
      <c r="O63" s="36" t="e">
        <f ca="1">[1]!BError(_xll.BDH($C63&amp;"@CBBT Corp","OPEN",$O$1&amp;" 4:15:00 PM",$O$1&amp;" 5:15:00 PM","BarSz=60","BarTp=T","RecurDaily=True","TZ=London","DTS=H"))</f>
        <v>#NAME?</v>
      </c>
      <c r="P63" s="36">
        <f>_xll.BDH($C63&amp;"@CBBT Corp","OPEN",P$1&amp;" 4:15:00 PM",P$1&amp;" 5:15:00 PM","BarSz=60","BarTp=T","RecurDaily=True","TZ=London","DTS=H")</f>
        <v>124.408</v>
      </c>
      <c r="Q63" s="44">
        <f>_xll.BDP($C63&amp;"@CBBT Corp","YAS_BOND_YLD", "SETTLE_DT="&amp;Q$1, "YAS_BOND_PX="&amp;$N63)</f>
        <v>0.53400000000000003</v>
      </c>
      <c r="R63" s="44" t="e">
        <f ca="1">_xll.BDP($C63&amp;"@CBBT Corp","YAS_BOND_YLD", "SETTLE_DT="&amp;R$1, "YAS_BOND_PX="&amp;$O63)</f>
        <v>#NAME?</v>
      </c>
      <c r="S63" s="44">
        <f>_xll.BDP($C63&amp;"@CBBT Corp","YAS_BOND_YLD", "SETTLE_DT="&amp;S$1, "YAS_BOND_PX="&amp;$P63)</f>
        <v>0.48099999999999998</v>
      </c>
    </row>
    <row r="64" spans="1:19">
      <c r="A64" s="46" t="str">
        <f t="shared" si="0"/>
        <v>EUR.CM_DEPTH.XLS_ANDREA.IT0005086886</v>
      </c>
      <c r="B64" s="51" t="str">
        <f>_xll.MKV("EUR.CM_INSTRUMENT.PXE."&amp;C64,B$3)</f>
        <v>BTPS</v>
      </c>
      <c r="C64" s="61" t="s">
        <v>455</v>
      </c>
      <c r="D64" s="125">
        <f>_xll.MKV("EUR.CM_INSTRUMENT.PXE."&amp;C64,D$3)</f>
        <v>44666</v>
      </c>
      <c r="E64" s="58">
        <f t="shared" si="1"/>
        <v>0.80000000000000071</v>
      </c>
      <c r="F64" s="58" t="str">
        <f t="shared" ca="1" si="2"/>
        <v>99</v>
      </c>
      <c r="G64" s="58">
        <f t="shared" si="3"/>
        <v>7.300000000000006</v>
      </c>
      <c r="H64" s="46" t="str">
        <f>_xll.MKV_PUBLISHRECORD(A64, $H$4)</f>
        <v>OK</v>
      </c>
      <c r="I64" s="46" t="str">
        <f ca="1">_xll.MKV_SUPPLYRECORD_RANGE(A64,$B$3:$G$3,B64:G64)</f>
        <v>OK</v>
      </c>
      <c r="J64" s="34">
        <f>_xll.MKV($J$1&amp;$C64, J$3)</f>
        <v>0.547427</v>
      </c>
      <c r="K64" s="32">
        <f>_xll.MKV($L$2&amp;$C64, K$3)</f>
        <v>0.55700000000000005</v>
      </c>
      <c r="L64" s="35">
        <f>_xll.MKV($L$2&amp;$C64, L$3)</f>
        <v>104.345</v>
      </c>
      <c r="M64" s="32">
        <f t="shared" si="4"/>
        <v>7.0000000000050022E-3</v>
      </c>
      <c r="N64" s="36">
        <f>_xll.BDH(C64&amp;"@CBBT Corp","OPEN",$N$1&amp;" 4:15:00 PM",$N$1&amp;" 5:15:00 PM","BarSz=60","BarTp=T","RecurDaily=True","TZ=London","DTS=H")</f>
        <v>104.33799999999999</v>
      </c>
      <c r="O64" s="36" t="e">
        <f ca="1">[1]!BError(_xll.BDH($C64&amp;"@CBBT Corp","OPEN",$O$1&amp;" 4:15:00 PM",$O$1&amp;" 5:15:00 PM","BarSz=60","BarTp=T","RecurDaily=True","TZ=London","DTS=H"))</f>
        <v>#NAME?</v>
      </c>
      <c r="P64" s="36">
        <f>_xll.BDH($C64&amp;"@CBBT Corp","OPEN",P$1&amp;" 4:15:00 PM",P$1&amp;" 5:15:00 PM","BarSz=60","BarTp=T","RecurDaily=True","TZ=London","DTS=H")</f>
        <v>104.77500000000001</v>
      </c>
      <c r="Q64" s="44">
        <f>_xll.BDP($C64&amp;"@CBBT Corp","YAS_BOND_YLD", "SETTLE_DT="&amp;Q$1, "YAS_BOND_PX="&amp;$N64)</f>
        <v>0.54900000000000004</v>
      </c>
      <c r="R64" s="44" t="e">
        <f ca="1">_xll.BDP($C64&amp;"@CBBT Corp","YAS_BOND_YLD", "SETTLE_DT="&amp;R$1, "YAS_BOND_PX="&amp;$O64)</f>
        <v>#NAME?</v>
      </c>
      <c r="S64" s="44">
        <f>_xll.BDP($C64&amp;"@CBBT Corp","YAS_BOND_YLD", "SETTLE_DT="&amp;S$1, "YAS_BOND_PX="&amp;$P64)</f>
        <v>0.48399999999999999</v>
      </c>
    </row>
    <row r="65" spans="1:19">
      <c r="A65" s="46" t="str">
        <f t="shared" si="0"/>
        <v>EUR.CM_DEPTH.XLS_ANDREA.FR0011196856</v>
      </c>
      <c r="B65" s="51" t="str">
        <f>_xll.MKV("EUR.CM_INSTRUMENT.PXE."&amp;C65,B$3)</f>
        <v>FRTR</v>
      </c>
      <c r="C65" s="62" t="s">
        <v>571</v>
      </c>
      <c r="D65" s="125">
        <f>_xll.MKV("EUR.CM_INSTRUMENT.PXE."&amp;C65,D$3)</f>
        <v>44676</v>
      </c>
      <c r="E65" s="58">
        <f t="shared" si="1"/>
        <v>-0.10000000000000009</v>
      </c>
      <c r="F65" s="58" t="str">
        <f t="shared" ca="1" si="2"/>
        <v>99</v>
      </c>
      <c r="G65" s="58">
        <f t="shared" si="3"/>
        <v>-0.60000000000000053</v>
      </c>
      <c r="H65" s="46" t="str">
        <f>_xll.MKV_PUBLISHRECORD(A65, $H$4)</f>
        <v>OK</v>
      </c>
      <c r="I65" s="46" t="str">
        <f ca="1">_xll.MKV_SUPPLYRECORD_RANGE(A65,$B$3:$G$3,B65:G65)</f>
        <v>OK</v>
      </c>
      <c r="J65" s="34">
        <f>_xll.MKV($J$1&amp;$C65, J$3)</f>
        <v>-0.31608700000000001</v>
      </c>
      <c r="K65" s="32">
        <f>_xll.MKV($L$2&amp;$C65, K$3)</f>
        <v>-0.314</v>
      </c>
      <c r="L65" s="35">
        <f>_xll.MKV($L$2&amp;$C65, L$3)</f>
        <v>118.535</v>
      </c>
      <c r="M65" s="32">
        <f t="shared" si="4"/>
        <v>0</v>
      </c>
      <c r="N65" s="36">
        <f>_xll.BDH(C65&amp;"@CBBT Corp","OPEN",$N$1&amp;" 4:15:00 PM",$N$1&amp;" 5:15:00 PM","BarSz=60","BarTp=T","RecurDaily=True","TZ=London","DTS=H")</f>
        <v>118.535</v>
      </c>
      <c r="O65" s="36" t="e">
        <f ca="1">[1]!BError(_xll.BDH($C65&amp;"@CBBT Corp","OPEN",$O$1&amp;" 4:15:00 PM",$O$1&amp;" 5:15:00 PM","BarSz=60","BarTp=T","RecurDaily=True","TZ=London","DTS=H"))</f>
        <v>#NAME?</v>
      </c>
      <c r="P65" s="36">
        <f>_xll.BDH($C65&amp;"@CBBT Corp","OPEN",P$1&amp;" 4:15:00 PM",P$1&amp;" 5:15:00 PM","BarSz=60","BarTp=T","RecurDaily=True","TZ=London","DTS=H")</f>
        <v>118.801</v>
      </c>
      <c r="Q65" s="44">
        <f>_xll.BDP($C65&amp;"@CBBT Corp","YAS_BOND_YLD", "SETTLE_DT="&amp;Q$1, "YAS_BOND_PX="&amp;$N65)</f>
        <v>-0.313</v>
      </c>
      <c r="R65" s="44" t="e">
        <f ca="1">_xll.BDP($C65&amp;"@CBBT Corp","YAS_BOND_YLD", "SETTLE_DT="&amp;R$1, "YAS_BOND_PX="&amp;$O65)</f>
        <v>#NAME?</v>
      </c>
      <c r="S65" s="44">
        <f>_xll.BDP($C65&amp;"@CBBT Corp","YAS_BOND_YLD", "SETTLE_DT="&amp;S$1, "YAS_BOND_PX="&amp;$P65)</f>
        <v>-0.308</v>
      </c>
    </row>
    <row r="66" spans="1:19">
      <c r="A66" s="46" t="str">
        <f t="shared" si="0"/>
        <v>EUR.CM_DEPTH.XLS_ANDREA.IT0004801541</v>
      </c>
      <c r="B66" s="51" t="str">
        <f>_xll.MKV("EUR.CM_INSTRUMENT.PXE."&amp;C66,B$3)</f>
        <v>BTPS</v>
      </c>
      <c r="C66" s="61" t="s">
        <v>456</v>
      </c>
      <c r="D66" s="125">
        <f>_xll.MKV("EUR.CM_INSTRUMENT.PXE."&amp;C66,D$3)</f>
        <v>44805</v>
      </c>
      <c r="E66" s="58">
        <f t="shared" si="1"/>
        <v>0.60000000000000053</v>
      </c>
      <c r="F66" s="58" t="str">
        <f t="shared" ca="1" si="2"/>
        <v>99</v>
      </c>
      <c r="G66" s="58">
        <f t="shared" si="3"/>
        <v>6.5999999999999943</v>
      </c>
      <c r="H66" s="46" t="str">
        <f>_xll.MKV_PUBLISHRECORD(A66, $H$4)</f>
        <v>OK</v>
      </c>
      <c r="I66" s="46" t="str">
        <f ca="1">_xll.MKV_SUPPLYRECORD_RANGE(A66,$B$3:$G$3,B66:G66)</f>
        <v>OK</v>
      </c>
      <c r="J66" s="34">
        <f>_xll.MKV($J$1&amp;$C66, J$3)</f>
        <v>0.60645300000000002</v>
      </c>
      <c r="K66" s="32">
        <f>_xll.MKV($L$2&amp;$C66, K$3)</f>
        <v>0.61699999999999999</v>
      </c>
      <c r="L66" s="35">
        <f>_xll.MKV($L$2&amp;$C66, L$3)</f>
        <v>128.249</v>
      </c>
      <c r="M66" s="32">
        <f t="shared" si="4"/>
        <v>7.0000000000050022E-3</v>
      </c>
      <c r="N66" s="36">
        <f>_xll.BDH(C66&amp;"@CBBT Corp","OPEN",$N$1&amp;" 4:15:00 PM",$N$1&amp;" 5:15:00 PM","BarSz=60","BarTp=T","RecurDaily=True","TZ=London","DTS=H")</f>
        <v>128.24199999999999</v>
      </c>
      <c r="O66" s="36" t="e">
        <f ca="1">[1]!BError(_xll.BDH($C66&amp;"@CBBT Corp","OPEN",$O$1&amp;" 4:15:00 PM",$O$1&amp;" 5:15:00 PM","BarSz=60","BarTp=T","RecurDaily=True","TZ=London","DTS=H"))</f>
        <v>#NAME?</v>
      </c>
      <c r="P66" s="36">
        <f>_xll.BDH($C66&amp;"@CBBT Corp","OPEN",P$1&amp;" 4:15:00 PM",P$1&amp;" 5:15:00 PM","BarSz=60","BarTp=T","RecurDaily=True","TZ=London","DTS=H")</f>
        <v>129.07</v>
      </c>
      <c r="Q66" s="44">
        <f>_xll.BDP($C66&amp;"@CBBT Corp","YAS_BOND_YLD", "SETTLE_DT="&amp;Q$1, "YAS_BOND_PX="&amp;$N66)</f>
        <v>0.61099999999999999</v>
      </c>
      <c r="R66" s="44" t="e">
        <f ca="1">_xll.BDP($C66&amp;"@CBBT Corp","YAS_BOND_YLD", "SETTLE_DT="&amp;R$1, "YAS_BOND_PX="&amp;$O66)</f>
        <v>#NAME?</v>
      </c>
      <c r="S66" s="44">
        <f>_xll.BDP($C66&amp;"@CBBT Corp","YAS_BOND_YLD", "SETTLE_DT="&amp;S$1, "YAS_BOND_PX="&amp;$P66)</f>
        <v>0.55100000000000005</v>
      </c>
    </row>
    <row r="67" spans="1:19">
      <c r="A67" s="46" t="str">
        <f t="shared" si="0"/>
        <v>EUR.CM_DEPTH.XLS_ANDREA.IT0005135840</v>
      </c>
      <c r="B67" s="51" t="str">
        <f>_xll.MKV("EUR.CM_INSTRUMENT.PXE."&amp;C67,B$3)</f>
        <v>BTPS</v>
      </c>
      <c r="C67" s="61" t="s">
        <v>662</v>
      </c>
      <c r="D67" s="125">
        <f>_xll.MKV("EUR.CM_INSTRUMENT.PXE."&amp;C67,D$3)</f>
        <v>44819</v>
      </c>
      <c r="E67" s="58">
        <f t="shared" si="1"/>
        <v>0.9000000000000008</v>
      </c>
      <c r="F67" s="58" t="str">
        <f t="shared" ca="1" si="2"/>
        <v>99</v>
      </c>
      <c r="G67" s="58">
        <f t="shared" si="3"/>
        <v>7.6999999999999957</v>
      </c>
      <c r="H67" s="46" t="str">
        <f>_xll.MKV_PUBLISHRECORD(A67, $H$4)</f>
        <v>OK</v>
      </c>
      <c r="I67" s="46" t="str">
        <f ca="1">_xll.MKV_SUPPLYRECORD_RANGE(A67,$B$3:$G$3,B67:G67)</f>
        <v>OK</v>
      </c>
      <c r="J67" s="34">
        <f>_xll.MKV($J$1&amp;$C67, J$3)</f>
        <v>0.62855700000000003</v>
      </c>
      <c r="K67" s="32">
        <f>_xll.MKV($L$2&amp;$C67, K$3)</f>
        <v>0.63900000000000001</v>
      </c>
      <c r="L67" s="35">
        <f>_xll.MKV($L$2&amp;$C67, L$3)</f>
        <v>104.774</v>
      </c>
      <c r="M67" s="32">
        <f t="shared" si="4"/>
        <v>6.0000000000002274E-3</v>
      </c>
      <c r="N67" s="36">
        <f>_xll.BDH(C67&amp;"@CBBT Corp","OPEN",$N$1&amp;" 4:15:00 PM",$N$1&amp;" 5:15:00 PM","BarSz=60","BarTp=T","RecurDaily=True","TZ=London","DTS=H")</f>
        <v>104.768</v>
      </c>
      <c r="O67" s="36" t="e">
        <f ca="1">[1]!BError(_xll.BDH($C67&amp;"@CBBT Corp","OPEN",$O$1&amp;" 4:15:00 PM",$O$1&amp;" 5:15:00 PM","BarSz=60","BarTp=T","RecurDaily=True","TZ=London","DTS=H"))</f>
        <v>#NAME?</v>
      </c>
      <c r="P67" s="36">
        <f>_xll.BDH($C67&amp;"@CBBT Corp","OPEN",P$1&amp;" 4:15:00 PM",P$1&amp;" 5:15:00 PM","BarSz=60","BarTp=T","RecurDaily=True","TZ=London","DTS=H")</f>
        <v>105.253</v>
      </c>
      <c r="Q67" s="44">
        <f>_xll.BDP($C67&amp;"@CBBT Corp","YAS_BOND_YLD", "SETTLE_DT="&amp;Q$1, "YAS_BOND_PX="&amp;$N67)</f>
        <v>0.63</v>
      </c>
      <c r="R67" s="44" t="e">
        <f ca="1">_xll.BDP($C67&amp;"@CBBT Corp","YAS_BOND_YLD", "SETTLE_DT="&amp;R$1, "YAS_BOND_PX="&amp;$O67)</f>
        <v>#NAME?</v>
      </c>
      <c r="S67" s="44">
        <f>_xll.BDP($C67&amp;"@CBBT Corp","YAS_BOND_YLD", "SETTLE_DT="&amp;S$1, "YAS_BOND_PX="&amp;$P67)</f>
        <v>0.56200000000000006</v>
      </c>
    </row>
    <row r="68" spans="1:19">
      <c r="A68" s="46" t="str">
        <f t="shared" si="0"/>
        <v>EUR.CM_DEPTH.XLS_ANDREA.FR0011337880</v>
      </c>
      <c r="B68" s="51" t="str">
        <f>_xll.MKV("EUR.CM_INSTRUMENT.PXE."&amp;C68,B$3)</f>
        <v>FRTR</v>
      </c>
      <c r="C68" s="62" t="s">
        <v>574</v>
      </c>
      <c r="D68" s="125">
        <f>_xll.MKV("EUR.CM_INSTRUMENT.PXE."&amp;C68,D$3)</f>
        <v>44859</v>
      </c>
      <c r="E68" s="58">
        <f t="shared" si="1"/>
        <v>0</v>
      </c>
      <c r="F68" s="58" t="str">
        <f t="shared" ca="1" si="2"/>
        <v>99</v>
      </c>
      <c r="G68" s="58">
        <f t="shared" si="3"/>
        <v>0.10000000000000009</v>
      </c>
      <c r="H68" s="46" t="str">
        <f>_xll.MKV_PUBLISHRECORD(A68, $H$4)</f>
        <v>OK</v>
      </c>
      <c r="I68" s="46" t="str">
        <f ca="1">_xll.MKV_SUPPLYRECORD_RANGE(A68,$B$3:$G$3,B68:G68)</f>
        <v>OK</v>
      </c>
      <c r="J68" s="34">
        <f>_xll.MKV($J$1&amp;$C68, J$3)</f>
        <v>-0.261992</v>
      </c>
      <c r="K68" s="32">
        <f>_xll.MKV($L$2&amp;$C68, K$3)</f>
        <v>-0.26</v>
      </c>
      <c r="L68" s="35">
        <f>_xll.MKV($L$2&amp;$C68, L$3)</f>
        <v>115.295</v>
      </c>
      <c r="M68" s="32">
        <f t="shared" si="4"/>
        <v>1.0000000000047748E-3</v>
      </c>
      <c r="N68" s="36">
        <f>_xll.BDH(C68&amp;"@CBBT Corp","OPEN",$N$1&amp;" 4:15:00 PM",$N$1&amp;" 5:15:00 PM","BarSz=60","BarTp=T","RecurDaily=True","TZ=London","DTS=H")</f>
        <v>115.294</v>
      </c>
      <c r="O68" s="36" t="e">
        <f ca="1">[1]!BError(_xll.BDH($C68&amp;"@CBBT Corp","OPEN",$O$1&amp;" 4:15:00 PM",$O$1&amp;" 5:15:00 PM","BarSz=60","BarTp=T","RecurDaily=True","TZ=London","DTS=H"))</f>
        <v>#NAME?</v>
      </c>
      <c r="P68" s="36">
        <f>_xll.BDH($C68&amp;"@CBBT Corp","OPEN",P$1&amp;" 4:15:00 PM",P$1&amp;" 5:15:00 PM","BarSz=60","BarTp=T","RecurDaily=True","TZ=London","DTS=H")</f>
        <v>115.524</v>
      </c>
      <c r="Q68" s="44">
        <f>_xll.BDP($C68&amp;"@CBBT Corp","YAS_BOND_YLD", "SETTLE_DT="&amp;Q$1, "YAS_BOND_PX="&amp;$N68)</f>
        <v>-0.26</v>
      </c>
      <c r="R68" s="44" t="e">
        <f ca="1">_xll.BDP($C68&amp;"@CBBT Corp","YAS_BOND_YLD", "SETTLE_DT="&amp;R$1, "YAS_BOND_PX="&amp;$O68)</f>
        <v>#NAME?</v>
      </c>
      <c r="S68" s="44">
        <f>_xll.BDP($C68&amp;"@CBBT Corp","YAS_BOND_YLD", "SETTLE_DT="&amp;S$1, "YAS_BOND_PX="&amp;$P68)</f>
        <v>-0.26100000000000001</v>
      </c>
    </row>
    <row r="69" spans="1:19">
      <c r="A69" s="46" t="str">
        <f t="shared" si="0"/>
        <v>EUR.CM_DEPTH.XLS_ANDREA.IT0004848831</v>
      </c>
      <c r="B69" s="51" t="str">
        <f>_xll.MKV("EUR.CM_INSTRUMENT.PXE."&amp;C69,B$3)</f>
        <v>BTPS</v>
      </c>
      <c r="C69" s="61" t="s">
        <v>457</v>
      </c>
      <c r="D69" s="125">
        <f>_xll.MKV("EUR.CM_INSTRUMENT.PXE."&amp;C69,D$3)</f>
        <v>44866</v>
      </c>
      <c r="E69" s="58">
        <f t="shared" si="1"/>
        <v>0.50000000000000044</v>
      </c>
      <c r="F69" s="58" t="str">
        <f t="shared" ca="1" si="2"/>
        <v>99</v>
      </c>
      <c r="G69" s="58">
        <f t="shared" si="3"/>
        <v>8.0000000000000071</v>
      </c>
      <c r="H69" s="46" t="str">
        <f>_xll.MKV_PUBLISHRECORD(A69, $H$4)</f>
        <v>OK</v>
      </c>
      <c r="I69" s="46" t="str">
        <f ca="1">_xll.MKV_SUPPLYRECORD_RANGE(A69,$B$3:$G$3,B69:G69)</f>
        <v>OK</v>
      </c>
      <c r="J69" s="34">
        <f>_xll.MKV($J$1&amp;$C69, J$3)</f>
        <v>0.67272100000000001</v>
      </c>
      <c r="K69" s="32">
        <f>_xll.MKV($L$2&amp;$C69, K$3)</f>
        <v>0.68300000000000005</v>
      </c>
      <c r="L69" s="35">
        <f>_xll.MKV($L$2&amp;$C69, L$3)</f>
        <v>128.58600000000001</v>
      </c>
      <c r="M69" s="32">
        <f t="shared" si="4"/>
        <v>1.1000000000024102E-2</v>
      </c>
      <c r="N69" s="36">
        <f>_xll.BDH(C69&amp;"@CBBT Corp","OPEN",$N$1&amp;" 4:15:00 PM",$N$1&amp;" 5:15:00 PM","BarSz=60","BarTp=T","RecurDaily=True","TZ=London","DTS=H")</f>
        <v>128.57499999999999</v>
      </c>
      <c r="O69" s="36" t="e">
        <f ca="1">[1]!BError(_xll.BDH($C69&amp;"@CBBT Corp","OPEN",$O$1&amp;" 4:15:00 PM",$O$1&amp;" 5:15:00 PM","BarSz=60","BarTp=T","RecurDaily=True","TZ=London","DTS=H"))</f>
        <v>#NAME?</v>
      </c>
      <c r="P69" s="36">
        <f>_xll.BDH($C69&amp;"@CBBT Corp","OPEN",P$1&amp;" 4:15:00 PM",P$1&amp;" 5:15:00 PM","BarSz=60","BarTp=T","RecurDaily=True","TZ=London","DTS=H")</f>
        <v>129.495</v>
      </c>
      <c r="Q69" s="44">
        <f>_xll.BDP($C69&amp;"@CBBT Corp","YAS_BOND_YLD", "SETTLE_DT="&amp;Q$1, "YAS_BOND_PX="&amp;$N69)</f>
        <v>0.67800000000000005</v>
      </c>
      <c r="R69" s="44" t="e">
        <f ca="1">_xll.BDP($C69&amp;"@CBBT Corp","YAS_BOND_YLD", "SETTLE_DT="&amp;R$1, "YAS_BOND_PX="&amp;$O69)</f>
        <v>#NAME?</v>
      </c>
      <c r="S69" s="44">
        <f>_xll.BDP($C69&amp;"@CBBT Corp","YAS_BOND_YLD", "SETTLE_DT="&amp;S$1, "YAS_BOND_PX="&amp;$P69)</f>
        <v>0.60299999999999998</v>
      </c>
    </row>
    <row r="70" spans="1:19">
      <c r="A70" s="46" t="str">
        <f>$A$4 &amp; ".CM_DEPTH."&amp; $H$4 &amp; "." &amp; C70</f>
        <v>EUR.CM_DEPTH.XLS_ANDREA.IT0005172322</v>
      </c>
      <c r="B70" s="51" t="str">
        <f>_xll.MKV("EUR.CM_INSTRUMENT.PXE."&amp;C70,B$3)</f>
        <v>BTPS</v>
      </c>
      <c r="C70" s="61" t="s">
        <v>707</v>
      </c>
      <c r="D70" s="125">
        <f>_xll.MKV("EUR.CM_INSTRUMENT.PXE."&amp;C70,D$3)</f>
        <v>45000</v>
      </c>
      <c r="E70" s="58" t="str">
        <f t="shared" ca="1" si="1"/>
        <v>99</v>
      </c>
      <c r="F70" s="58" t="str">
        <f t="shared" ca="1" si="2"/>
        <v>99</v>
      </c>
      <c r="G70" s="58" t="str">
        <f t="shared" ca="1" si="3"/>
        <v>99</v>
      </c>
      <c r="H70" s="46" t="str">
        <f>_xll.MKV_PUBLISHRECORD(A70, $H$4)</f>
        <v>OK</v>
      </c>
      <c r="I70" s="46" t="str">
        <f ca="1">_xll.MKV_SUPPLYRECORD_RANGE(A70,$B$3:$G$3,B70:G70)</f>
        <v>OK</v>
      </c>
      <c r="J70" s="34">
        <f>_xll.MKV($J$1&amp;$C70, J$3)</f>
        <v>0.75883699999999998</v>
      </c>
      <c r="K70" s="32">
        <f>_xll.MKV($L$2&amp;$C70, K$3)</f>
        <v>0.76900000000000002</v>
      </c>
      <c r="L70" s="35">
        <f>_xll.MKV($L$2&amp;$C70, L$3)</f>
        <v>101.205</v>
      </c>
      <c r="M70" s="32" t="e">
        <f t="shared" ca="1" si="4"/>
        <v>#NAME?</v>
      </c>
      <c r="N70" s="36" t="e">
        <f ca="1">[1]!BError(_xll.BDH(C70&amp;"@CBBT Corp","OPEN",$N$1&amp;" 4:15:00 PM",$N$1&amp;" 5:15:00 PM","BarSz=60","BarTp=T","RecurDaily=True","TZ=London","DTS=H"))</f>
        <v>#NAME?</v>
      </c>
      <c r="O70" s="36" t="e">
        <f ca="1">[1]!BError(_xll.BDH($C70&amp;"@CBBT Corp","OPEN",$O$1&amp;" 4:15:00 PM",$O$1&amp;" 5:15:00 PM","BarSz=60","BarTp=T","RecurDaily=True","TZ=London","DTS=H"))</f>
        <v>#NAME?</v>
      </c>
      <c r="P70" s="36" t="e">
        <f ca="1">[1]!BError(_xll.BDH($C70&amp;"@CBBT Corp","OPEN",P$1&amp;" 4:15:00 PM",P$1&amp;" 5:15:00 PM","BarSz=60","BarTp=T","RecurDaily=True","TZ=London","DTS=H"))</f>
        <v>#NAME?</v>
      </c>
      <c r="Q70" s="44" t="e">
        <f ca="1">[1]!BError(_xll.BDP($C70&amp;"@CBBT Corp","YAS_BOND_YLD", "SETTLE_DT="&amp;Q$1, "YAS_BOND_PX="&amp;$N70))</f>
        <v>#NAME?</v>
      </c>
      <c r="R70" s="44" t="e">
        <f ca="1">[1]!BError(_xll.BDP($C70&amp;"@CBBT Corp","YAS_BOND_YLD", "SETTLE_DT="&amp;R$1, "YAS_BOND_PX="&amp;$O70))</f>
        <v>#NAME?</v>
      </c>
      <c r="S70" s="44" t="e">
        <f ca="1">[1]!BError(_xll.BDP($C70&amp;"@CBBT Corp","YAS_BOND_YLD", "SETTLE_DT="&amp;S$1, "YAS_BOND_PX="&amp;$P70))</f>
        <v>#NAME?</v>
      </c>
    </row>
    <row r="71" spans="1:19">
      <c r="A71" s="46" t="str">
        <f t="shared" si="0"/>
        <v>EUR.CM_DEPTH.XLS_ANDREA.IT0004898034</v>
      </c>
      <c r="B71" s="51" t="str">
        <f>_xll.MKV("EUR.CM_INSTRUMENT.PXE."&amp;C71,B$3)</f>
        <v>BTPS</v>
      </c>
      <c r="C71" s="61" t="s">
        <v>458</v>
      </c>
      <c r="D71" s="125">
        <f>_xll.MKV("EUR.CM_INSTRUMENT.PXE."&amp;C71,D$3)</f>
        <v>45047</v>
      </c>
      <c r="E71" s="58">
        <f t="shared" si="1"/>
        <v>0.70000000000000062</v>
      </c>
      <c r="F71" s="58" t="str">
        <f t="shared" ca="1" si="2"/>
        <v>99</v>
      </c>
      <c r="G71" s="58">
        <f t="shared" si="3"/>
        <v>10.099999999999998</v>
      </c>
      <c r="H71" s="46" t="str">
        <f>_xll.MKV_PUBLISHRECORD(A71, $H$4)</f>
        <v>OK</v>
      </c>
      <c r="I71" s="46" t="str">
        <f ca="1">_xll.MKV_SUPPLYRECORD_RANGE(A71,$B$3:$G$3,B71:G71)</f>
        <v>OK</v>
      </c>
      <c r="J71" s="34">
        <f>_xll.MKV($J$1&amp;$C71, J$3)</f>
        <v>0.77132999999999996</v>
      </c>
      <c r="K71" s="32">
        <f>_xll.MKV($L$2&amp;$C71, K$3)</f>
        <v>0.78100000000000003</v>
      </c>
      <c r="L71" s="35">
        <f>_xll.MKV($L$2&amp;$C71, L$3)</f>
        <v>123.785</v>
      </c>
      <c r="M71" s="32">
        <f t="shared" si="4"/>
        <v>1.9999999999953388E-3</v>
      </c>
      <c r="N71" s="36">
        <f>_xll.BDH(C71&amp;"@CBBT Corp","OPEN",$N$1&amp;" 4:15:00 PM",$N$1&amp;" 5:15:00 PM","BarSz=60","BarTp=T","RecurDaily=True","TZ=London","DTS=H")</f>
        <v>123.783</v>
      </c>
      <c r="O71" s="36" t="e">
        <f ca="1">[1]!BError(_xll.BDH($C71&amp;"@CBBT Corp","OPEN",$O$1&amp;" 4:15:00 PM",$O$1&amp;" 5:15:00 PM","BarSz=60","BarTp=T","RecurDaily=True","TZ=London","DTS=H"))</f>
        <v>#NAME?</v>
      </c>
      <c r="P71" s="36">
        <f>_xll.BDH($C71&amp;"@CBBT Corp","OPEN",P$1&amp;" 4:15:00 PM",P$1&amp;" 5:15:00 PM","BarSz=60","BarTp=T","RecurDaily=True","TZ=London","DTS=H")</f>
        <v>124.78</v>
      </c>
      <c r="Q71" s="44">
        <f>_xll.BDP($C71&amp;"@CBBT Corp","YAS_BOND_YLD", "SETTLE_DT="&amp;Q$1, "YAS_BOND_PX="&amp;$N71)</f>
        <v>0.77400000000000002</v>
      </c>
      <c r="R71" s="44" t="e">
        <f ca="1">_xll.BDP($C71&amp;"@CBBT Corp","YAS_BOND_YLD", "SETTLE_DT="&amp;R$1, "YAS_BOND_PX="&amp;$O71)</f>
        <v>#NAME?</v>
      </c>
      <c r="S71" s="44">
        <f>_xll.BDP($C71&amp;"@CBBT Corp","YAS_BOND_YLD", "SETTLE_DT="&amp;S$1, "YAS_BOND_PX="&amp;$P71)</f>
        <v>0.68</v>
      </c>
    </row>
    <row r="72" spans="1:19">
      <c r="A72" s="46" t="str">
        <f t="shared" si="0"/>
        <v>EUR.CM_DEPTH.XLS_ANDREA.FR0011486067</v>
      </c>
      <c r="B72" s="51" t="str">
        <f>_xll.MKV("EUR.CM_INSTRUMENT.PXE."&amp;C72,B$3)</f>
        <v>FRTR</v>
      </c>
      <c r="C72" s="62" t="s">
        <v>578</v>
      </c>
      <c r="D72" s="125">
        <f>_xll.MKV("EUR.CM_INSTRUMENT.PXE."&amp;C72,D$3)</f>
        <v>45071</v>
      </c>
      <c r="E72" s="58">
        <f t="shared" ref="E72:E142" si="20">IFERROR(($K72-Q72)*100,"99")</f>
        <v>0.10000000000000009</v>
      </c>
      <c r="F72" s="58" t="str">
        <f t="shared" ref="F72:F142" ca="1" si="21">IFERROR(($K72-R72)*100,"99")</f>
        <v>99</v>
      </c>
      <c r="G72" s="58">
        <f t="shared" ref="G72:G142" si="22">IFERROR(($K72-S72)*100,"99")</f>
        <v>0.20000000000000018</v>
      </c>
      <c r="H72" s="46" t="str">
        <f>_xll.MKV_PUBLISHRECORD(A72, $H$4)</f>
        <v>OK</v>
      </c>
      <c r="I72" s="46" t="str">
        <f ca="1">_xll.MKV_SUPPLYRECORD_RANGE(A72,$B$3:$G$3,B72:G72)</f>
        <v>OK</v>
      </c>
      <c r="J72" s="34">
        <f>_xll.MKV($J$1&amp;$C72, J$3)</f>
        <v>-0.19429099999999999</v>
      </c>
      <c r="K72" s="32">
        <f>_xll.MKV($L$2&amp;$C72, K$3)</f>
        <v>-0.192</v>
      </c>
      <c r="L72" s="35">
        <f>_xll.MKV($L$2&amp;$C72, L$3)</f>
        <v>112.955</v>
      </c>
      <c r="M72" s="32">
        <f t="shared" si="4"/>
        <v>-1.9999999999953388E-3</v>
      </c>
      <c r="N72" s="36">
        <f>_xll.BDH(C72&amp;"@CBBT Corp","OPEN",$N$1&amp;" 4:15:00 PM",$N$1&amp;" 5:15:00 PM","BarSz=60","BarTp=T","RecurDaily=True","TZ=London","DTS=H")</f>
        <v>112.95699999999999</v>
      </c>
      <c r="O72" s="36" t="e">
        <f ca="1">[1]!BError(_xll.BDH($C72&amp;"@CBBT Corp","OPEN",$O$1&amp;" 4:15:00 PM",$O$1&amp;" 5:15:00 PM","BarSz=60","BarTp=T","RecurDaily=True","TZ=London","DTS=H"))</f>
        <v>#NAME?</v>
      </c>
      <c r="P72" s="36">
        <f>_xll.BDH($C72&amp;"@CBBT Corp","OPEN",P$1&amp;" 4:15:00 PM",P$1&amp;" 5:15:00 PM","BarSz=60","BarTp=T","RecurDaily=True","TZ=London","DTS=H")</f>
        <v>113.133</v>
      </c>
      <c r="Q72" s="44">
        <f>_xll.BDP($C72&amp;"@CBBT Corp","YAS_BOND_YLD", "SETTLE_DT="&amp;Q$1, "YAS_BOND_PX="&amp;$N72)</f>
        <v>-0.193</v>
      </c>
      <c r="R72" s="44" t="e">
        <f ca="1">_xll.BDP($C72&amp;"@CBBT Corp","YAS_BOND_YLD", "SETTLE_DT="&amp;R$1, "YAS_BOND_PX="&amp;$O72)</f>
        <v>#NAME?</v>
      </c>
      <c r="S72" s="44">
        <f>_xll.BDP($C72&amp;"@CBBT Corp","YAS_BOND_YLD", "SETTLE_DT="&amp;S$1, "YAS_BOND_PX="&amp;$P72)</f>
        <v>-0.19400000000000001</v>
      </c>
    </row>
    <row r="73" spans="1:19">
      <c r="A73" s="46" t="str">
        <f t="shared" si="0"/>
        <v>EUR.CM_DEPTH.XLS_ANDREA.IT0004356843</v>
      </c>
      <c r="B73" s="51" t="str">
        <f>_xll.MKV("EUR.CM_INSTRUMENT.PXE."&amp;C73,B$3)</f>
        <v>BTPS</v>
      </c>
      <c r="C73" s="61" t="s">
        <v>459</v>
      </c>
      <c r="D73" s="125">
        <f>_xll.MKV("EUR.CM_INSTRUMENT.PXE."&amp;C73,D$3)</f>
        <v>45139</v>
      </c>
      <c r="E73" s="58">
        <f t="shared" si="20"/>
        <v>0.80000000000000071</v>
      </c>
      <c r="F73" s="58" t="str">
        <f t="shared" ca="1" si="21"/>
        <v>99</v>
      </c>
      <c r="G73" s="58">
        <f t="shared" si="22"/>
        <v>9.6000000000000085</v>
      </c>
      <c r="H73" s="46" t="str">
        <f>_xll.MKV_PUBLISHRECORD(A73, $H$4)</f>
        <v>OK</v>
      </c>
      <c r="I73" s="46" t="str">
        <f ca="1">_xll.MKV_SUPPLYRECORD_RANGE(A73,$B$3:$G$3,B73:G73)</f>
        <v>OK</v>
      </c>
      <c r="J73" s="34">
        <f>_xll.MKV($J$1&amp;$C73, J$3)</f>
        <v>0.78066199999999997</v>
      </c>
      <c r="K73" s="32">
        <f>_xll.MKV($L$2&amp;$C73, K$3)</f>
        <v>0.79200000000000004</v>
      </c>
      <c r="L73" s="35">
        <f>_xll.MKV($L$2&amp;$C73, L$3)</f>
        <v>126.254</v>
      </c>
      <c r="M73" s="32">
        <f t="shared" ref="M73:M143" si="23">L73-N73</f>
        <v>4.0000000000048885E-3</v>
      </c>
      <c r="N73" s="36">
        <f>_xll.BDH(C73&amp;"@CBBT Corp","OPEN",$N$1&amp;" 4:15:00 PM",$N$1&amp;" 5:15:00 PM","BarSz=60","BarTp=T","RecurDaily=True","TZ=London","DTS=H")</f>
        <v>126.25</v>
      </c>
      <c r="O73" s="36" t="e">
        <f ca="1">[1]!BError(_xll.BDH($C73&amp;"@CBBT Corp","OPEN",$O$1&amp;" 4:15:00 PM",$O$1&amp;" 5:15:00 PM","BarSz=60","BarTp=T","RecurDaily=True","TZ=London","DTS=H"))</f>
        <v>#NAME?</v>
      </c>
      <c r="P73" s="36">
        <f>_xll.BDH($C73&amp;"@CBBT Corp","OPEN",P$1&amp;" 4:15:00 PM",P$1&amp;" 5:15:00 PM","BarSz=60","BarTp=T","RecurDaily=True","TZ=London","DTS=H")</f>
        <v>127.25</v>
      </c>
      <c r="Q73" s="44">
        <f>_xll.BDP($C73&amp;"@CBBT Corp","YAS_BOND_YLD", "SETTLE_DT="&amp;Q$1, "YAS_BOND_PX="&amp;$N73)</f>
        <v>0.78400000000000003</v>
      </c>
      <c r="R73" s="44" t="e">
        <f ca="1">_xll.BDP($C73&amp;"@CBBT Corp","YAS_BOND_YLD", "SETTLE_DT="&amp;R$1, "YAS_BOND_PX="&amp;$O73)</f>
        <v>#NAME?</v>
      </c>
      <c r="S73" s="44">
        <f>_xll.BDP($C73&amp;"@CBBT Corp","YAS_BOND_YLD", "SETTLE_DT="&amp;S$1, "YAS_BOND_PX="&amp;$P73)</f>
        <v>0.69599999999999995</v>
      </c>
    </row>
    <row r="74" spans="1:19">
      <c r="A74" s="46" t="str">
        <f t="shared" ref="A74" si="24">$A$4 &amp; ".CM_DEPTH."&amp; $H$4 &amp; "." &amp; C74</f>
        <v>EUR.CM_DEPTH.XLS_ANDREA.IT0005215246</v>
      </c>
      <c r="B74" s="51" t="str">
        <f>_xll.MKV("EUR.CM_INSTRUMENT.PXE."&amp;C74,B$3)</f>
        <v>BTPS</v>
      </c>
      <c r="C74" s="61" t="s">
        <v>757</v>
      </c>
      <c r="D74" s="125">
        <f>_xll.MKV("EUR.CM_INSTRUMENT.PXE."&amp;C74,D$3)</f>
        <v>45214</v>
      </c>
      <c r="E74" s="58">
        <f t="shared" ref="E74" si="25">IFERROR(($K74-Q74)*100,"99")</f>
        <v>1.100000000000001</v>
      </c>
      <c r="F74" s="58" t="str">
        <f t="shared" ref="F74" ca="1" si="26">IFERROR(($K74-R74)*100,"99")</f>
        <v>99</v>
      </c>
      <c r="G74" s="58" t="str">
        <f t="shared" ref="G74" si="27">IFERROR(($K74-S74)*100,"99")</f>
        <v>99</v>
      </c>
      <c r="H74" s="46" t="str">
        <f>_xll.MKV_PUBLISHRECORD(A74, $H$4)</f>
        <v>OK</v>
      </c>
      <c r="I74" s="46" t="str">
        <f ca="1">_xll.MKV_SUPPLYRECORD_RANGE(A74,$B$3:$G$3,B74:G74)</f>
        <v>OK</v>
      </c>
      <c r="J74" s="34">
        <f>_xll.MKV($J$1&amp;$C74, J$3)</f>
        <v>0.85968699999999998</v>
      </c>
      <c r="K74" s="32">
        <f>_xll.MKV($L$2&amp;$C74, K$3)</f>
        <v>0.86899999999999999</v>
      </c>
      <c r="L74" s="35">
        <f>_xll.MKV($L$2&amp;$C74, L$3)</f>
        <v>98.587450000000004</v>
      </c>
      <c r="M74" s="32">
        <f t="shared" ref="M74" si="28">L74-N74</f>
        <v>-1.0549999999994952E-2</v>
      </c>
      <c r="N74" s="36">
        <f>_xll.BDH(C74&amp;"@CBBT Corp","OPEN",$N$1&amp;" 4:15:00 PM",$N$1&amp;" 5:15:00 PM","BarSz=60","BarTp=T","RecurDaily=True","TZ=London","DTS=H")</f>
        <v>98.597999999999999</v>
      </c>
      <c r="O74" s="36" t="e">
        <f ca="1">[1]!BError(_xll.BDH($C74&amp;"@CBBT Corp","OPEN",$O$1&amp;" 4:15:00 PM",$O$1&amp;" 5:15:00 PM","BarSz=60","BarTp=T","RecurDaily=True","TZ=London","DTS=H"))</f>
        <v>#NAME?</v>
      </c>
      <c r="P74" s="36" t="str">
        <f>_xll.BDH($C74&amp;"@CBBT Corp","OPEN",P$1&amp;" 4:15:00 PM",P$1&amp;" 5:15:00 PM","BarSz=60","BarTp=T","RecurDaily=True","TZ=London","DTS=H")</f>
        <v>#N/A N/A</v>
      </c>
      <c r="Q74" s="44">
        <f>_xll.BDP($C74&amp;"@CBBT Corp","YAS_BOND_YLD", "SETTLE_DT="&amp;Q$1, "YAS_BOND_PX="&amp;$N74)</f>
        <v>0.85799999999999998</v>
      </c>
      <c r="R74" s="44" t="e">
        <f ca="1">_xll.BDP($C74&amp;"@CBBT Corp","YAS_BOND_YLD", "SETTLE_DT="&amp;R$1, "YAS_BOND_PX="&amp;$O74)</f>
        <v>#NAME?</v>
      </c>
      <c r="S74" s="44" t="str">
        <f>_xll.BDP($C74&amp;"@CBBT Corp","YAS_BOND_YLD", "SETTLE_DT="&amp;S$1, "YAS_BOND_PX="&amp;$P74)</f>
        <v>#N/A Invalid Override</v>
      </c>
    </row>
    <row r="75" spans="1:19">
      <c r="A75" s="46" t="str">
        <f t="shared" ref="A75:A145" si="29">$A$4 &amp; ".CM_DEPTH."&amp; $H$4 &amp; "." &amp; C75</f>
        <v>EUR.CM_DEPTH.XLS_ANDREA.FR0010466938</v>
      </c>
      <c r="B75" s="51" t="str">
        <f>_xll.MKV("EUR.CM_INSTRUMENT.PXE."&amp;C75,B$3)</f>
        <v>FRTR</v>
      </c>
      <c r="C75" s="62" t="s">
        <v>581</v>
      </c>
      <c r="D75" s="125">
        <f>_xll.MKV("EUR.CM_INSTRUMENT.PXE."&amp;C75,D$3)</f>
        <v>45224</v>
      </c>
      <c r="E75" s="58">
        <f t="shared" si="20"/>
        <v>-0.10000000000000009</v>
      </c>
      <c r="F75" s="58" t="str">
        <f t="shared" ca="1" si="21"/>
        <v>99</v>
      </c>
      <c r="G75" s="58">
        <f t="shared" si="22"/>
        <v>-0.79999999999999793</v>
      </c>
      <c r="H75" s="46" t="str">
        <f>_xll.MKV_PUBLISHRECORD(A75, $H$4)</f>
        <v>OK</v>
      </c>
      <c r="I75" s="46" t="str">
        <f ca="1">_xll.MKV_SUPPLYRECORD_RANGE(A75,$B$3:$G$3,B75:G75)</f>
        <v>OK</v>
      </c>
      <c r="J75" s="34">
        <f>_xll.MKV($J$1&amp;$C75, J$3)</f>
        <v>-0.18038000000000001</v>
      </c>
      <c r="K75" s="32">
        <f>_xll.MKV($L$2&amp;$C75, K$3)</f>
        <v>-0.17799999999999999</v>
      </c>
      <c r="L75" s="35">
        <f>_xll.MKV($L$2&amp;$C75, L$3)</f>
        <v>131.38499999999999</v>
      </c>
      <c r="M75" s="32">
        <f t="shared" si="23"/>
        <v>1.0000000000047748E-3</v>
      </c>
      <c r="N75" s="36">
        <f>_xll.BDH(C75&amp;"@CBBT Corp","OPEN",$N$1&amp;" 4:15:00 PM",$N$1&amp;" 5:15:00 PM","BarSz=60","BarTp=T","RecurDaily=True","TZ=London","DTS=H")</f>
        <v>131.38399999999999</v>
      </c>
      <c r="O75" s="36" t="e">
        <f ca="1">[1]!BError(_xll.BDH($C75&amp;"@CBBT Corp","OPEN",$O$1&amp;" 4:15:00 PM",$O$1&amp;" 5:15:00 PM","BarSz=60","BarTp=T","RecurDaily=True","TZ=London","DTS=H"))</f>
        <v>#NAME?</v>
      </c>
      <c r="P75" s="36">
        <f>_xll.BDH($C75&amp;"@CBBT Corp","OPEN",P$1&amp;" 4:15:00 PM",P$1&amp;" 5:15:00 PM","BarSz=60","BarTp=T","RecurDaily=True","TZ=London","DTS=H")</f>
        <v>131.71700000000001</v>
      </c>
      <c r="Q75" s="44">
        <f>_xll.BDP($C75&amp;"@CBBT Corp","YAS_BOND_YLD", "SETTLE_DT="&amp;Q$1, "YAS_BOND_PX="&amp;$N75)</f>
        <v>-0.17699999999999999</v>
      </c>
      <c r="R75" s="44" t="e">
        <f ca="1">_xll.BDP($C75&amp;"@CBBT Corp","YAS_BOND_YLD", "SETTLE_DT="&amp;R$1, "YAS_BOND_PX="&amp;$O75)</f>
        <v>#NAME?</v>
      </c>
      <c r="S75" s="44">
        <f>_xll.BDP($C75&amp;"@CBBT Corp","YAS_BOND_YLD", "SETTLE_DT="&amp;S$1, "YAS_BOND_PX="&amp;$P75)</f>
        <v>-0.17</v>
      </c>
    </row>
    <row r="76" spans="1:19">
      <c r="A76" s="46" t="str">
        <f t="shared" si="29"/>
        <v>EUR.CM_DEPTH.XLS_ANDREA.IT0000366655</v>
      </c>
      <c r="B76" s="51" t="str">
        <f>_xll.MKV("EUR.CM_INSTRUMENT.PXE."&amp;C76,B$3)</f>
        <v>BTPS</v>
      </c>
      <c r="C76" s="61" t="s">
        <v>460</v>
      </c>
      <c r="D76" s="125">
        <f>_xll.MKV("EUR.CM_INSTRUMENT.PXE."&amp;C76,D$3)</f>
        <v>45231</v>
      </c>
      <c r="E76" s="58">
        <f t="shared" si="20"/>
        <v>0.40000000000000036</v>
      </c>
      <c r="F76" s="58" t="str">
        <f t="shared" ca="1" si="21"/>
        <v>99</v>
      </c>
      <c r="G76" s="58">
        <f t="shared" si="22"/>
        <v>6.5999999999999943</v>
      </c>
      <c r="H76" s="46" t="str">
        <f>_xll.MKV_PUBLISHRECORD(A76, $H$4)</f>
        <v>OK</v>
      </c>
      <c r="I76" s="46" t="str">
        <f ca="1">_xll.MKV_SUPPLYRECORD_RANGE(A76,$B$3:$G$3,B76:G76)</f>
        <v>OK</v>
      </c>
      <c r="J76" s="34">
        <f>_xll.MKV($J$1&amp;$C76, J$3)</f>
        <v>0.85360100000000005</v>
      </c>
      <c r="K76" s="32">
        <f>_xll.MKV($L$2&amp;$C76, K$3)</f>
        <v>0.86299999999999999</v>
      </c>
      <c r="L76" s="35">
        <f>_xll.MKV($L$2&amp;$C76, L$3)</f>
        <v>155.56399999999999</v>
      </c>
      <c r="M76" s="32">
        <f t="shared" si="23"/>
        <v>8.9999999999861302E-3</v>
      </c>
      <c r="N76" s="36">
        <f>_xll.BDH(C76&amp;"@CBBT Corp","OPEN",$N$1&amp;" 4:15:00 PM",$N$1&amp;" 5:15:00 PM","BarSz=60","BarTp=T","RecurDaily=True","TZ=London","DTS=H")</f>
        <v>155.55500000000001</v>
      </c>
      <c r="O76" s="36" t="e">
        <f ca="1">[1]!BError(_xll.BDH($C76&amp;"@CBBT Corp","OPEN",$O$1&amp;" 4:15:00 PM",$O$1&amp;" 5:15:00 PM","BarSz=60","BarTp=T","RecurDaily=True","TZ=London","DTS=H"))</f>
        <v>#NAME?</v>
      </c>
      <c r="P76" s="36">
        <f>_xll.BDH($C76&amp;"@CBBT Corp","OPEN",P$1&amp;" 4:15:00 PM",P$1&amp;" 5:15:00 PM","BarSz=60","BarTp=T","RecurDaily=True","TZ=London","DTS=H")</f>
        <v>156.785</v>
      </c>
      <c r="Q76" s="44">
        <f>_xll.BDP($C76&amp;"@CBBT Corp","YAS_BOND_YLD", "SETTLE_DT="&amp;Q$1, "YAS_BOND_PX="&amp;$N76)</f>
        <v>0.85899999999999999</v>
      </c>
      <c r="R76" s="44" t="e">
        <f ca="1">_xll.BDP($C76&amp;"@CBBT Corp","YAS_BOND_YLD", "SETTLE_DT="&amp;R$1, "YAS_BOND_PX="&amp;$O76)</f>
        <v>#NAME?</v>
      </c>
      <c r="S76" s="44">
        <f>_xll.BDP($C76&amp;"@CBBT Corp","YAS_BOND_YLD", "SETTLE_DT="&amp;S$1, "YAS_BOND_PX="&amp;$P76)</f>
        <v>0.79700000000000004</v>
      </c>
    </row>
    <row r="77" spans="1:19">
      <c r="A77" s="46" t="str">
        <f t="shared" si="29"/>
        <v>EUR.CM_DEPTH.XLS_ANDREA.IT0004953417</v>
      </c>
      <c r="B77" s="51" t="str">
        <f>_xll.MKV("EUR.CM_INSTRUMENT.PXE."&amp;C77,B$3)</f>
        <v>BTPS</v>
      </c>
      <c r="C77" s="61" t="s">
        <v>461</v>
      </c>
      <c r="D77" s="125">
        <f>_xll.MKV("EUR.CM_INSTRUMENT.PXE."&amp;C77,D$3)</f>
        <v>45352</v>
      </c>
      <c r="E77" s="58">
        <f t="shared" si="20"/>
        <v>0.80000000000000071</v>
      </c>
      <c r="F77" s="58" t="str">
        <f t="shared" ca="1" si="21"/>
        <v>99</v>
      </c>
      <c r="G77" s="58">
        <f t="shared" si="22"/>
        <v>10.299999999999997</v>
      </c>
      <c r="H77" s="46" t="str">
        <f>_xll.MKV_PUBLISHRECORD(A77, $H$4)</f>
        <v>OK</v>
      </c>
      <c r="I77" s="46" t="str">
        <f ca="1">_xll.MKV_SUPPLYRECORD_RANGE(A77,$B$3:$G$3,B77:G77)</f>
        <v>OK</v>
      </c>
      <c r="J77" s="34">
        <f>_xll.MKV($J$1&amp;$C77, J$3)</f>
        <v>0.97682999999999998</v>
      </c>
      <c r="K77" s="32">
        <f>_xll.MKV($L$2&amp;$C77, K$3)</f>
        <v>0.98799999999999999</v>
      </c>
      <c r="L77" s="35">
        <f>_xll.MKV($L$2&amp;$C77, L$3)</f>
        <v>125.05800000000001</v>
      </c>
      <c r="M77" s="32">
        <f t="shared" si="23"/>
        <v>5.0000000000096634E-3</v>
      </c>
      <c r="N77" s="36">
        <f>_xll.BDH(C77&amp;"@CBBT Corp","OPEN",$N$1&amp;" 4:15:00 PM",$N$1&amp;" 5:15:00 PM","BarSz=60","BarTp=T","RecurDaily=True","TZ=London","DTS=H")</f>
        <v>125.053</v>
      </c>
      <c r="O77" s="36" t="e">
        <f ca="1">[1]!BError(_xll.BDH($C77&amp;"@CBBT Corp","OPEN",$O$1&amp;" 4:15:00 PM",$O$1&amp;" 5:15:00 PM","BarSz=60","BarTp=T","RecurDaily=True","TZ=London","DTS=H"))</f>
        <v>#NAME?</v>
      </c>
      <c r="P77" s="36">
        <f>_xll.BDH($C77&amp;"@CBBT Corp","OPEN",P$1&amp;" 4:15:00 PM",P$1&amp;" 5:15:00 PM","BarSz=60","BarTp=T","RecurDaily=True","TZ=London","DTS=H")</f>
        <v>126.11799999999999</v>
      </c>
      <c r="Q77" s="44">
        <f>_xll.BDP($C77&amp;"@CBBT Corp","YAS_BOND_YLD", "SETTLE_DT="&amp;Q$1, "YAS_BOND_PX="&amp;$N77)</f>
        <v>0.98</v>
      </c>
      <c r="R77" s="44" t="e">
        <f ca="1">_xll.BDP($C77&amp;"@CBBT Corp","YAS_BOND_YLD", "SETTLE_DT="&amp;R$1, "YAS_BOND_PX="&amp;$O77)</f>
        <v>#NAME?</v>
      </c>
      <c r="S77" s="44">
        <f>_xll.BDP($C77&amp;"@CBBT Corp","YAS_BOND_YLD", "SETTLE_DT="&amp;S$1, "YAS_BOND_PX="&amp;$P77)</f>
        <v>0.88500000000000001</v>
      </c>
    </row>
    <row r="78" spans="1:19">
      <c r="A78" s="46" t="str">
        <f t="shared" si="29"/>
        <v>EUR.CM_DEPTH.XLS_ANDREA.FR0011619436</v>
      </c>
      <c r="B78" s="51" t="str">
        <f>_xll.MKV("EUR.CM_INSTRUMENT.PXE."&amp;C78,B$3)</f>
        <v>FRTR</v>
      </c>
      <c r="C78" s="62" t="s">
        <v>589</v>
      </c>
      <c r="D78" s="125">
        <f>_xll.MKV("EUR.CM_INSTRUMENT.PXE."&amp;C78,D$3)</f>
        <v>45437</v>
      </c>
      <c r="E78" s="58">
        <f t="shared" si="20"/>
        <v>9.9999999999998701E-2</v>
      </c>
      <c r="F78" s="58" t="str">
        <f t="shared" ca="1" si="21"/>
        <v>99</v>
      </c>
      <c r="G78" s="58">
        <f t="shared" si="22"/>
        <v>0.69999999999999929</v>
      </c>
      <c r="H78" s="46" t="str">
        <f>_xll.MKV_PUBLISHRECORD(A78, $H$4)</f>
        <v>OK</v>
      </c>
      <c r="I78" s="46" t="str">
        <f ca="1">_xll.MKV_SUPPLYRECORD_RANGE(A78,$B$3:$G$3,B78:G78)</f>
        <v>OK</v>
      </c>
      <c r="J78" s="34">
        <f>_xll.MKV($J$1&amp;$C78, J$3)</f>
        <v>-7.5075000000000003E-2</v>
      </c>
      <c r="K78" s="32">
        <f>_xll.MKV($L$2&amp;$C78, K$3)</f>
        <v>-7.2000000000000008E-2</v>
      </c>
      <c r="L78" s="35">
        <f>_xll.MKV($L$2&amp;$C78, L$3)</f>
        <v>117.76</v>
      </c>
      <c r="M78" s="32">
        <f t="shared" si="23"/>
        <v>3.0000000000001137E-3</v>
      </c>
      <c r="N78" s="36">
        <f>_xll.BDH(C78&amp;"@CBBT Corp","OPEN",$N$1&amp;" 4:15:00 PM",$N$1&amp;" 5:15:00 PM","BarSz=60","BarTp=T","RecurDaily=True","TZ=London","DTS=H")</f>
        <v>117.75700000000001</v>
      </c>
      <c r="O78" s="36" t="e">
        <f ca="1">[1]!BError(_xll.BDH($C78&amp;"@CBBT Corp","OPEN",$O$1&amp;" 4:15:00 PM",$O$1&amp;" 5:15:00 PM","BarSz=60","BarTp=T","RecurDaily=True","TZ=London","DTS=H"))</f>
        <v>#NAME?</v>
      </c>
      <c r="P78" s="36">
        <f>_xll.BDH($C78&amp;"@CBBT Corp","OPEN",P$1&amp;" 4:15:00 PM",P$1&amp;" 5:15:00 PM","BarSz=60","BarTp=T","RecurDaily=True","TZ=London","DTS=H")</f>
        <v>118.014</v>
      </c>
      <c r="Q78" s="44">
        <f>_xll.BDP($C78&amp;"@CBBT Corp","YAS_BOND_YLD", "SETTLE_DT="&amp;Q$1, "YAS_BOND_PX="&amp;$N78)</f>
        <v>-7.2999999999999995E-2</v>
      </c>
      <c r="R78" s="44" t="e">
        <f ca="1">_xll.BDP($C78&amp;"@CBBT Corp","YAS_BOND_YLD", "SETTLE_DT="&amp;R$1, "YAS_BOND_PX="&amp;$O78)</f>
        <v>#NAME?</v>
      </c>
      <c r="S78" s="44">
        <f>_xll.BDP($C78&amp;"@CBBT Corp","YAS_BOND_YLD", "SETTLE_DT="&amp;S$1, "YAS_BOND_PX="&amp;$P78)</f>
        <v>-7.9000000000000001E-2</v>
      </c>
    </row>
    <row r="79" spans="1:19">
      <c r="A79" s="46" t="str">
        <f t="shared" si="29"/>
        <v>EUR.CM_DEPTH.XLS_ANDREA.IT0005001547</v>
      </c>
      <c r="B79" s="51" t="str">
        <f>_xll.MKV("EUR.CM_INSTRUMENT.PXE."&amp;C79,B$3)</f>
        <v>BTPS</v>
      </c>
      <c r="C79" s="61" t="s">
        <v>462</v>
      </c>
      <c r="D79" s="125">
        <f>_xll.MKV("EUR.CM_INSTRUMENT.PXE."&amp;C79,D$3)</f>
        <v>45536</v>
      </c>
      <c r="E79" s="58">
        <f t="shared" si="20"/>
        <v>0.9000000000000119</v>
      </c>
      <c r="F79" s="58" t="str">
        <f t="shared" ca="1" si="21"/>
        <v>99</v>
      </c>
      <c r="G79" s="58">
        <f t="shared" si="22"/>
        <v>11.000000000000011</v>
      </c>
      <c r="H79" s="46" t="str">
        <f>_xll.MKV_PUBLISHRECORD(A79, $H$4)</f>
        <v>OK</v>
      </c>
      <c r="I79" s="46" t="str">
        <f ca="1">_xll.MKV_SUPPLYRECORD_RANGE(A79,$B$3:$G$3,B79:G79)</f>
        <v>OK</v>
      </c>
      <c r="J79" s="34">
        <f>_xll.MKV($J$1&amp;$C79, J$3)</f>
        <v>1.0855630000000001</v>
      </c>
      <c r="K79" s="32">
        <f>_xll.MKV($L$2&amp;$C79, K$3)</f>
        <v>1.0980000000000001</v>
      </c>
      <c r="L79" s="35">
        <f>_xll.MKV($L$2&amp;$C79, L$3)</f>
        <v>120.101</v>
      </c>
      <c r="M79" s="32">
        <f t="shared" si="23"/>
        <v>1.3999999999995794E-2</v>
      </c>
      <c r="N79" s="36">
        <f>_xll.BDH(C79&amp;"@CBBT Corp","OPEN",$N$1&amp;" 4:15:00 PM",$N$1&amp;" 5:15:00 PM","BarSz=60","BarTp=T","RecurDaily=True","TZ=London","DTS=H")</f>
        <v>120.087</v>
      </c>
      <c r="O79" s="36" t="e">
        <f ca="1">[1]!BError(_xll.BDH($C79&amp;"@CBBT Corp","OPEN",$O$1&amp;" 4:15:00 PM",$O$1&amp;" 5:15:00 PM","BarSz=60","BarTp=T","RecurDaily=True","TZ=London","DTS=H"))</f>
        <v>#NAME?</v>
      </c>
      <c r="P79" s="36">
        <f>_xll.BDH($C79&amp;"@CBBT Corp","OPEN",P$1&amp;" 4:15:00 PM",P$1&amp;" 5:15:00 PM","BarSz=60","BarTp=T","RecurDaily=True","TZ=London","DTS=H")</f>
        <v>121.158</v>
      </c>
      <c r="Q79" s="44">
        <f>_xll.BDP($C79&amp;"@CBBT Corp","YAS_BOND_YLD", "SETTLE_DT="&amp;Q$1, "YAS_BOND_PX="&amp;$N79)</f>
        <v>1.089</v>
      </c>
      <c r="R79" s="44" t="e">
        <f ca="1">_xll.BDP($C79&amp;"@CBBT Corp","YAS_BOND_YLD", "SETTLE_DT="&amp;R$1, "YAS_BOND_PX="&amp;$O79)</f>
        <v>#NAME?</v>
      </c>
      <c r="S79" s="44">
        <f>_xll.BDP($C79&amp;"@CBBT Corp","YAS_BOND_YLD", "SETTLE_DT="&amp;S$1, "YAS_BOND_PX="&amp;$P79)</f>
        <v>0.98799999999999999</v>
      </c>
    </row>
    <row r="80" spans="1:19">
      <c r="A80" s="46" t="str">
        <f t="shared" si="29"/>
        <v>EUR.CM_DEPTH.XLS_ANDREA.FR0011962398</v>
      </c>
      <c r="B80" s="51" t="str">
        <f>_xll.MKV("EUR.CM_INSTRUMENT.PXE."&amp;C80,B$3)</f>
        <v>FRTR</v>
      </c>
      <c r="C80" s="62" t="s">
        <v>592</v>
      </c>
      <c r="D80" s="125">
        <f>_xll.MKV("EUR.CM_INSTRUMENT.PXE."&amp;C80,D$3)</f>
        <v>45621</v>
      </c>
      <c r="E80" s="58">
        <f t="shared" si="20"/>
        <v>0.29999999999999993</v>
      </c>
      <c r="F80" s="58" t="str">
        <f t="shared" ca="1" si="21"/>
        <v>99</v>
      </c>
      <c r="G80" s="58">
        <f t="shared" si="22"/>
        <v>0.70000000000000007</v>
      </c>
      <c r="H80" s="46" t="str">
        <f>_xll.MKV_PUBLISHRECORD(A80, $H$4)</f>
        <v>OK</v>
      </c>
      <c r="I80" s="46" t="str">
        <f ca="1">_xll.MKV_SUPPLYRECORD_RANGE(A80,$B$3:$G$3,B80:G80)</f>
        <v>OK</v>
      </c>
      <c r="J80" s="34">
        <f>_xll.MKV($J$1&amp;$C80, J$3)</f>
        <v>1.5821999999999999E-2</v>
      </c>
      <c r="K80" s="32">
        <f>_xll.MKV($L$2&amp;$C80, K$3)</f>
        <v>0.02</v>
      </c>
      <c r="L80" s="35">
        <f>_xll.MKV($L$2&amp;$C80, L$3)</f>
        <v>114.06699999999999</v>
      </c>
      <c r="M80" s="32">
        <f t="shared" si="23"/>
        <v>3.0000000000001137E-3</v>
      </c>
      <c r="N80" s="36">
        <f>_xll.BDH(C80&amp;"@CBBT Corp","OPEN",$N$1&amp;" 4:15:00 PM",$N$1&amp;" 5:15:00 PM","BarSz=60","BarTp=T","RecurDaily=True","TZ=London","DTS=H")</f>
        <v>114.06399999999999</v>
      </c>
      <c r="O80" s="36" t="e">
        <f ca="1">[1]!BError(_xll.BDH($C80&amp;"@CBBT Corp","OPEN",$O$1&amp;" 4:15:00 PM",$O$1&amp;" 5:15:00 PM","BarSz=60","BarTp=T","RecurDaily=True","TZ=London","DTS=H"))</f>
        <v>#NAME?</v>
      </c>
      <c r="P80" s="36">
        <f>_xll.BDH($C80&amp;"@CBBT Corp","OPEN",P$1&amp;" 4:15:00 PM",P$1&amp;" 5:15:00 PM","BarSz=60","BarTp=T","RecurDaily=True","TZ=London","DTS=H")</f>
        <v>114.255</v>
      </c>
      <c r="Q80" s="44">
        <f>_xll.BDP($C80&amp;"@CBBT Corp","YAS_BOND_YLD", "SETTLE_DT="&amp;Q$1, "YAS_BOND_PX="&amp;$N80)</f>
        <v>1.7000000000000001E-2</v>
      </c>
      <c r="R80" s="44" t="e">
        <f ca="1">_xll.BDP($C80&amp;"@CBBT Corp","YAS_BOND_YLD", "SETTLE_DT="&amp;R$1, "YAS_BOND_PX="&amp;$O80)</f>
        <v>#NAME?</v>
      </c>
      <c r="S80" s="44">
        <f>_xll.BDP($C80&amp;"@CBBT Corp","YAS_BOND_YLD", "SETTLE_DT="&amp;S$1, "YAS_BOND_PX="&amp;$P80)</f>
        <v>1.2999999999999999E-2</v>
      </c>
    </row>
    <row r="81" spans="1:19">
      <c r="A81" s="46" t="str">
        <f t="shared" si="29"/>
        <v>EUR.CM_DEPTH.XLS_ANDREA.IT0005045270</v>
      </c>
      <c r="B81" s="51" t="str">
        <f>_xll.MKV("EUR.CM_INSTRUMENT.PXE."&amp;C81,B$3)</f>
        <v>BTPS</v>
      </c>
      <c r="C81" s="61" t="s">
        <v>463</v>
      </c>
      <c r="D81" s="125">
        <f>_xll.MKV("EUR.CM_INSTRUMENT.PXE."&amp;C81,D$3)</f>
        <v>45627</v>
      </c>
      <c r="E81" s="58">
        <f t="shared" si="20"/>
        <v>1.3000000000000123</v>
      </c>
      <c r="F81" s="58" t="str">
        <f t="shared" ca="1" si="21"/>
        <v>99</v>
      </c>
      <c r="G81" s="58">
        <f t="shared" si="22"/>
        <v>12.20000000000001</v>
      </c>
      <c r="H81" s="46" t="str">
        <f>_xll.MKV_PUBLISHRECORD(A81, $H$4)</f>
        <v>OK</v>
      </c>
      <c r="I81" s="46" t="str">
        <f ca="1">_xll.MKV_SUPPLYRECORD_RANGE(A81,$B$3:$G$3,B81:G81)</f>
        <v>OK</v>
      </c>
      <c r="J81" s="34">
        <f>_xll.MKV($J$1&amp;$C81, J$3)</f>
        <v>1.124641</v>
      </c>
      <c r="K81" s="32">
        <f>_xll.MKV($L$2&amp;$C81, K$3)</f>
        <v>1.139</v>
      </c>
      <c r="L81" s="35">
        <f>_xll.MKV($L$2&amp;$C81, L$3)</f>
        <v>110.684</v>
      </c>
      <c r="M81" s="32">
        <f t="shared" si="23"/>
        <v>6.0000000000002274E-3</v>
      </c>
      <c r="N81" s="36">
        <f>_xll.BDH(C81&amp;"@CBBT Corp","OPEN",$N$1&amp;" 4:15:00 PM",$N$1&amp;" 5:15:00 PM","BarSz=60","BarTp=T","RecurDaily=True","TZ=London","DTS=H")</f>
        <v>110.678</v>
      </c>
      <c r="O81" s="36" t="e">
        <f ca="1">[1]!BError(_xll.BDH($C81&amp;"@CBBT Corp","OPEN",$O$1&amp;" 4:15:00 PM",$O$1&amp;" 5:15:00 PM","BarSz=60","BarTp=T","RecurDaily=True","TZ=London","DTS=H"))</f>
        <v>#NAME?</v>
      </c>
      <c r="P81" s="36">
        <f>_xll.BDH($C81&amp;"@CBBT Corp","OPEN",P$1&amp;" 4:15:00 PM",P$1&amp;" 5:15:00 PM","BarSz=60","BarTp=T","RecurDaily=True","TZ=London","DTS=H")</f>
        <v>111.69</v>
      </c>
      <c r="Q81" s="44">
        <f>_xll.BDP($C81&amp;"@CBBT Corp","YAS_BOND_YLD", "SETTLE_DT="&amp;Q$1, "YAS_BOND_PX="&amp;$N81)</f>
        <v>1.1259999999999999</v>
      </c>
      <c r="R81" s="44" t="e">
        <f ca="1">_xll.BDP($C81&amp;"@CBBT Corp","YAS_BOND_YLD", "SETTLE_DT="&amp;R$1, "YAS_BOND_PX="&amp;$O81)</f>
        <v>#NAME?</v>
      </c>
      <c r="S81" s="44">
        <f>_xll.BDP($C81&amp;"@CBBT Corp","YAS_BOND_YLD", "SETTLE_DT="&amp;S$1, "YAS_BOND_PX="&amp;$P81)</f>
        <v>1.0169999999999999</v>
      </c>
    </row>
    <row r="82" spans="1:19">
      <c r="A82" s="46" t="str">
        <f t="shared" si="29"/>
        <v>EUR.CM_DEPTH.XLS_ANDREA.IT0004513641</v>
      </c>
      <c r="B82" s="51" t="str">
        <f>_xll.MKV("EUR.CM_INSTRUMENT.PXE."&amp;C82,B$3)</f>
        <v>BTPS</v>
      </c>
      <c r="C82" s="61" t="s">
        <v>464</v>
      </c>
      <c r="D82" s="125">
        <f>_xll.MKV("EUR.CM_INSTRUMENT.PXE."&amp;C82,D$3)</f>
        <v>45717</v>
      </c>
      <c r="E82" s="58">
        <f t="shared" si="20"/>
        <v>1.2000000000000011</v>
      </c>
      <c r="F82" s="58" t="str">
        <f t="shared" ca="1" si="21"/>
        <v>99</v>
      </c>
      <c r="G82" s="58">
        <f t="shared" si="22"/>
        <v>11.20000000000001</v>
      </c>
      <c r="H82" s="46" t="str">
        <f>_xll.MKV_PUBLISHRECORD(A82, $H$4)</f>
        <v>OK</v>
      </c>
      <c r="I82" s="46" t="str">
        <f ca="1">_xll.MKV_SUPPLYRECORD_RANGE(A82,$B$3:$G$3,B82:G82)</f>
        <v>OK</v>
      </c>
      <c r="J82" s="34">
        <f>_xll.MKV($J$1&amp;$C82, J$3)</f>
        <v>1.1566179999999999</v>
      </c>
      <c r="K82" s="32">
        <f>_xll.MKV($L$2&amp;$C82, K$3)</f>
        <v>1.171</v>
      </c>
      <c r="L82" s="35">
        <f>_xll.MKV($L$2&amp;$C82, L$3)</f>
        <v>130.649</v>
      </c>
      <c r="M82" s="32">
        <f t="shared" si="23"/>
        <v>3.9999999999906777E-3</v>
      </c>
      <c r="N82" s="36">
        <f>_xll.BDH(C82&amp;"@CBBT Corp","OPEN",$N$1&amp;" 4:15:00 PM",$N$1&amp;" 5:15:00 PM","BarSz=60","BarTp=T","RecurDaily=True","TZ=London","DTS=H")</f>
        <v>130.64500000000001</v>
      </c>
      <c r="O82" s="36" t="e">
        <f ca="1">[1]!BError(_xll.BDH($C82&amp;"@CBBT Corp","OPEN",$O$1&amp;" 4:15:00 PM",$O$1&amp;" 5:15:00 PM","BarSz=60","BarTp=T","RecurDaily=True","TZ=London","DTS=H"))</f>
        <v>#NAME?</v>
      </c>
      <c r="P82" s="36">
        <f>_xll.BDH($C82&amp;"@CBBT Corp","OPEN",P$1&amp;" 4:15:00 PM",P$1&amp;" 5:15:00 PM","BarSz=60","BarTp=T","RecurDaily=True","TZ=London","DTS=H")</f>
        <v>131.89699999999999</v>
      </c>
      <c r="Q82" s="44">
        <f>_xll.BDP($C82&amp;"@CBBT Corp","YAS_BOND_YLD", "SETTLE_DT="&amp;Q$1, "YAS_BOND_PX="&amp;$N82)</f>
        <v>1.159</v>
      </c>
      <c r="R82" s="44" t="e">
        <f ca="1">_xll.BDP($C82&amp;"@CBBT Corp","YAS_BOND_YLD", "SETTLE_DT="&amp;R$1, "YAS_BOND_PX="&amp;$O82)</f>
        <v>#NAME?</v>
      </c>
      <c r="S82" s="44">
        <f>_xll.BDP($C82&amp;"@CBBT Corp","YAS_BOND_YLD", "SETTLE_DT="&amp;S$1, "YAS_BOND_PX="&amp;$P82)</f>
        <v>1.0589999999999999</v>
      </c>
    </row>
    <row r="83" spans="1:19">
      <c r="A83" s="46" t="str">
        <f t="shared" si="29"/>
        <v>EUR.CM_DEPTH.XLS_ANDREA.FR0012517027</v>
      </c>
      <c r="B83" s="51" t="str">
        <f>_xll.MKV("EUR.CM_INSTRUMENT.PXE."&amp;C83,B$3)</f>
        <v>FRTR</v>
      </c>
      <c r="C83" s="62" t="s">
        <v>595</v>
      </c>
      <c r="D83" s="125">
        <f>_xll.MKV("EUR.CM_INSTRUMENT.PXE."&amp;C83,D$3)</f>
        <v>45802</v>
      </c>
      <c r="E83" s="58">
        <f t="shared" si="20"/>
        <v>0.40000000000000036</v>
      </c>
      <c r="F83" s="58" t="str">
        <f t="shared" ca="1" si="21"/>
        <v>99</v>
      </c>
      <c r="G83" s="58">
        <f t="shared" si="22"/>
        <v>1.0999999999999996</v>
      </c>
      <c r="H83" s="46" t="str">
        <f>_xll.MKV_PUBLISHRECORD(A83, $H$4)</f>
        <v>OK</v>
      </c>
      <c r="I83" s="46" t="str">
        <f ca="1">_xll.MKV_SUPPLYRECORD_RANGE(A83,$B$3:$G$3,B83:G83)</f>
        <v>OK</v>
      </c>
      <c r="J83" s="34">
        <f>_xll.MKV($J$1&amp;$C83, J$3)</f>
        <v>0.10262300000000001</v>
      </c>
      <c r="K83" s="32">
        <f>_xll.MKV($L$2&amp;$C83, K$3)</f>
        <v>0.107</v>
      </c>
      <c r="L83" s="35">
        <f>_xll.MKV($L$2&amp;$C83, L$3)</f>
        <v>103.40600000000001</v>
      </c>
      <c r="M83" s="32">
        <f t="shared" si="23"/>
        <v>0</v>
      </c>
      <c r="N83" s="36">
        <f>_xll.BDH(C83&amp;"@CBBT Corp","OPEN",$N$1&amp;" 4:15:00 PM",$N$1&amp;" 5:15:00 PM","BarSz=60","BarTp=T","RecurDaily=True","TZ=London","DTS=H")</f>
        <v>103.40600000000001</v>
      </c>
      <c r="O83" s="36" t="e">
        <f ca="1">[1]!BError(_xll.BDH($C83&amp;"@CBBT Corp","OPEN",$O$1&amp;" 4:15:00 PM",$O$1&amp;" 5:15:00 PM","BarSz=60","BarTp=T","RecurDaily=True","TZ=London","DTS=H"))</f>
        <v>#NAME?</v>
      </c>
      <c r="P83" s="36">
        <f>_xll.BDH($C83&amp;"@CBBT Corp","OPEN",P$1&amp;" 4:15:00 PM",P$1&amp;" 5:15:00 PM","BarSz=60","BarTp=T","RecurDaily=True","TZ=London","DTS=H")</f>
        <v>103.505</v>
      </c>
      <c r="Q83" s="44">
        <f>_xll.BDP($C83&amp;"@CBBT Corp","YAS_BOND_YLD", "SETTLE_DT="&amp;Q$1, "YAS_BOND_PX="&amp;$N83)</f>
        <v>0.10299999999999999</v>
      </c>
      <c r="R83" s="44" t="e">
        <f ca="1">_xll.BDP($C83&amp;"@CBBT Corp","YAS_BOND_YLD", "SETTLE_DT="&amp;R$1, "YAS_BOND_PX="&amp;$O83)</f>
        <v>#NAME?</v>
      </c>
      <c r="S83" s="44">
        <f>_xll.BDP($C83&amp;"@CBBT Corp","YAS_BOND_YLD", "SETTLE_DT="&amp;S$1, "YAS_BOND_PX="&amp;$P83)</f>
        <v>9.6000000000000002E-2</v>
      </c>
    </row>
    <row r="84" spans="1:19">
      <c r="A84" s="46" t="str">
        <f t="shared" si="29"/>
        <v>EUR.CM_DEPTH.XLS_ANDREA.IT0005090318</v>
      </c>
      <c r="B84" s="51" t="str">
        <f>_xll.MKV("EUR.CM_INSTRUMENT.PXE."&amp;C84,B$3)</f>
        <v>BTPS</v>
      </c>
      <c r="C84" s="61" t="s">
        <v>465</v>
      </c>
      <c r="D84" s="125">
        <f>_xll.MKV("EUR.CM_INSTRUMENT.PXE."&amp;C84,D$3)</f>
        <v>45809</v>
      </c>
      <c r="E84" s="58">
        <f t="shared" si="20"/>
        <v>1.4000000000000012</v>
      </c>
      <c r="F84" s="58" t="str">
        <f t="shared" ca="1" si="21"/>
        <v>99</v>
      </c>
      <c r="G84" s="58">
        <f t="shared" si="22"/>
        <v>13.3</v>
      </c>
      <c r="H84" s="46" t="str">
        <f>_xll.MKV_PUBLISHRECORD(A84, $H$4)</f>
        <v>OK</v>
      </c>
      <c r="I84" s="46" t="str">
        <f ca="1">_xll.MKV_SUPPLYRECORD_RANGE(A84,$B$3:$G$3,B84:G84)</f>
        <v>OK</v>
      </c>
      <c r="J84" s="34">
        <f>_xll.MKV($J$1&amp;$C84, J$3)</f>
        <v>1.2048049999999999</v>
      </c>
      <c r="K84" s="32">
        <f>_xll.MKV($L$2&amp;$C84, K$3)</f>
        <v>1.22</v>
      </c>
      <c r="L84" s="35">
        <f>_xll.MKV($L$2&amp;$C84, L$3)</f>
        <v>102.44</v>
      </c>
      <c r="M84" s="32">
        <f t="shared" si="23"/>
        <v>1.2000000000000455E-2</v>
      </c>
      <c r="N84" s="36">
        <f>_xll.BDH(C84&amp;"@CBBT Corp","OPEN",$N$1&amp;" 4:15:00 PM",$N$1&amp;" 5:15:00 PM","BarSz=60","BarTp=T","RecurDaily=True","TZ=London","DTS=H")</f>
        <v>102.428</v>
      </c>
      <c r="O84" s="36" t="e">
        <f ca="1">[1]!BError(_xll.BDH($C84&amp;"@CBBT Corp","OPEN",$O$1&amp;" 4:15:00 PM",$O$1&amp;" 5:15:00 PM","BarSz=60","BarTp=T","RecurDaily=True","TZ=London","DTS=H"))</f>
        <v>#NAME?</v>
      </c>
      <c r="P84" s="36">
        <f>_xll.BDH($C84&amp;"@CBBT Corp","OPEN",P$1&amp;" 4:15:00 PM",P$1&amp;" 5:15:00 PM","BarSz=60","BarTp=T","RecurDaily=True","TZ=London","DTS=H")</f>
        <v>103.455</v>
      </c>
      <c r="Q84" s="44">
        <f>_xll.BDP($C84&amp;"@CBBT Corp","YAS_BOND_YLD", "SETTLE_DT="&amp;Q$1, "YAS_BOND_PX="&amp;$N84)</f>
        <v>1.206</v>
      </c>
      <c r="R84" s="44" t="e">
        <f ca="1">_xll.BDP($C84&amp;"@CBBT Corp","YAS_BOND_YLD", "SETTLE_DT="&amp;R$1, "YAS_BOND_PX="&amp;$O84)</f>
        <v>#NAME?</v>
      </c>
      <c r="S84" s="44">
        <f>_xll.BDP($C84&amp;"@CBBT Corp","YAS_BOND_YLD", "SETTLE_DT="&amp;S$1, "YAS_BOND_PX="&amp;$P84)</f>
        <v>1.087</v>
      </c>
    </row>
    <row r="85" spans="1:19">
      <c r="A85" s="46" t="str">
        <f t="shared" si="29"/>
        <v>EUR.CM_DEPTH.XLS_ANDREA.FR0012938116</v>
      </c>
      <c r="B85" s="51" t="str">
        <f>_xll.MKV("EUR.CM_INSTRUMENT.PXE."&amp;C85,B$3)</f>
        <v>FRTR</v>
      </c>
      <c r="C85" s="62" t="s">
        <v>637</v>
      </c>
      <c r="D85" s="125">
        <f>_xll.MKV("EUR.CM_INSTRUMENT.PXE."&amp;C85,D$3)</f>
        <v>45986</v>
      </c>
      <c r="E85" s="58">
        <f t="shared" si="20"/>
        <v>0.40000000000000036</v>
      </c>
      <c r="F85" s="58" t="str">
        <f t="shared" ca="1" si="21"/>
        <v>99</v>
      </c>
      <c r="G85" s="58">
        <f t="shared" si="22"/>
        <v>1.0999999999999983</v>
      </c>
      <c r="H85" s="46" t="str">
        <f>_xll.MKV_PUBLISHRECORD(A85, $H$4)</f>
        <v>OK</v>
      </c>
      <c r="I85" s="46" t="str">
        <f ca="1">_xll.MKV_SUPPLYRECORD_RANGE(A85,$B$3:$G$3,B85:G85)</f>
        <v>OK</v>
      </c>
      <c r="J85" s="34">
        <f>_xll.MKV($J$1&amp;$C85, J$3)</f>
        <v>0.17188500000000001</v>
      </c>
      <c r="K85" s="32">
        <f>_xll.MKV($L$2&amp;$C85, K$3)</f>
        <v>0.17699999999999999</v>
      </c>
      <c r="L85" s="35">
        <f>_xll.MKV($L$2&amp;$C85, L$3)</f>
        <v>107.485</v>
      </c>
      <c r="M85" s="32">
        <f t="shared" si="23"/>
        <v>7.0000000000050022E-3</v>
      </c>
      <c r="N85" s="36">
        <f>_xll.BDH(C85&amp;"@CBBT Corp","OPEN",$N$1&amp;" 4:15:00 PM",$N$1&amp;" 5:15:00 PM","BarSz=60","BarTp=T","RecurDaily=True","TZ=London","DTS=H")</f>
        <v>107.47799999999999</v>
      </c>
      <c r="O85" s="36" t="e">
        <f ca="1">[1]!BError(_xll.BDH($C85&amp;"@CBBT Corp","OPEN",$O$1&amp;" 4:15:00 PM",$O$1&amp;" 5:15:00 PM","BarSz=60","BarTp=T","RecurDaily=True","TZ=London","DTS=H"))</f>
        <v>#NAME?</v>
      </c>
      <c r="P85" s="36">
        <f>_xll.BDH($C85&amp;"@CBBT Corp","OPEN",P$1&amp;" 4:15:00 PM",P$1&amp;" 5:15:00 PM","BarSz=60","BarTp=T","RecurDaily=True","TZ=London","DTS=H")</f>
        <v>107.613</v>
      </c>
      <c r="Q85" s="44">
        <f>_xll.BDP($C85&amp;"@CBBT Corp","YAS_BOND_YLD", "SETTLE_DT="&amp;Q$1, "YAS_BOND_PX="&amp;$N85)</f>
        <v>0.17299999999999999</v>
      </c>
      <c r="R85" s="44" t="e">
        <f ca="1">_xll.BDP($C85&amp;"@CBBT Corp","YAS_BOND_YLD", "SETTLE_DT="&amp;R$1, "YAS_BOND_PX="&amp;$O85)</f>
        <v>#NAME?</v>
      </c>
      <c r="S85" s="44">
        <f>_xll.BDP($C85&amp;"@CBBT Corp","YAS_BOND_YLD", "SETTLE_DT="&amp;S$1, "YAS_BOND_PX="&amp;$P85)</f>
        <v>0.16600000000000001</v>
      </c>
    </row>
    <row r="86" spans="1:19">
      <c r="A86" s="46" t="str">
        <f t="shared" si="29"/>
        <v>EUR.CM_DEPTH.XLS_ANDREA.IT0005127086</v>
      </c>
      <c r="B86" s="51" t="str">
        <f>_xll.MKV("EUR.CM_INSTRUMENT.PXE."&amp;C86,B$3)</f>
        <v>BTPS</v>
      </c>
      <c r="C86" s="61" t="s">
        <v>676</v>
      </c>
      <c r="D86" s="125">
        <f>_xll.MKV("EUR.CM_INSTRUMENT.PXE."&amp;C86,D$3)</f>
        <v>45992</v>
      </c>
      <c r="E86" s="58">
        <f t="shared" si="20"/>
        <v>1.4999999999999902</v>
      </c>
      <c r="F86" s="58" t="str">
        <f t="shared" ca="1" si="21"/>
        <v>99</v>
      </c>
      <c r="G86" s="58">
        <f t="shared" si="22"/>
        <v>13.999999999999989</v>
      </c>
      <c r="H86" s="46" t="str">
        <f>_xll.MKV_PUBLISHRECORD(A86, $H$4)</f>
        <v>OK</v>
      </c>
      <c r="I86" s="46" t="str">
        <f ca="1">_xll.MKV_SUPPLYRECORD_RANGE(A86,$B$3:$G$3,B86:G86)</f>
        <v>OK</v>
      </c>
      <c r="J86" s="34">
        <f>_xll.MKV($J$1&amp;$C86, J$3)</f>
        <v>1.305291</v>
      </c>
      <c r="K86" s="32">
        <f>_xll.MKV($L$2&amp;$C86, K$3)</f>
        <v>1.321</v>
      </c>
      <c r="L86" s="35">
        <f>_xll.MKV($L$2&amp;$C86, L$3)</f>
        <v>106</v>
      </c>
      <c r="M86" s="32">
        <f t="shared" si="23"/>
        <v>3.0000000000001137E-3</v>
      </c>
      <c r="N86" s="36">
        <f>_xll.BDH(C86&amp;"@CBBT Corp","OPEN",$N$1&amp;" 4:15:00 PM",$N$1&amp;" 5:15:00 PM","BarSz=60","BarTp=T","RecurDaily=True","TZ=London","DTS=H")</f>
        <v>105.997</v>
      </c>
      <c r="O86" s="36" t="e">
        <f ca="1">[1]!BError(_xll.BDH($C86&amp;"@CBBT Corp","OPEN",$O$1&amp;" 4:15:00 PM",$O$1&amp;" 5:15:00 PM","BarSz=60","BarTp=T","RecurDaily=True","TZ=London","DTS=H"))</f>
        <v>#NAME?</v>
      </c>
      <c r="P86" s="36">
        <f>_xll.BDH($C86&amp;"@CBBT Corp","OPEN",P$1&amp;" 4:15:00 PM",P$1&amp;" 5:15:00 PM","BarSz=60","BarTp=T","RecurDaily=True","TZ=London","DTS=H")</f>
        <v>107.173</v>
      </c>
      <c r="Q86" s="44">
        <f>_xll.BDP($C86&amp;"@CBBT Corp","YAS_BOND_YLD", "SETTLE_DT="&amp;Q$1, "YAS_BOND_PX="&amp;$N86)</f>
        <v>1.306</v>
      </c>
      <c r="R86" s="44" t="e">
        <f ca="1">_xll.BDP($C86&amp;"@CBBT Corp","YAS_BOND_YLD", "SETTLE_DT="&amp;R$1, "YAS_BOND_PX="&amp;$O86)</f>
        <v>#NAME?</v>
      </c>
      <c r="S86" s="44">
        <f>_xll.BDP($C86&amp;"@CBBT Corp","YAS_BOND_YLD", "SETTLE_DT="&amp;S$1, "YAS_BOND_PX="&amp;$P86)</f>
        <v>1.181</v>
      </c>
    </row>
    <row r="87" spans="1:19">
      <c r="A87" s="46" t="str">
        <f t="shared" si="29"/>
        <v>EUR.CM_DEPTH.XLS_ANDREA.IT0004644735</v>
      </c>
      <c r="B87" s="51" t="str">
        <f>_xll.MKV("EUR.CM_INSTRUMENT.PXE."&amp;C87,B$3)</f>
        <v>BTPS</v>
      </c>
      <c r="C87" s="61" t="s">
        <v>466</v>
      </c>
      <c r="D87" s="125">
        <f>_xll.MKV("EUR.CM_INSTRUMENT.PXE."&amp;C87,D$3)</f>
        <v>46082</v>
      </c>
      <c r="E87" s="58">
        <f t="shared" si="20"/>
        <v>1.2000000000000011</v>
      </c>
      <c r="F87" s="58" t="str">
        <f t="shared" ca="1" si="21"/>
        <v>99</v>
      </c>
      <c r="G87" s="58">
        <f t="shared" si="22"/>
        <v>14.900000000000002</v>
      </c>
      <c r="H87" s="46" t="str">
        <f>_xll.MKV_PUBLISHRECORD(A87, $H$4)</f>
        <v>OK</v>
      </c>
      <c r="I87" s="46" t="str">
        <f ca="1">_xll.MKV_SUPPLYRECORD_RANGE(A87,$B$3:$G$3,B87:G87)</f>
        <v>OK</v>
      </c>
      <c r="J87" s="34">
        <f>_xll.MKV($J$1&amp;$C87, J$3)</f>
        <v>1.341747</v>
      </c>
      <c r="K87" s="32">
        <f>_xll.MKV($L$2&amp;$C87, K$3)</f>
        <v>1.3540000000000001</v>
      </c>
      <c r="L87" s="35">
        <f>_xll.MKV($L$2&amp;$C87, L$3)</f>
        <v>127.799948</v>
      </c>
      <c r="M87" s="32">
        <f t="shared" si="23"/>
        <v>-1.305200000000184E-2</v>
      </c>
      <c r="N87" s="36">
        <f>_xll.BDH(C87&amp;"@CBBT Corp","OPEN",$N$1&amp;" 4:15:00 PM",$N$1&amp;" 5:15:00 PM","BarSz=60","BarTp=T","RecurDaily=True","TZ=London","DTS=H")</f>
        <v>127.813</v>
      </c>
      <c r="O87" s="36" t="e">
        <f ca="1">[1]!BError(_xll.BDH($C87&amp;"@CBBT Corp","OPEN",$O$1&amp;" 4:15:00 PM",$O$1&amp;" 5:15:00 PM","BarSz=60","BarTp=T","RecurDaily=True","TZ=London","DTS=H"))</f>
        <v>#NAME?</v>
      </c>
      <c r="P87" s="36">
        <f>_xll.BDH($C87&amp;"@CBBT Corp","OPEN",P$1&amp;" 4:15:00 PM",P$1&amp;" 5:15:00 PM","BarSz=60","BarTp=T","RecurDaily=True","TZ=London","DTS=H")</f>
        <v>129.46199999999999</v>
      </c>
      <c r="Q87" s="44">
        <f>_xll.BDP($C87&amp;"@CBBT Corp","YAS_BOND_YLD", "SETTLE_DT="&amp;Q$1, "YAS_BOND_PX="&amp;$N87)</f>
        <v>1.3420000000000001</v>
      </c>
      <c r="R87" s="44" t="e">
        <f ca="1">_xll.BDP($C87&amp;"@CBBT Corp","YAS_BOND_YLD", "SETTLE_DT="&amp;R$1, "YAS_BOND_PX="&amp;$O87)</f>
        <v>#NAME?</v>
      </c>
      <c r="S87" s="44">
        <f>_xll.BDP($C87&amp;"@CBBT Corp","YAS_BOND_YLD", "SETTLE_DT="&amp;S$1, "YAS_BOND_PX="&amp;$P87)</f>
        <v>1.2050000000000001</v>
      </c>
    </row>
    <row r="88" spans="1:19">
      <c r="A88" s="46" t="str">
        <f t="shared" si="29"/>
        <v>EUR.CM_DEPTH.XLS_ANDREA.FR0010916924</v>
      </c>
      <c r="B88" s="51" t="str">
        <f>_xll.MKV("EUR.CM_INSTRUMENT.PXE."&amp;C88,B$3)</f>
        <v>FRTR</v>
      </c>
      <c r="C88" s="62" t="s">
        <v>599</v>
      </c>
      <c r="D88" s="125">
        <f>_xll.MKV("EUR.CM_INSTRUMENT.PXE."&amp;C88,D$3)</f>
        <v>46137</v>
      </c>
      <c r="E88" s="58">
        <f t="shared" si="20"/>
        <v>0.30000000000000027</v>
      </c>
      <c r="F88" s="58" t="str">
        <f t="shared" ca="1" si="21"/>
        <v>99</v>
      </c>
      <c r="G88" s="58">
        <f t="shared" si="22"/>
        <v>2.1000000000000019</v>
      </c>
      <c r="H88" s="46" t="str">
        <f>_xll.MKV_PUBLISHRECORD(A88, $H$4)</f>
        <v>OK</v>
      </c>
      <c r="I88" s="46" t="str">
        <f ca="1">_xll.MKV_SUPPLYRECORD_RANGE(A88,$B$3:$G$3,B88:G88)</f>
        <v>OK</v>
      </c>
      <c r="J88" s="34">
        <f>_xll.MKV($J$1&amp;$C88, J$3)</f>
        <v>0.19581599999999999</v>
      </c>
      <c r="K88" s="32">
        <f>_xll.MKV($L$2&amp;$C88, K$3)</f>
        <v>0.20100000000000001</v>
      </c>
      <c r="L88" s="35">
        <f>_xll.MKV($L$2&amp;$C88, L$3)</f>
        <v>131.17069499999999</v>
      </c>
      <c r="M88" s="32">
        <f t="shared" si="23"/>
        <v>5.6950000000028922E-3</v>
      </c>
      <c r="N88" s="36">
        <f>_xll.BDH(C88&amp;"@CBBT Corp","OPEN",$N$1&amp;" 4:15:00 PM",$N$1&amp;" 5:15:00 PM","BarSz=60","BarTp=T","RecurDaily=True","TZ=London","DTS=H")</f>
        <v>131.16499999999999</v>
      </c>
      <c r="O88" s="36" t="e">
        <f ca="1">[1]!BError(_xll.BDH($C88&amp;"@CBBT Corp","OPEN",$O$1&amp;" 4:15:00 PM",$O$1&amp;" 5:15:00 PM","BarSz=60","BarTp=T","RecurDaily=True","TZ=London","DTS=H"))</f>
        <v>#NAME?</v>
      </c>
      <c r="P88" s="36">
        <f>_xll.BDH($C88&amp;"@CBBT Corp","OPEN",P$1&amp;" 4:15:00 PM",P$1&amp;" 5:15:00 PM","BarSz=60","BarTp=T","RecurDaily=True","TZ=London","DTS=H")</f>
        <v>131.65199999999999</v>
      </c>
      <c r="Q88" s="44">
        <f>_xll.BDP($C88&amp;"@CBBT Corp","YAS_BOND_YLD", "SETTLE_DT="&amp;Q$1, "YAS_BOND_PX="&amp;$N88)</f>
        <v>0.19800000000000001</v>
      </c>
      <c r="R88" s="44" t="e">
        <f ca="1">_xll.BDP($C88&amp;"@CBBT Corp","YAS_BOND_YLD", "SETTLE_DT="&amp;R$1, "YAS_BOND_PX="&amp;$O88)</f>
        <v>#NAME?</v>
      </c>
      <c r="S88" s="44">
        <f>_xll.BDP($C88&amp;"@CBBT Corp","YAS_BOND_YLD", "SETTLE_DT="&amp;S$1, "YAS_BOND_PX="&amp;$P88)</f>
        <v>0.18</v>
      </c>
    </row>
    <row r="89" spans="1:19">
      <c r="A89" s="46" t="str">
        <f>$A$4 &amp; ".CM_DEPTH."&amp; $H$4 &amp; "." &amp; C89</f>
        <v>EUR.CM_DEPTH.XLS_ANDREA.FR0013131877</v>
      </c>
      <c r="B89" s="51" t="str">
        <f>_xll.MKV("EUR.CM_INSTRUMENT.PXE."&amp;C89,B$3)</f>
        <v>FRTR</v>
      </c>
      <c r="C89" s="62" t="s">
        <v>705</v>
      </c>
      <c r="D89" s="125">
        <f>_xll.MKV("EUR.CM_INSTRUMENT.PXE."&amp;C89,D$3)</f>
        <v>46167</v>
      </c>
      <c r="E89" s="58">
        <f t="shared" si="20"/>
        <v>0.50000000000000044</v>
      </c>
      <c r="F89" s="58" t="str">
        <f t="shared" ca="1" si="21"/>
        <v>99</v>
      </c>
      <c r="G89" s="58" t="str">
        <f t="shared" ca="1" si="22"/>
        <v>99</v>
      </c>
      <c r="H89" s="46" t="str">
        <f>_xll.MKV_PUBLISHRECORD(A89, $H$4)</f>
        <v>OK</v>
      </c>
      <c r="I89" s="46" t="str">
        <f ca="1">_xll.MKV_SUPPLYRECORD_RANGE(A89,$B$3:$G$3,B89:G89)</f>
        <v>OK</v>
      </c>
      <c r="J89" s="34">
        <f>_xll.MKV($J$1&amp;$C89, J$3)</f>
        <v>0.26358799999999999</v>
      </c>
      <c r="K89" s="32">
        <f>_xll.MKV($L$2&amp;$C89, K$3)</f>
        <v>0.26900000000000002</v>
      </c>
      <c r="L89" s="35">
        <f>_xll.MKV($L$2&amp;$C89, L$3)</f>
        <v>102.24117200000001</v>
      </c>
      <c r="M89" s="32">
        <f t="shared" si="23"/>
        <v>4.1720000000111668E-3</v>
      </c>
      <c r="N89" s="36">
        <f>_xll.BDH(C89&amp;"@CBBT Corp","OPEN",$N$1&amp;" 4:15:00 PM",$N$1&amp;" 5:15:00 PM","BarSz=60","BarTp=T","RecurDaily=True","TZ=London","DTS=H")</f>
        <v>102.23699999999999</v>
      </c>
      <c r="O89" s="36" t="e">
        <f ca="1">[1]!BError(_xll.BDH($C89&amp;"@CBBT Corp","OPEN",$O$1&amp;" 4:15:00 PM",$O$1&amp;" 5:15:00 PM","BarSz=60","BarTp=T","RecurDaily=True","TZ=London","DTS=H"))</f>
        <v>#NAME?</v>
      </c>
      <c r="P89" s="36" t="e">
        <f ca="1">[1]!BError(_xll.BDH($C89&amp;"@CBBT Corp","OPEN",P$1&amp;" 4:15:00 PM",P$1&amp;" 5:15:00 PM","BarSz=60","BarTp=T","RecurDaily=True","TZ=London","DTS=H"))</f>
        <v>#NAME?</v>
      </c>
      <c r="Q89" s="44">
        <f>_xll.BDP($C89&amp;"@CBBT Corp","YAS_BOND_YLD", "SETTLE_DT="&amp;Q$1, "YAS_BOND_PX="&amp;$N89)</f>
        <v>0.26400000000000001</v>
      </c>
      <c r="R89" s="44" t="e">
        <f ca="1">_xll.BDP($C89&amp;"@CBBT Corp","YAS_BOND_YLD", "SETTLE_DT="&amp;R$1, "YAS_BOND_PX="&amp;$O89)</f>
        <v>#NAME?</v>
      </c>
      <c r="S89" s="44" t="e">
        <f ca="1">[1]!BError(_xll.BDP($C89&amp;"@CBBT Corp","YAS_BOND_YLD", "SETTLE_DT="&amp;S$1, "YAS_BOND_PX="&amp;$P89))</f>
        <v>#NAME?</v>
      </c>
    </row>
    <row r="90" spans="1:19" s="123" customFormat="1">
      <c r="A90" s="117" t="str">
        <f t="shared" si="29"/>
        <v>EUR.CM_DEPTH.XLS_ANDREA.IT0005170839</v>
      </c>
      <c r="B90" s="118" t="str">
        <f>_xll.MKV("EUR.CM_INSTRUMENT.PXE."&amp;C90,B$3)</f>
        <v>BTPS</v>
      </c>
      <c r="C90" s="62" t="s">
        <v>686</v>
      </c>
      <c r="D90" s="125">
        <f>_xll.MKV("EUR.CM_INSTRUMENT.PXE."&amp;C90,D$3)</f>
        <v>46174</v>
      </c>
      <c r="E90" s="117">
        <f t="shared" si="20"/>
        <v>1.4000000000000012</v>
      </c>
      <c r="F90" s="117" t="str">
        <f t="shared" ca="1" si="21"/>
        <v>99</v>
      </c>
      <c r="G90" s="117" t="str">
        <f t="shared" ca="1" si="22"/>
        <v>99</v>
      </c>
      <c r="H90" s="117" t="str">
        <f>_xll.MKV_PUBLISHRECORD(A90, $H$4)</f>
        <v>OK</v>
      </c>
      <c r="I90" s="117" t="str">
        <f ca="1">_xll.MKV_SUPPLYRECORD_RANGE(A90,$B$3:$G$3,B90:G90)</f>
        <v>OK</v>
      </c>
      <c r="J90" s="119">
        <f>_xll.MKV($J$1&amp;$C90, J$3)</f>
        <v>1.3808229999999999</v>
      </c>
      <c r="K90" s="120">
        <f>_xll.MKV($L$2&amp;$C90, K$3)</f>
        <v>1.3960000000000001</v>
      </c>
      <c r="L90" s="119">
        <f>_xll.MKV($L$2&amp;$C90, L$3)</f>
        <v>102.01300000000001</v>
      </c>
      <c r="M90" s="32">
        <f t="shared" si="23"/>
        <v>6.0000000000002274E-3</v>
      </c>
      <c r="N90" s="121">
        <f>_xll.BDH(C90&amp;"@CBBT Corp","OPEN",$N$1&amp;" 4:15:00 PM",$N$1&amp;" 5:15:00 PM","BarSz=60","BarTp=T","RecurDaily=True","TZ=London","DTS=H")</f>
        <v>102.00700000000001</v>
      </c>
      <c r="O90" s="121" t="e">
        <f ca="1">[1]!BError(_xll.BDH($C90&amp;"@CBBT Corp","OPEN",$O$1&amp;" 4:15:00 PM",$O$1&amp;" 5:15:00 PM","BarSz=60","BarTp=T","RecurDaily=True","TZ=London","DTS=H"))</f>
        <v>#NAME?</v>
      </c>
      <c r="P90" s="121" t="e">
        <f ca="1">[1]!BError(_xll.BDH($C90&amp;"@CBBT Corp","OPEN",P$1&amp;" 4:15:00 PM",P$1&amp;" 5:15:00 PM","BarSz=60","BarTp=T","RecurDaily=True","TZ=London","DTS=H"))</f>
        <v>#NAME?</v>
      </c>
      <c r="Q90" s="122">
        <f>_xll.BDP($C90&amp;"@CBBT Corp","YAS_BOND_YLD", "SETTLE_DT="&amp;Q$1, "YAS_BOND_PX="&amp;$N90)</f>
        <v>1.3820000000000001</v>
      </c>
      <c r="R90" s="122" t="e">
        <f ca="1">_xll.BDP($C90&amp;"@CBBT Corp","YAS_BOND_YLD", "SETTLE_DT="&amp;R$1, "YAS_BOND_PX="&amp;$O90)</f>
        <v>#NAME?</v>
      </c>
      <c r="S90" s="122" t="e">
        <f ca="1">[1]!BError(_xll.BDP($C90&amp;"@CBBT Corp","YAS_BOND_YLD", "SETTLE_DT="&amp;S$1, "YAS_BOND_PX="&amp;$P90))</f>
        <v>#NAME?</v>
      </c>
    </row>
    <row r="91" spans="1:19">
      <c r="A91" s="46" t="str">
        <f t="shared" si="29"/>
        <v>EUR.CM_DEPTH.XLS_ANDREA.IT0001086567</v>
      </c>
      <c r="B91" s="51" t="str">
        <f>_xll.MKV("EUR.CM_INSTRUMENT.PXE."&amp;C91,B$3)</f>
        <v>BTPS</v>
      </c>
      <c r="C91" s="62" t="s">
        <v>467</v>
      </c>
      <c r="D91" s="125">
        <f>_xll.MKV("EUR.CM_INSTRUMENT.PXE."&amp;C91,D$3)</f>
        <v>46327</v>
      </c>
      <c r="E91" s="58">
        <f t="shared" si="20"/>
        <v>1.1000000000000121</v>
      </c>
      <c r="F91" s="58" t="str">
        <f t="shared" ca="1" si="21"/>
        <v>99</v>
      </c>
      <c r="G91" s="58">
        <f t="shared" si="22"/>
        <v>13.400000000000013</v>
      </c>
      <c r="H91" s="46" t="str">
        <f>_xll.MKV_PUBLISHRECORD(A91, $H$4)</f>
        <v>OK</v>
      </c>
      <c r="I91" s="46" t="str">
        <f ca="1">_xll.MKV_SUPPLYRECORD_RANGE(A91,$B$3:$G$3,B91:G91)</f>
        <v>OK</v>
      </c>
      <c r="J91" s="34">
        <f>_xll.MKV($J$1&amp;$C91, J$3)</f>
        <v>1.387534</v>
      </c>
      <c r="K91" s="32">
        <f>_xll.MKV($L$2&amp;$C91, K$3)</f>
        <v>1.4020000000000001</v>
      </c>
      <c r="L91" s="35">
        <f>_xll.MKV($L$2&amp;$C91, L$3)</f>
        <v>154.876</v>
      </c>
      <c r="M91" s="32">
        <f t="shared" si="23"/>
        <v>1.5999999999991132E-2</v>
      </c>
      <c r="N91" s="36">
        <f>_xll.BDH(C91&amp;"@CBBT Corp","OPEN",$N$1&amp;" 4:15:00 PM",$N$1&amp;" 5:15:00 PM","BarSz=60","BarTp=T","RecurDaily=True","TZ=London","DTS=H")</f>
        <v>154.86000000000001</v>
      </c>
      <c r="O91" s="36" t="e">
        <f ca="1">[1]!BError(_xll.BDH($C91&amp;"@CBBT Corp","OPEN",$O$1&amp;" 4:15:00 PM",$O$1&amp;" 5:15:00 PM","BarSz=60","BarTp=T","RecurDaily=True","TZ=London","DTS=H"))</f>
        <v>#NAME?</v>
      </c>
      <c r="P91" s="36">
        <f>_xll.BDH($C91&amp;"@CBBT Corp","OPEN",P$1&amp;" 4:15:00 PM",P$1&amp;" 5:15:00 PM","BarSz=60","BarTp=T","RecurDaily=True","TZ=London","DTS=H")</f>
        <v>156.81</v>
      </c>
      <c r="Q91" s="44">
        <f>_xll.BDP($C91&amp;"@CBBT Corp","YAS_BOND_YLD", "SETTLE_DT="&amp;Q$1, "YAS_BOND_PX="&amp;$N91)</f>
        <v>1.391</v>
      </c>
      <c r="R91" s="44" t="e">
        <f ca="1">_xll.BDP($C91&amp;"@CBBT Corp","YAS_BOND_YLD", "SETTLE_DT="&amp;R$1, "YAS_BOND_PX="&amp;$O91)</f>
        <v>#NAME?</v>
      </c>
      <c r="S91" s="44">
        <f>_xll.BDP($C91&amp;"@CBBT Corp","YAS_BOND_YLD", "SETTLE_DT="&amp;S$1, "YAS_BOND_PX="&amp;$P91)</f>
        <v>1.268</v>
      </c>
    </row>
    <row r="92" spans="1:19">
      <c r="A92" s="46" t="str">
        <f t="shared" ref="A92" si="30">$A$4 &amp; ".CM_DEPTH."&amp; $H$4 &amp; "." &amp; C92</f>
        <v>EUR.CM_DEPTH.XLS_ANDREA.FR0013200813</v>
      </c>
      <c r="B92" s="51" t="str">
        <f>_xll.MKV("EUR.CM_INSTRUMENT.PXE."&amp;C92,B$3)</f>
        <v>FRTR</v>
      </c>
      <c r="C92" s="62" t="s">
        <v>755</v>
      </c>
      <c r="D92" s="125">
        <f>_xll.MKV("EUR.CM_INSTRUMENT.PXE."&amp;C92,D$3)</f>
        <v>46351</v>
      </c>
      <c r="E92" s="58">
        <f t="shared" ref="E92" si="31">IFERROR(($K92-Q92)*100,"99")</f>
        <v>0.50000000000000044</v>
      </c>
      <c r="F92" s="58" t="str">
        <f t="shared" ref="F92" ca="1" si="32">IFERROR(($K92-R92)*100,"99")</f>
        <v>99</v>
      </c>
      <c r="G92" s="58">
        <f t="shared" ref="G92" si="33">IFERROR(($K92-S92)*100,"99")</f>
        <v>1.9000000000000017</v>
      </c>
      <c r="H92" s="46" t="str">
        <f>_xll.MKV_PUBLISHRECORD(A92, $H$4)</f>
        <v>OK</v>
      </c>
      <c r="I92" s="46" t="str">
        <f ca="1">_xll.MKV_SUPPLYRECORD_RANGE(A92,$B$3:$G$3,B92:G92)</f>
        <v>OK</v>
      </c>
      <c r="J92" s="34">
        <f>_xll.MKV($J$1&amp;$C92, J$3)</f>
        <v>0.32600299999999999</v>
      </c>
      <c r="K92" s="32">
        <f>_xll.MKV($L$2&amp;$C92, K$3)</f>
        <v>0.33100000000000002</v>
      </c>
      <c r="L92" s="35">
        <f>_xll.MKV($L$2&amp;$C92, L$3)</f>
        <v>99.244749999999996</v>
      </c>
      <c r="M92" s="32">
        <f t="shared" ref="M92" si="34">L92-N92</f>
        <v>-1.2499999999988631E-3</v>
      </c>
      <c r="N92" s="36">
        <f>_xll.BDH(C92&amp;"@CBBT Corp","OPEN",$N$1&amp;" 4:15:00 PM",$N$1&amp;" 5:15:00 PM","BarSz=60","BarTp=T","RecurDaily=True","TZ=London","DTS=H")</f>
        <v>99.245999999999995</v>
      </c>
      <c r="O92" s="36" t="e">
        <f ca="1">[1]!BError(_xll.BDH($C92&amp;"@CBBT Corp","OPEN",$O$1&amp;" 4:15:00 PM",$O$1&amp;" 5:15:00 PM","BarSz=60","BarTp=T","RecurDaily=True","TZ=London","DTS=H"))</f>
        <v>#NAME?</v>
      </c>
      <c r="P92" s="36">
        <f>_xll.BDH($C92&amp;"@CBBT Corp","OPEN",P$1&amp;" 4:15:00 PM",P$1&amp;" 5:15:00 PM","BarSz=60","BarTp=T","RecurDaily=True","TZ=London","DTS=H")</f>
        <v>99.373000000000005</v>
      </c>
      <c r="Q92" s="44">
        <f>_xll.BDP($C92&amp;"@CBBT Corp","YAS_BOND_YLD", "SETTLE_DT="&amp;Q$1, "YAS_BOND_PX="&amp;$N92)</f>
        <v>0.32600000000000001</v>
      </c>
      <c r="R92" s="44" t="e">
        <f ca="1">_xll.BDP($C92&amp;"@CBBT Corp","YAS_BOND_YLD", "SETTLE_DT="&amp;R$1, "YAS_BOND_PX="&amp;$O92)</f>
        <v>#NAME?</v>
      </c>
      <c r="S92" s="44">
        <f>_xll.BDP($C92&amp;"@CBBT Corp","YAS_BOND_YLD", "SETTLE_DT="&amp;S$1, "YAS_BOND_PX="&amp;$P92)</f>
        <v>0.312</v>
      </c>
    </row>
    <row r="93" spans="1:19">
      <c r="A93" s="46" t="str">
        <f>$A$4 &amp; ".CM_DEPTH."&amp; $H$4 &amp; "." &amp; C93</f>
        <v>EUR.CM_DEPTH.XLS_ANDREA.IT0005210650</v>
      </c>
      <c r="B93" s="51" t="str">
        <f>_xll.MKV("EUR.CM_INSTRUMENT.PXE."&amp;C93,B$3)</f>
        <v>BTPS</v>
      </c>
      <c r="C93" s="62" t="s">
        <v>743</v>
      </c>
      <c r="D93" s="125">
        <f>_xll.MKV("EUR.CM_INSTRUMENT.PXE."&amp;C93,D$3)</f>
        <v>46357</v>
      </c>
      <c r="E93" s="58">
        <f>IFERROR(($K93-Q93)*100,"99")</f>
        <v>1.5000000000000124</v>
      </c>
      <c r="F93" s="58" t="str">
        <f ca="1">IFERROR(($K93-R93)*100,"99")</f>
        <v>99</v>
      </c>
      <c r="G93" s="58">
        <f>IFERROR(($K93-S93)*100,"99")</f>
        <v>15.000000000000014</v>
      </c>
      <c r="H93" s="46" t="str">
        <f>_xll.MKV_PUBLISHRECORD(A93, $H$4)</f>
        <v>OK</v>
      </c>
      <c r="I93" s="46" t="str">
        <f ca="1">_xll.MKV_SUPPLYRECORD_RANGE(A93,$B$3:$G$3,B93:G93)</f>
        <v>OK</v>
      </c>
      <c r="J93" s="34">
        <f>_xll.MKV($J$1&amp;$C93, J$3)</f>
        <v>1.438744</v>
      </c>
      <c r="K93" s="32">
        <f>_xll.MKV($L$2&amp;$C93, K$3)</f>
        <v>1.4550000000000001</v>
      </c>
      <c r="L93" s="35">
        <f>_xll.MKV($L$2&amp;$C93, L$3)</f>
        <v>98.273694000000006</v>
      </c>
      <c r="M93" s="32">
        <f>L93-N93</f>
        <v>1.3694000000000983E-2</v>
      </c>
      <c r="N93" s="36">
        <f>_xll.BDH(C93&amp;"@CBBT Corp","OPEN",$N$1&amp;" 4:15:00 PM",$N$1&amp;" 5:15:00 PM","BarSz=60","BarTp=T","RecurDaily=True","TZ=London","DTS=H")</f>
        <v>98.26</v>
      </c>
      <c r="O93" s="36" t="e">
        <f ca="1">[1]!BError(_xll.BDH($C93&amp;"@CBBT Corp","OPEN",$O$1&amp;" 4:15:00 PM",$O$1&amp;" 5:15:00 PM","BarSz=60","BarTp=T","RecurDaily=True","TZ=London","DTS=H"))</f>
        <v>#NAME?</v>
      </c>
      <c r="P93" s="36">
        <f>_xll.BDH($C93&amp;"@CBBT Corp","OPEN",P$1&amp;" 4:15:00 PM",P$1&amp;" 5:15:00 PM","BarSz=60","BarTp=T","RecurDaily=True","TZ=London","DTS=H")</f>
        <v>99.512</v>
      </c>
      <c r="Q93" s="44">
        <f>_xll.BDP($C93&amp;"@CBBT Corp","YAS_BOND_YLD", "SETTLE_DT="&amp;Q$1, "YAS_BOND_PX="&amp;$N93)</f>
        <v>1.44</v>
      </c>
      <c r="R93" s="44" t="e">
        <f ca="1">_xll.BDP($C93&amp;"@CBBT Corp","YAS_BOND_YLD", "SETTLE_DT="&amp;R$1, "YAS_BOND_PX="&amp;$O93)</f>
        <v>#NAME?</v>
      </c>
      <c r="S93" s="44">
        <f>_xll.BDP($C93&amp;"@CBBT Corp","YAS_BOND_YLD", "SETTLE_DT="&amp;S$1, "YAS_BOND_PX="&amp;$P93)</f>
        <v>1.3049999999999999</v>
      </c>
    </row>
    <row r="94" spans="1:19">
      <c r="A94" s="46" t="str">
        <f t="shared" si="29"/>
        <v>EUR.CM_DEPTH.XLS_ANDREA.FR0011317783</v>
      </c>
      <c r="B94" s="51" t="str">
        <f>_xll.MKV("EUR.CM_INSTRUMENT.PXE."&amp;C94,B$3)</f>
        <v>FRTR</v>
      </c>
      <c r="C94" s="62" t="s">
        <v>602</v>
      </c>
      <c r="D94" s="125">
        <f>_xll.MKV("EUR.CM_INSTRUMENT.PXE."&amp;C94,D$3)</f>
        <v>46685</v>
      </c>
      <c r="E94" s="58">
        <f t="shared" si="20"/>
        <v>0.30000000000000027</v>
      </c>
      <c r="F94" s="58" t="str">
        <f t="shared" ca="1" si="21"/>
        <v>99</v>
      </c>
      <c r="G94" s="58">
        <f t="shared" si="22"/>
        <v>2.9999999999999973</v>
      </c>
      <c r="H94" s="46" t="str">
        <f>_xll.MKV_PUBLISHRECORD(A94, $H$4)</f>
        <v>OK</v>
      </c>
      <c r="I94" s="46" t="str">
        <f ca="1">_xll.MKV_SUPPLYRECORD_RANGE(A94,$B$3:$G$3,B94:G94)</f>
        <v>OK</v>
      </c>
      <c r="J94" s="34">
        <f>_xll.MKV($J$1&amp;$C94, J$3)</f>
        <v>0.35434300000000002</v>
      </c>
      <c r="K94" s="32">
        <f>_xll.MKV($L$2&amp;$C94, K$3)</f>
        <v>0.36</v>
      </c>
      <c r="L94" s="35">
        <f>_xll.MKV($L$2&amp;$C94, L$3)</f>
        <v>125.875715</v>
      </c>
      <c r="M94" s="32">
        <f t="shared" si="23"/>
        <v>1.9715000000005034E-2</v>
      </c>
      <c r="N94" s="36">
        <f>_xll.BDH(C94&amp;"@CBBT Corp","OPEN",$N$1&amp;" 4:15:00 PM",$N$1&amp;" 5:15:00 PM","BarSz=60","BarTp=T","RecurDaily=True","TZ=London","DTS=H")</f>
        <v>125.85599999999999</v>
      </c>
      <c r="O94" s="36" t="e">
        <f ca="1">[1]!BError(_xll.BDH($C94&amp;"@CBBT Corp","OPEN",$O$1&amp;" 4:15:00 PM",$O$1&amp;" 5:15:00 PM","BarSz=60","BarTp=T","RecurDaily=True","TZ=London","DTS=H"))</f>
        <v>#NAME?</v>
      </c>
      <c r="P94" s="36">
        <f>_xll.BDH($C94&amp;"@CBBT Corp","OPEN",P$1&amp;" 4:15:00 PM",P$1&amp;" 5:15:00 PM","BarSz=60","BarTp=T","RecurDaily=True","TZ=London","DTS=H")</f>
        <v>126.396</v>
      </c>
      <c r="Q94" s="44">
        <f>_xll.BDP($C94&amp;"@CBBT Corp","YAS_BOND_YLD", "SETTLE_DT="&amp;Q$1, "YAS_BOND_PX="&amp;$N94)</f>
        <v>0.35699999999999998</v>
      </c>
      <c r="R94" s="44" t="e">
        <f ca="1">_xll.BDP($C94&amp;"@CBBT Corp","YAS_BOND_YLD", "SETTLE_DT="&amp;R$1, "YAS_BOND_PX="&amp;$O94)</f>
        <v>#NAME?</v>
      </c>
      <c r="S94" s="44">
        <f>_xll.BDP($C94&amp;"@CBBT Corp","YAS_BOND_YLD", "SETTLE_DT="&amp;S$1, "YAS_BOND_PX="&amp;$P94)</f>
        <v>0.33</v>
      </c>
    </row>
    <row r="95" spans="1:19">
      <c r="A95" s="46" t="str">
        <f t="shared" si="29"/>
        <v>EUR.CM_DEPTH.XLS_ANDREA.IT0001174611</v>
      </c>
      <c r="B95" s="51" t="str">
        <f>_xll.MKV("EUR.CM_INSTRUMENT.PXE."&amp;C95,B$3)</f>
        <v>BTPS</v>
      </c>
      <c r="C95" s="62" t="s">
        <v>468</v>
      </c>
      <c r="D95" s="125">
        <f>_xll.MKV("EUR.CM_INSTRUMENT.PXE."&amp;C95,D$3)</f>
        <v>46692</v>
      </c>
      <c r="E95" s="58">
        <f t="shared" si="20"/>
        <v>0.9000000000000119</v>
      </c>
      <c r="F95" s="58" t="str">
        <f t="shared" ca="1" si="21"/>
        <v>99</v>
      </c>
      <c r="G95" s="58">
        <f t="shared" si="22"/>
        <v>14.700000000000024</v>
      </c>
      <c r="H95" s="46" t="str">
        <f>_xll.MKV_PUBLISHRECORD(A95, $H$4)</f>
        <v>OK</v>
      </c>
      <c r="I95" s="46" t="str">
        <f ca="1">_xll.MKV_SUPPLYRECORD_RANGE(A95,$B$3:$G$3,B95:G95)</f>
        <v>OK</v>
      </c>
      <c r="J95" s="34">
        <f>_xll.MKV($J$1&amp;$C95, J$3)</f>
        <v>1.5095449999999999</v>
      </c>
      <c r="K95" s="32">
        <f>_xll.MKV($L$2&amp;$C95, K$3)</f>
        <v>1.5230000000000001</v>
      </c>
      <c r="L95" s="35">
        <f>_xll.MKV($L$2&amp;$C95, L$3)</f>
        <v>150.69200000000001</v>
      </c>
      <c r="M95" s="32">
        <f t="shared" si="23"/>
        <v>3.2000000000010687E-2</v>
      </c>
      <c r="N95" s="36">
        <f>_xll.BDH(C95&amp;"@CBBT Corp","OPEN",$N$1&amp;" 4:15:00 PM",$N$1&amp;" 5:15:00 PM","BarSz=60","BarTp=T","RecurDaily=True","TZ=London","DTS=H")</f>
        <v>150.66</v>
      </c>
      <c r="O95" s="36" t="e">
        <f ca="1">[1]!BError(_xll.BDH($C95&amp;"@CBBT Corp","OPEN",$O$1&amp;" 4:15:00 PM",$O$1&amp;" 5:15:00 PM","BarSz=60","BarTp=T","RecurDaily=True","TZ=London","DTS=H"))</f>
        <v>#NAME?</v>
      </c>
      <c r="P95" s="36">
        <f>_xll.BDH($C95&amp;"@CBBT Corp","OPEN",P$1&amp;" 4:15:00 PM",P$1&amp;" 5:15:00 PM","BarSz=60","BarTp=T","RecurDaily=True","TZ=London","DTS=H")</f>
        <v>152.83199999999999</v>
      </c>
      <c r="Q95" s="44">
        <f>_xll.BDP($C95&amp;"@CBBT Corp","YAS_BOND_YLD", "SETTLE_DT="&amp;Q$1, "YAS_BOND_PX="&amp;$N95)</f>
        <v>1.514</v>
      </c>
      <c r="R95" s="44" t="e">
        <f ca="1">_xll.BDP($C95&amp;"@CBBT Corp","YAS_BOND_YLD", "SETTLE_DT="&amp;R$1, "YAS_BOND_PX="&amp;$O95)</f>
        <v>#NAME?</v>
      </c>
      <c r="S95" s="44">
        <f>_xll.BDP($C95&amp;"@CBBT Corp","YAS_BOND_YLD", "SETTLE_DT="&amp;S$1, "YAS_BOND_PX="&amp;$P95)</f>
        <v>1.3759999999999999</v>
      </c>
    </row>
    <row r="96" spans="1:19">
      <c r="A96" s="46" t="str">
        <f t="shared" si="29"/>
        <v>EUR.CM_DEPTH.XLS_ANDREA.IT0004889033</v>
      </c>
      <c r="B96" s="51" t="str">
        <f>_xll.MKV("EUR.CM_INSTRUMENT.PXE."&amp;C96,B$3)</f>
        <v>BTPS</v>
      </c>
      <c r="C96" s="61" t="s">
        <v>469</v>
      </c>
      <c r="D96" s="125">
        <f>_xll.MKV("EUR.CM_INSTRUMENT.PXE."&amp;C96,D$3)</f>
        <v>46997</v>
      </c>
      <c r="E96" s="58">
        <f t="shared" si="20"/>
        <v>0.9000000000000119</v>
      </c>
      <c r="F96" s="58" t="str">
        <f t="shared" ca="1" si="21"/>
        <v>99</v>
      </c>
      <c r="G96" s="58">
        <f t="shared" si="22"/>
        <v>15.800000000000015</v>
      </c>
      <c r="H96" s="46" t="str">
        <f>_xll.MKV_PUBLISHRECORD(A96, $H$4)</f>
        <v>OK</v>
      </c>
      <c r="I96" s="46" t="str">
        <f ca="1">_xll.MKV_SUPPLYRECORD_RANGE(A96,$B$3:$G$3,B96:G96)</f>
        <v>OK</v>
      </c>
      <c r="J96" s="34">
        <f>_xll.MKV($J$1&amp;$C96, J$3)</f>
        <v>1.5904670000000001</v>
      </c>
      <c r="K96" s="32">
        <f>_xll.MKV($L$2&amp;$C96, K$3)</f>
        <v>1.6</v>
      </c>
      <c r="L96" s="35">
        <f>_xll.MKV($L$2&amp;$C96, L$3)</f>
        <v>134.167811</v>
      </c>
      <c r="M96" s="32">
        <f t="shared" si="23"/>
        <v>-5.1890000000014425E-3</v>
      </c>
      <c r="N96" s="36">
        <f>_xll.BDH(C96&amp;"@CBBT Corp","OPEN",$N$1&amp;" 4:15:00 PM",$N$1&amp;" 5:15:00 PM","BarSz=60","BarTp=T","RecurDaily=True","TZ=London","DTS=H")</f>
        <v>134.173</v>
      </c>
      <c r="O96" s="36" t="e">
        <f ca="1">[1]!BError(_xll.BDH($C96&amp;"@CBBT Corp","OPEN",$O$1&amp;" 4:15:00 PM",$O$1&amp;" 5:15:00 PM","BarSz=60","BarTp=T","RecurDaily=True","TZ=London","DTS=H"))</f>
        <v>#NAME?</v>
      </c>
      <c r="P96" s="36">
        <f>_xll.BDH($C96&amp;"@CBBT Corp","OPEN",P$1&amp;" 4:15:00 PM",P$1&amp;" 5:15:00 PM","BarSz=60","BarTp=T","RecurDaily=True","TZ=London","DTS=H")</f>
        <v>136.33699999999999</v>
      </c>
      <c r="Q96" s="44">
        <f>_xll.BDP($C96&amp;"@CBBT Corp","YAS_BOND_YLD", "SETTLE_DT="&amp;Q$1, "YAS_BOND_PX="&amp;$N96)</f>
        <v>1.591</v>
      </c>
      <c r="R96" s="44" t="e">
        <f ca="1">_xll.BDP($C96&amp;"@CBBT Corp","YAS_BOND_YLD", "SETTLE_DT="&amp;R$1, "YAS_BOND_PX="&amp;$O96)</f>
        <v>#NAME?</v>
      </c>
      <c r="S96" s="44">
        <f>_xll.BDP($C96&amp;"@CBBT Corp","YAS_BOND_YLD", "SETTLE_DT="&amp;S$1, "YAS_BOND_PX="&amp;$P96)</f>
        <v>1.4419999999999999</v>
      </c>
    </row>
    <row r="97" spans="1:19">
      <c r="A97" s="46" t="str">
        <f t="shared" si="29"/>
        <v>EUR.CM_DEPTH.XLS_ANDREA.IT0001278511</v>
      </c>
      <c r="B97" s="51" t="str">
        <f>_xll.MKV("EUR.CM_INSTRUMENT.PXE."&amp;C97,B$3)</f>
        <v>BTPS</v>
      </c>
      <c r="C97" s="61" t="s">
        <v>470</v>
      </c>
      <c r="D97" s="125">
        <f>_xll.MKV("EUR.CM_INSTRUMENT.PXE."&amp;C97,D$3)</f>
        <v>47423</v>
      </c>
      <c r="E97" s="58">
        <f t="shared" si="20"/>
        <v>0.9000000000000119</v>
      </c>
      <c r="F97" s="58" t="str">
        <f t="shared" ca="1" si="21"/>
        <v>99</v>
      </c>
      <c r="G97" s="58">
        <f t="shared" si="22"/>
        <v>15.199999999999992</v>
      </c>
      <c r="H97" s="46" t="str">
        <f>_xll.MKV_PUBLISHRECORD(A97, $H$4)</f>
        <v>OK</v>
      </c>
      <c r="I97" s="46" t="str">
        <f ca="1">_xll.MKV_SUPPLYRECORD_RANGE(A97,$B$3:$G$3,B97:G97)</f>
        <v>OK</v>
      </c>
      <c r="J97" s="34">
        <f>_xll.MKV($J$1&amp;$C97, J$3)</f>
        <v>1.6647780000000001</v>
      </c>
      <c r="K97" s="32">
        <f>_xll.MKV($L$2&amp;$C97, K$3)</f>
        <v>1.675</v>
      </c>
      <c r="L97" s="35">
        <f>_xll.MKV($L$2&amp;$C97, L$3)</f>
        <v>141.998087</v>
      </c>
      <c r="M97" s="32">
        <f t="shared" si="23"/>
        <v>1.0869999999840729E-3</v>
      </c>
      <c r="N97" s="36">
        <f>_xll.BDH(C97&amp;"@CBBT Corp","OPEN",$N$1&amp;" 4:15:00 PM",$N$1&amp;" 5:15:00 PM","BarSz=60","BarTp=T","RecurDaily=True","TZ=London","DTS=H")</f>
        <v>141.99700000000001</v>
      </c>
      <c r="O97" s="36" t="e">
        <f ca="1">[1]!BError(_xll.BDH($C97&amp;"@CBBT Corp","OPEN",$O$1&amp;" 4:15:00 PM",$O$1&amp;" 5:15:00 PM","BarSz=60","BarTp=T","RecurDaily=True","TZ=London","DTS=H"))</f>
        <v>#NAME?</v>
      </c>
      <c r="P97" s="36">
        <f>_xll.BDH($C97&amp;"@CBBT Corp","OPEN",P$1&amp;" 4:15:00 PM",P$1&amp;" 5:15:00 PM","BarSz=60","BarTp=T","RecurDaily=True","TZ=London","DTS=H")</f>
        <v>144.32499999999999</v>
      </c>
      <c r="Q97" s="44">
        <f>_xll.BDP($C97&amp;"@CBBT Corp","YAS_BOND_YLD", "SETTLE_DT="&amp;Q$1, "YAS_BOND_PX="&amp;$N97)</f>
        <v>1.6659999999999999</v>
      </c>
      <c r="R97" s="44" t="e">
        <f ca="1">_xll.BDP($C97&amp;"@CBBT Corp","YAS_BOND_YLD", "SETTLE_DT="&amp;R$1, "YAS_BOND_PX="&amp;$O97)</f>
        <v>#NAME?</v>
      </c>
      <c r="S97" s="44">
        <f>_xll.BDP($C97&amp;"@CBBT Corp","YAS_BOND_YLD", "SETTLE_DT="&amp;S$1, "YAS_BOND_PX="&amp;$P97)</f>
        <v>1.5230000000000001</v>
      </c>
    </row>
    <row r="98" spans="1:19">
      <c r="A98" s="46" t="str">
        <f t="shared" si="29"/>
        <v>EUR.CM_DEPTH.XLS_ANDREA.IT0005024234</v>
      </c>
      <c r="B98" s="51" t="str">
        <f>_xll.MKV("EUR.CM_INSTRUMENT.PXE."&amp;C98,B$3)</f>
        <v>BTPS</v>
      </c>
      <c r="C98" s="61" t="s">
        <v>471</v>
      </c>
      <c r="D98" s="125">
        <f>_xll.MKV("EUR.CM_INSTRUMENT.PXE."&amp;C98,D$3)</f>
        <v>47543</v>
      </c>
      <c r="E98" s="58">
        <f t="shared" si="20"/>
        <v>1.0000000000000009</v>
      </c>
      <c r="F98" s="58" t="str">
        <f t="shared" ca="1" si="21"/>
        <v>99</v>
      </c>
      <c r="G98" s="58">
        <f t="shared" si="22"/>
        <v>17.199999999999992</v>
      </c>
      <c r="H98" s="46" t="str">
        <f>_xll.MKV_PUBLISHRECORD(A98, $H$4)</f>
        <v>OK</v>
      </c>
      <c r="I98" s="46" t="str">
        <f ca="1">_xll.MKV_SUPPLYRECORD_RANGE(A98,$B$3:$G$3,B98:G98)</f>
        <v>OK</v>
      </c>
      <c r="J98" s="34">
        <f>_xll.MKV($J$1&amp;$C98, J$3)</f>
        <v>1.702056</v>
      </c>
      <c r="K98" s="32">
        <f>_xll.MKV($L$2&amp;$C98, K$3)</f>
        <v>1.712</v>
      </c>
      <c r="L98" s="35">
        <f>_xll.MKV($L$2&amp;$C98, L$3)</f>
        <v>121.532292</v>
      </c>
      <c r="M98" s="32">
        <f t="shared" si="23"/>
        <v>-2.7079999999983784E-3</v>
      </c>
      <c r="N98" s="36">
        <f>_xll.BDH(C98&amp;"@CBBT Corp","OPEN",$N$1&amp;" 4:15:00 PM",$N$1&amp;" 5:15:00 PM","BarSz=60","BarTp=T","RecurDaily=True","TZ=London","DTS=H")</f>
        <v>121.535</v>
      </c>
      <c r="O98" s="36" t="e">
        <f ca="1">[1]!BError(_xll.BDH($C98&amp;"@CBBT Corp","OPEN",$O$1&amp;" 4:15:00 PM",$O$1&amp;" 5:15:00 PM","BarSz=60","BarTp=T","RecurDaily=True","TZ=London","DTS=H"))</f>
        <v>#NAME?</v>
      </c>
      <c r="P98" s="36">
        <f>_xll.BDH($C98&amp;"@CBBT Corp","OPEN",P$1&amp;" 4:15:00 PM",P$1&amp;" 5:15:00 PM","BarSz=60","BarTp=T","RecurDaily=True","TZ=London","DTS=H")</f>
        <v>123.852</v>
      </c>
      <c r="Q98" s="44">
        <f>_xll.BDP($C98&amp;"@CBBT Corp","YAS_BOND_YLD", "SETTLE_DT="&amp;Q$1, "YAS_BOND_PX="&amp;$N98)</f>
        <v>1.702</v>
      </c>
      <c r="R98" s="44" t="e">
        <f ca="1">_xll.BDP($C98&amp;"@CBBT Corp","YAS_BOND_YLD", "SETTLE_DT="&amp;R$1, "YAS_BOND_PX="&amp;$O98)</f>
        <v>#NAME?</v>
      </c>
      <c r="S98" s="44">
        <f>_xll.BDP($C98&amp;"@CBBT Corp","YAS_BOND_YLD", "SETTLE_DT="&amp;S$1, "YAS_BOND_PX="&amp;$P98)</f>
        <v>1.54</v>
      </c>
    </row>
    <row r="99" spans="1:19">
      <c r="A99" s="46" t="str">
        <f t="shared" si="29"/>
        <v>EUR.CM_DEPTH.XLS_ANDREA.FR0011883966</v>
      </c>
      <c r="B99" s="51" t="str">
        <f>_xll.MKV("EUR.CM_INSTRUMENT.PXE."&amp;C99,B$3)</f>
        <v>FRTR</v>
      </c>
      <c r="C99" s="62" t="s">
        <v>609</v>
      </c>
      <c r="D99" s="125">
        <f>_xll.MKV("EUR.CM_INSTRUMENT.PXE."&amp;C99,D$3)</f>
        <v>47628</v>
      </c>
      <c r="E99" s="58">
        <f t="shared" si="20"/>
        <v>0.20000000000000018</v>
      </c>
      <c r="F99" s="58" t="str">
        <f t="shared" ca="1" si="21"/>
        <v>99</v>
      </c>
      <c r="G99" s="58">
        <f t="shared" si="22"/>
        <v>0.70000000000000062</v>
      </c>
      <c r="H99" s="46" t="str">
        <f>_xll.MKV_PUBLISHRECORD(A99, $H$4)</f>
        <v>OK</v>
      </c>
      <c r="I99" s="46" t="str">
        <f ca="1">_xll.MKV_SUPPLYRECORD_RANGE(A99,$B$3:$G$3,B99:G99)</f>
        <v>OK</v>
      </c>
      <c r="J99" s="34">
        <f>_xll.MKV($J$1&amp;$C99, J$3)</f>
        <v>0.53380099999999997</v>
      </c>
      <c r="K99" s="32">
        <f>_xll.MKV($L$2&amp;$C99, K$3)</f>
        <v>0.53700000000000003</v>
      </c>
      <c r="L99" s="35">
        <f>_xll.MKV($L$2&amp;$C99, L$3)</f>
        <v>125.75</v>
      </c>
      <c r="M99" s="32">
        <f t="shared" si="23"/>
        <v>4.0000000000048885E-3</v>
      </c>
      <c r="N99" s="36">
        <f>_xll.BDH(C99&amp;"@CBBT Corp","OPEN",$N$1&amp;" 4:15:00 PM",$N$1&amp;" 5:15:00 PM","BarSz=60","BarTp=T","RecurDaily=True","TZ=London","DTS=H")</f>
        <v>125.746</v>
      </c>
      <c r="O99" s="36" t="e">
        <f ca="1">[1]!BError(_xll.BDH($C99&amp;"@CBBT Corp","OPEN",$O$1&amp;" 4:15:00 PM",$O$1&amp;" 5:15:00 PM","BarSz=60","BarTp=T","RecurDaily=True","TZ=London","DTS=H"))</f>
        <v>#NAME?</v>
      </c>
      <c r="P99" s="36">
        <f>_xll.BDH($C99&amp;"@CBBT Corp","OPEN",P$1&amp;" 4:15:00 PM",P$1&amp;" 5:15:00 PM","BarSz=60","BarTp=T","RecurDaily=True","TZ=London","DTS=H")</f>
        <v>125.97499999999999</v>
      </c>
      <c r="Q99" s="44">
        <f>_xll.BDP($C99&amp;"@CBBT Corp","YAS_BOND_YLD", "SETTLE_DT="&amp;Q$1, "YAS_BOND_PX="&amp;$N99)</f>
        <v>0.53500000000000003</v>
      </c>
      <c r="R99" s="44" t="e">
        <f ca="1">_xll.BDP($C99&amp;"@CBBT Corp","YAS_BOND_YLD", "SETTLE_DT="&amp;R$1, "YAS_BOND_PX="&amp;$O99)</f>
        <v>#NAME?</v>
      </c>
      <c r="S99" s="44">
        <f>_xll.BDP($C99&amp;"@CBBT Corp","YAS_BOND_YLD", "SETTLE_DT="&amp;S$1, "YAS_BOND_PX="&amp;$P99)</f>
        <v>0.53</v>
      </c>
    </row>
    <row r="100" spans="1:19">
      <c r="A100" s="46" t="str">
        <f t="shared" si="29"/>
        <v>EUR.CM_DEPTH.XLS_ANDREA.IT0001444378</v>
      </c>
      <c r="B100" s="51" t="str">
        <f>_xll.MKV("EUR.CM_INSTRUMENT.PXE."&amp;C100,B$3)</f>
        <v>BTPS</v>
      </c>
      <c r="C100" s="61" t="s">
        <v>472</v>
      </c>
      <c r="D100" s="125">
        <f>_xll.MKV("EUR.CM_INSTRUMENT.PXE."&amp;C100,D$3)</f>
        <v>47969</v>
      </c>
      <c r="E100" s="58">
        <f t="shared" si="20"/>
        <v>0.80000000000000071</v>
      </c>
      <c r="F100" s="58" t="str">
        <f t="shared" ca="1" si="21"/>
        <v>99</v>
      </c>
      <c r="G100" s="58">
        <f t="shared" si="22"/>
        <v>16.399999999999991</v>
      </c>
      <c r="H100" s="46" t="str">
        <f>_xll.MKV_PUBLISHRECORD(A100, $H$4)</f>
        <v>OK</v>
      </c>
      <c r="I100" s="46" t="str">
        <f ca="1">_xll.MKV_SUPPLYRECORD_RANGE(A100,$B$3:$G$3,B100:G100)</f>
        <v>OK</v>
      </c>
      <c r="J100" s="34">
        <f>_xll.MKV($J$1&amp;$C100, J$3)</f>
        <v>1.7757130000000001</v>
      </c>
      <c r="K100" s="32">
        <f>_xll.MKV($L$2&amp;$C100, K$3)</f>
        <v>1.784</v>
      </c>
      <c r="L100" s="35">
        <f>_xll.MKV($L$2&amp;$C100, L$3)</f>
        <v>154.082807</v>
      </c>
      <c r="M100" s="32">
        <f t="shared" si="23"/>
        <v>-9.1930000000104428E-3</v>
      </c>
      <c r="N100" s="36">
        <f>_xll.BDH(C100&amp;"@CBBT Corp","OPEN",$N$1&amp;" 4:15:00 PM",$N$1&amp;" 5:15:00 PM","BarSz=60","BarTp=T","RecurDaily=True","TZ=London","DTS=H")</f>
        <v>154.09200000000001</v>
      </c>
      <c r="O100" s="36" t="e">
        <f ca="1">[1]!BError(_xll.BDH($C100&amp;"@CBBT Corp","OPEN",$O$1&amp;" 4:15:00 PM",$O$1&amp;" 5:15:00 PM","BarSz=60","BarTp=T","RecurDaily=True","TZ=London","DTS=H"))</f>
        <v>#NAME?</v>
      </c>
      <c r="P100" s="36">
        <f>_xll.BDH($C100&amp;"@CBBT Corp","OPEN",P$1&amp;" 4:15:00 PM",P$1&amp;" 5:15:00 PM","BarSz=60","BarTp=T","RecurDaily=True","TZ=London","DTS=H")</f>
        <v>157</v>
      </c>
      <c r="Q100" s="44">
        <f>_xll.BDP($C100&amp;"@CBBT Corp","YAS_BOND_YLD", "SETTLE_DT="&amp;Q$1, "YAS_BOND_PX="&amp;$N100)</f>
        <v>1.776</v>
      </c>
      <c r="R100" s="44" t="e">
        <f ca="1">_xll.BDP($C100&amp;"@CBBT Corp","YAS_BOND_YLD", "SETTLE_DT="&amp;R$1, "YAS_BOND_PX="&amp;$O100)</f>
        <v>#NAME?</v>
      </c>
      <c r="S100" s="44">
        <f>_xll.BDP($C100&amp;"@CBBT Corp","YAS_BOND_YLD", "SETTLE_DT="&amp;S$1, "YAS_BOND_PX="&amp;$P100)</f>
        <v>1.62</v>
      </c>
    </row>
    <row r="101" spans="1:19">
      <c r="A101" s="46" t="str">
        <f t="shared" si="29"/>
        <v>EUR.CM_DEPTH.XLS_ANDREA.FR0012993103</v>
      </c>
      <c r="B101" s="51" t="str">
        <f>_xll.MKV("EUR.CM_INSTRUMENT.PXE."&amp;C101,B$3)</f>
        <v>FRTR</v>
      </c>
      <c r="C101" s="62" t="s">
        <v>642</v>
      </c>
      <c r="D101" s="125">
        <f>_xll.MKV("EUR.CM_INSTRUMENT.PXE."&amp;C101,D$3)</f>
        <v>47993</v>
      </c>
      <c r="E101" s="58">
        <f t="shared" si="20"/>
        <v>0.10000000000000009</v>
      </c>
      <c r="F101" s="58" t="str">
        <f t="shared" ca="1" si="21"/>
        <v>99</v>
      </c>
      <c r="G101" s="58">
        <f t="shared" si="22"/>
        <v>0.50000000000000044</v>
      </c>
      <c r="H101" s="46" t="str">
        <f>_xll.MKV_PUBLISHRECORD(A101, $H$4)</f>
        <v>OK</v>
      </c>
      <c r="I101" s="46" t="str">
        <f ca="1">_xll.MKV_SUPPLYRECORD_RANGE(A101,$B$3:$G$3,B101:G101)</f>
        <v>OK</v>
      </c>
      <c r="J101" s="34">
        <f>_xll.MKV($J$1&amp;$C101, J$3)</f>
        <v>0.62553700000000001</v>
      </c>
      <c r="K101" s="32">
        <f>_xll.MKV($L$2&amp;$C101, K$3)</f>
        <v>0.627</v>
      </c>
      <c r="L101" s="35">
        <f>_xll.MKV($L$2&amp;$C101, L$3)</f>
        <v>112.175</v>
      </c>
      <c r="M101" s="32">
        <f t="shared" si="23"/>
        <v>9.9999999999056399E-4</v>
      </c>
      <c r="N101" s="36">
        <f>_xll.BDH(C101&amp;"@CBBT Corp","OPEN",$N$1&amp;" 4:15:00 PM",$N$1&amp;" 5:15:00 PM","BarSz=60","BarTp=T","RecurDaily=True","TZ=London","DTS=H")</f>
        <v>112.17400000000001</v>
      </c>
      <c r="O101" s="36" t="e">
        <f ca="1">[1]!BError(_xll.BDH($C101&amp;"@CBBT Corp","OPEN",$O$1&amp;" 4:15:00 PM",$O$1&amp;" 5:15:00 PM","BarSz=60","BarTp=T","RecurDaily=True","TZ=London","DTS=H"))</f>
        <v>#NAME?</v>
      </c>
      <c r="P101" s="36">
        <f>_xll.BDH($C101&amp;"@CBBT Corp","OPEN",P$1&amp;" 4:15:00 PM",P$1&amp;" 5:15:00 PM","BarSz=60","BarTp=T","RecurDaily=True","TZ=London","DTS=H")</f>
        <v>112.295</v>
      </c>
      <c r="Q101" s="44">
        <f>_xll.BDP($C101&amp;"@CBBT Corp","YAS_BOND_YLD", "SETTLE_DT="&amp;Q$1, "YAS_BOND_PX="&amp;$N101)</f>
        <v>0.626</v>
      </c>
      <c r="R101" s="44" t="e">
        <f ca="1">_xll.BDP($C101&amp;"@CBBT Corp","YAS_BOND_YLD", "SETTLE_DT="&amp;R$1, "YAS_BOND_PX="&amp;$O101)</f>
        <v>#NAME?</v>
      </c>
      <c r="S101" s="44">
        <f>_xll.BDP($C101&amp;"@CBBT Corp","YAS_BOND_YLD", "SETTLE_DT="&amp;S$1, "YAS_BOND_PX="&amp;$P101)</f>
        <v>0.622</v>
      </c>
    </row>
    <row r="102" spans="1:19">
      <c r="A102" s="46" t="str">
        <f t="shared" si="29"/>
        <v>EUR.CM_DEPTH.XLS_ANDREA.IT0005094088</v>
      </c>
      <c r="B102" s="51" t="str">
        <f>_xll.MKV("EUR.CM_INSTRUMENT.PXE."&amp;C102,B$3)</f>
        <v>BTPS</v>
      </c>
      <c r="C102" s="61" t="s">
        <v>473</v>
      </c>
      <c r="D102" s="125">
        <f>_xll.MKV("EUR.CM_INSTRUMENT.PXE."&amp;C102,D$3)</f>
        <v>48274</v>
      </c>
      <c r="E102" s="58">
        <f t="shared" si="20"/>
        <v>1.1999999999999789</v>
      </c>
      <c r="F102" s="58" t="str">
        <f t="shared" ca="1" si="21"/>
        <v>99</v>
      </c>
      <c r="G102" s="58">
        <f t="shared" si="22"/>
        <v>17.599999999999994</v>
      </c>
      <c r="H102" s="46" t="str">
        <f>_xll.MKV_PUBLISHRECORD(A102, $H$4)</f>
        <v>OK</v>
      </c>
      <c r="I102" s="46" t="str">
        <f ca="1">_xll.MKV_SUPPLYRECORD_RANGE(A102,$B$3:$G$3,B102:G102)</f>
        <v>OK</v>
      </c>
      <c r="J102" s="34">
        <f>_xll.MKV($J$1&amp;$C102, J$3)</f>
        <v>1.7845899999999999</v>
      </c>
      <c r="K102" s="32">
        <f>_xll.MKV($L$2&amp;$C102, K$3)</f>
        <v>1.7969999999999999</v>
      </c>
      <c r="L102" s="35">
        <f>_xll.MKV($L$2&amp;$C102, L$3)</f>
        <v>98.3</v>
      </c>
      <c r="M102" s="32">
        <f t="shared" si="23"/>
        <v>7.9999999999955662E-3</v>
      </c>
      <c r="N102" s="36">
        <f>_xll.BDH(C102&amp;"@CBBT Corp","OPEN",$N$1&amp;" 4:15:00 PM",$N$1&amp;" 5:15:00 PM","BarSz=60","BarTp=T","RecurDaily=True","TZ=London","DTS=H")</f>
        <v>98.292000000000002</v>
      </c>
      <c r="O102" s="36" t="e">
        <f ca="1">[1]!BError(_xll.BDH($C102&amp;"@CBBT Corp","OPEN",$O$1&amp;" 4:15:00 PM",$O$1&amp;" 5:15:00 PM","BarSz=60","BarTp=T","RecurDaily=True","TZ=London","DTS=H"))</f>
        <v>#NAME?</v>
      </c>
      <c r="P102" s="36">
        <f>_xll.BDH($C102&amp;"@CBBT Corp","OPEN",P$1&amp;" 4:15:00 PM",P$1&amp;" 5:15:00 PM","BarSz=60","BarTp=T","RecurDaily=True","TZ=London","DTS=H")</f>
        <v>100.485</v>
      </c>
      <c r="Q102" s="44">
        <f>_xll.BDP($C102&amp;"@CBBT Corp","YAS_BOND_YLD", "SETTLE_DT="&amp;Q$1, "YAS_BOND_PX="&amp;$N102)</f>
        <v>1.7850000000000001</v>
      </c>
      <c r="R102" s="44" t="e">
        <f ca="1">_xll.BDP($C102&amp;"@CBBT Corp","YAS_BOND_YLD", "SETTLE_DT="&amp;R$1, "YAS_BOND_PX="&amp;$O102)</f>
        <v>#NAME?</v>
      </c>
      <c r="S102" s="44">
        <f>_xll.BDP($C102&amp;"@CBBT Corp","YAS_BOND_YLD", "SETTLE_DT="&amp;S$1, "YAS_BOND_PX="&amp;$P102)</f>
        <v>1.621</v>
      </c>
    </row>
    <row r="103" spans="1:19">
      <c r="A103" s="46" t="str">
        <f t="shared" si="29"/>
        <v>EUR.CM_DEPTH.XLS_ANDREA.FR0000187635</v>
      </c>
      <c r="B103" s="51" t="str">
        <f>_xll.MKV("EUR.CM_INSTRUMENT.PXE."&amp;C103,B$3)</f>
        <v>FRTR</v>
      </c>
      <c r="C103" s="62" t="s">
        <v>613</v>
      </c>
      <c r="D103" s="125">
        <f>_xll.MKV("EUR.CM_INSTRUMENT.PXE."&amp;C103,D$3)</f>
        <v>48512</v>
      </c>
      <c r="E103" s="58">
        <f t="shared" si="20"/>
        <v>0.10000000000000009</v>
      </c>
      <c r="F103" s="58" t="str">
        <f t="shared" ca="1" si="21"/>
        <v>99</v>
      </c>
      <c r="G103" s="58">
        <f t="shared" si="22"/>
        <v>0.10000000000000009</v>
      </c>
      <c r="H103" s="46" t="str">
        <f>_xll.MKV_PUBLISHRECORD(A103, $H$4)</f>
        <v>OK</v>
      </c>
      <c r="I103" s="46" t="str">
        <f ca="1">_xll.MKV_SUPPLYRECORD_RANGE(A103,$B$3:$G$3,B103:G103)</f>
        <v>OK</v>
      </c>
      <c r="J103" s="34">
        <f>_xll.MKV($J$1&amp;$C103, J$3)</f>
        <v>0.62981200000000004</v>
      </c>
      <c r="K103" s="32">
        <f>_xll.MKV($L$2&amp;$C103, K$3)</f>
        <v>0.63200000000000001</v>
      </c>
      <c r="L103" s="35">
        <f>_xll.MKV($L$2&amp;$C103, L$3)</f>
        <v>177.84899999999999</v>
      </c>
      <c r="M103" s="32">
        <f t="shared" si="23"/>
        <v>9.9999999999909051E-3</v>
      </c>
      <c r="N103" s="36">
        <f>_xll.BDH(C103&amp;"@CBBT Corp","OPEN",$N$1&amp;" 4:15:00 PM",$N$1&amp;" 5:15:00 PM","BarSz=60","BarTp=T","RecurDaily=True","TZ=London","DTS=H")</f>
        <v>177.839</v>
      </c>
      <c r="O103" s="36" t="e">
        <f ca="1">[1]!BError(_xll.BDH($C103&amp;"@CBBT Corp","OPEN",$O$1&amp;" 4:15:00 PM",$O$1&amp;" 5:15:00 PM","BarSz=60","BarTp=T","RecurDaily=True","TZ=London","DTS=H"))</f>
        <v>#NAME?</v>
      </c>
      <c r="P103" s="36">
        <f>_xll.BDH($C103&amp;"@CBBT Corp","OPEN",P$1&amp;" 4:15:00 PM",P$1&amp;" 5:15:00 PM","BarSz=60","BarTp=T","RecurDaily=True","TZ=London","DTS=H")</f>
        <v>178.249</v>
      </c>
      <c r="Q103" s="44">
        <f>_xll.BDP($C103&amp;"@CBBT Corp","YAS_BOND_YLD", "SETTLE_DT="&amp;Q$1, "YAS_BOND_PX="&amp;$N103)</f>
        <v>0.63100000000000001</v>
      </c>
      <c r="R103" s="44" t="e">
        <f ca="1">_xll.BDP($C103&amp;"@CBBT Corp","YAS_BOND_YLD", "SETTLE_DT="&amp;R$1, "YAS_BOND_PX="&amp;$O103)</f>
        <v>#NAME?</v>
      </c>
      <c r="S103" s="44">
        <f>_xll.BDP($C103&amp;"@CBBT Corp","YAS_BOND_YLD", "SETTLE_DT="&amp;S$1, "YAS_BOND_PX="&amp;$P103)</f>
        <v>0.63100000000000001</v>
      </c>
    </row>
    <row r="104" spans="1:19">
      <c r="A104" s="46" t="str">
        <f t="shared" si="29"/>
        <v>EUR.CM_DEPTH.XLS_ANDREA.IT0003256820</v>
      </c>
      <c r="B104" s="51" t="str">
        <f>_xll.MKV("EUR.CM_INSTRUMENT.PXE."&amp;C104,B$3)</f>
        <v>BTPS</v>
      </c>
      <c r="C104" s="61" t="s">
        <v>474</v>
      </c>
      <c r="D104" s="125">
        <f>_xll.MKV("EUR.CM_INSTRUMENT.PXE."&amp;C104,D$3)</f>
        <v>48611</v>
      </c>
      <c r="E104" s="58">
        <f t="shared" si="20"/>
        <v>0.9000000000000119</v>
      </c>
      <c r="F104" s="58" t="str">
        <f t="shared" ca="1" si="21"/>
        <v>99</v>
      </c>
      <c r="G104" s="58">
        <f t="shared" si="22"/>
        <v>17.400000000000016</v>
      </c>
      <c r="H104" s="46" t="str">
        <f>_xll.MKV_PUBLISHRECORD(A104, $H$4)</f>
        <v>OK</v>
      </c>
      <c r="I104" s="46" t="str">
        <f ca="1">_xll.MKV_SUPPLYRECORD_RANGE(A104,$B$3:$G$3,B104:G104)</f>
        <v>OK</v>
      </c>
      <c r="J104" s="34">
        <f>_xll.MKV($J$1&amp;$C104, J$3)</f>
        <v>1.8874230000000001</v>
      </c>
      <c r="K104" s="32">
        <f>_xll.MKV($L$2&amp;$C104, K$3)</f>
        <v>1.8960000000000001</v>
      </c>
      <c r="L104" s="35">
        <f>_xll.MKV($L$2&amp;$C104, L$3)</f>
        <v>154.13986399999999</v>
      </c>
      <c r="M104" s="32">
        <f t="shared" si="23"/>
        <v>-1.5136000000012473E-2</v>
      </c>
      <c r="N104" s="36">
        <f>_xll.BDH(C104&amp;"@CBBT Corp","OPEN",$N$1&amp;" 4:15:00 PM",$N$1&amp;" 5:15:00 PM","BarSz=60","BarTp=T","RecurDaily=True","TZ=London","DTS=H")</f>
        <v>154.155</v>
      </c>
      <c r="O104" s="36" t="e">
        <f ca="1">[1]!BError(_xll.BDH($C104&amp;"@CBBT Corp","OPEN",$O$1&amp;" 4:15:00 PM",$O$1&amp;" 5:15:00 PM","BarSz=60","BarTp=T","RecurDaily=True","TZ=London","DTS=H"))</f>
        <v>#NAME?</v>
      </c>
      <c r="P104" s="36">
        <f>_xll.BDH($C104&amp;"@CBBT Corp","OPEN",P$1&amp;" 4:15:00 PM",P$1&amp;" 5:15:00 PM","BarSz=60","BarTp=T","RecurDaily=True","TZ=London","DTS=H")</f>
        <v>157.44499999999999</v>
      </c>
      <c r="Q104" s="44">
        <f>_xll.BDP($C104&amp;"@CBBT Corp","YAS_BOND_YLD", "SETTLE_DT="&amp;Q$1, "YAS_BOND_PX="&amp;$N104)</f>
        <v>1.887</v>
      </c>
      <c r="R104" s="44" t="e">
        <f ca="1">_xll.BDP($C104&amp;"@CBBT Corp","YAS_BOND_YLD", "SETTLE_DT="&amp;R$1, "YAS_BOND_PX="&amp;$O104)</f>
        <v>#NAME?</v>
      </c>
      <c r="S104" s="44">
        <f>_xll.BDP($C104&amp;"@CBBT Corp","YAS_BOND_YLD", "SETTLE_DT="&amp;S$1, "YAS_BOND_PX="&amp;$P104)</f>
        <v>1.722</v>
      </c>
    </row>
    <row r="105" spans="1:19">
      <c r="A105" s="46" t="str">
        <f t="shared" si="29"/>
        <v>EUR.CM_DEPTH.XLS_ANDREA.IT0003535157</v>
      </c>
      <c r="B105" s="51" t="str">
        <f>_xll.MKV("EUR.CM_INSTRUMENT.PXE."&amp;C105,B$3)</f>
        <v>BTPS</v>
      </c>
      <c r="C105" s="61" t="s">
        <v>475</v>
      </c>
      <c r="D105" s="125">
        <f>_xll.MKV("EUR.CM_INSTRUMENT.PXE."&amp;C105,D$3)</f>
        <v>49157</v>
      </c>
      <c r="E105" s="58">
        <f t="shared" si="20"/>
        <v>0.8999999999999897</v>
      </c>
      <c r="F105" s="58" t="str">
        <f t="shared" ca="1" si="21"/>
        <v>99</v>
      </c>
      <c r="G105" s="58">
        <f t="shared" si="22"/>
        <v>18.300000000000004</v>
      </c>
      <c r="H105" s="46" t="str">
        <f>_xll.MKV_PUBLISHRECORD(A105, $H$4)</f>
        <v>OK</v>
      </c>
      <c r="I105" s="46" t="str">
        <f ca="1">_xll.MKV_SUPPLYRECORD_RANGE(A105,$B$3:$G$3,B105:G105)</f>
        <v>OK</v>
      </c>
      <c r="J105" s="34">
        <f>_xll.MKV($J$1&amp;$C105, J$3)</f>
        <v>2.0044529999999998</v>
      </c>
      <c r="K105" s="32">
        <f>_xll.MKV($L$2&amp;$C105, K$3)</f>
        <v>2.016</v>
      </c>
      <c r="L105" s="35">
        <f>_xll.MKV($L$2&amp;$C105, L$3)</f>
        <v>144.844842</v>
      </c>
      <c r="M105" s="32">
        <f t="shared" si="23"/>
        <v>4.1842000000002599E-2</v>
      </c>
      <c r="N105" s="36">
        <f>_xll.BDH(C105&amp;"@CBBT Corp","OPEN",$N$1&amp;" 4:15:00 PM",$N$1&amp;" 5:15:00 PM","BarSz=60","BarTp=T","RecurDaily=True","TZ=London","DTS=H")</f>
        <v>144.803</v>
      </c>
      <c r="O105" s="36" t="e">
        <f ca="1">[1]!BError(_xll.BDH($C105&amp;"@CBBT Corp","OPEN",$O$1&amp;" 4:15:00 PM",$O$1&amp;" 5:15:00 PM","BarSz=60","BarTp=T","RecurDaily=True","TZ=London","DTS=H"))</f>
        <v>#NAME?</v>
      </c>
      <c r="P105" s="36">
        <f>_xll.BDH($C105&amp;"@CBBT Corp","OPEN",P$1&amp;" 4:15:00 PM",P$1&amp;" 5:15:00 PM","BarSz=60","BarTp=T","RecurDaily=True","TZ=London","DTS=H")</f>
        <v>148.292</v>
      </c>
      <c r="Q105" s="44">
        <f>_xll.BDP($C105&amp;"@CBBT Corp","YAS_BOND_YLD", "SETTLE_DT="&amp;Q$1, "YAS_BOND_PX="&amp;$N105)</f>
        <v>2.0070000000000001</v>
      </c>
      <c r="R105" s="44" t="e">
        <f ca="1">_xll.BDP($C105&amp;"@CBBT Corp","YAS_BOND_YLD", "SETTLE_DT="&amp;R$1, "YAS_BOND_PX="&amp;$O105)</f>
        <v>#NAME?</v>
      </c>
      <c r="S105" s="44">
        <f>_xll.BDP($C105&amp;"@CBBT Corp","YAS_BOND_YLD", "SETTLE_DT="&amp;S$1, "YAS_BOND_PX="&amp;$P105)</f>
        <v>1.833</v>
      </c>
    </row>
    <row r="106" spans="1:19">
      <c r="A106" s="46" t="str">
        <f t="shared" si="29"/>
        <v>EUR.CM_DEPTH.XLS_ANDREA.FR0010070060</v>
      </c>
      <c r="B106" s="51" t="str">
        <f>_xll.MKV("EUR.CM_INSTRUMENT.PXE."&amp;C106,B$3)</f>
        <v>FRTR</v>
      </c>
      <c r="C106" s="62" t="s">
        <v>615</v>
      </c>
      <c r="D106" s="125">
        <f>_xll.MKV("EUR.CM_INSTRUMENT.PXE."&amp;C106,D$3)</f>
        <v>49424</v>
      </c>
      <c r="E106" s="58">
        <f t="shared" si="20"/>
        <v>0.10000000000000009</v>
      </c>
      <c r="F106" s="58" t="str">
        <f t="shared" ca="1" si="21"/>
        <v>99</v>
      </c>
      <c r="G106" s="58">
        <f t="shared" si="22"/>
        <v>0</v>
      </c>
      <c r="H106" s="46" t="str">
        <f>_xll.MKV_PUBLISHRECORD(A106, $H$4)</f>
        <v>OK</v>
      </c>
      <c r="I106" s="46" t="str">
        <f ca="1">_xll.MKV_SUPPLYRECORD_RANGE(A106,$B$3:$G$3,B106:G106)</f>
        <v>OK</v>
      </c>
      <c r="J106" s="34">
        <f>_xll.MKV($J$1&amp;$C106, J$3)</f>
        <v>0.77215500000000004</v>
      </c>
      <c r="K106" s="32">
        <f>_xll.MKV($L$2&amp;$C106, K$3)</f>
        <v>0.77400000000000002</v>
      </c>
      <c r="L106" s="35">
        <f>_xll.MKV($L$2&amp;$C106, L$3)</f>
        <v>168.434224</v>
      </c>
      <c r="M106" s="32">
        <f t="shared" si="23"/>
        <v>9.2239999999890188E-3</v>
      </c>
      <c r="N106" s="36">
        <f>_xll.BDH(C106&amp;"@CBBT Corp","OPEN",$N$1&amp;" 4:15:00 PM",$N$1&amp;" 5:15:00 PM","BarSz=60","BarTp=T","RecurDaily=True","TZ=London","DTS=H")</f>
        <v>168.42500000000001</v>
      </c>
      <c r="O106" s="36" t="e">
        <f ca="1">[1]!BError(_xll.BDH($C106&amp;"@CBBT Corp","OPEN",$O$1&amp;" 4:15:00 PM",$O$1&amp;" 5:15:00 PM","BarSz=60","BarTp=T","RecurDaily=True","TZ=London","DTS=H"))</f>
        <v>#NAME?</v>
      </c>
      <c r="P106" s="36">
        <f>_xll.BDH($C106&amp;"@CBBT Corp","OPEN",P$1&amp;" 4:15:00 PM",P$1&amp;" 5:15:00 PM","BarSz=60","BarTp=T","RecurDaily=True","TZ=London","DTS=H")</f>
        <v>168.702</v>
      </c>
      <c r="Q106" s="44">
        <f>_xll.BDP($C106&amp;"@CBBT Corp","YAS_BOND_YLD", "SETTLE_DT="&amp;Q$1, "YAS_BOND_PX="&amp;$N106)</f>
        <v>0.77300000000000002</v>
      </c>
      <c r="R106" s="44" t="e">
        <f ca="1">_xll.BDP($C106&amp;"@CBBT Corp","YAS_BOND_YLD", "SETTLE_DT="&amp;R$1, "YAS_BOND_PX="&amp;$O106)</f>
        <v>#NAME?</v>
      </c>
      <c r="S106" s="44">
        <f>_xll.BDP($C106&amp;"@CBBT Corp","YAS_BOND_YLD", "SETTLE_DT="&amp;S$1, "YAS_BOND_PX="&amp;$P106)</f>
        <v>0.77400000000000002</v>
      </c>
    </row>
    <row r="107" spans="1:19">
      <c r="A107" s="46" t="str">
        <f>$A$4 &amp; ".CM_DEPTH."&amp; $H$4 &amp; "." &amp; C107</f>
        <v>EUR.CM_DEPTH.XLS_ANDREA.FR0013154044</v>
      </c>
      <c r="B107" s="51" t="str">
        <f>_xll.MKV("EUR.CM_INSTRUMENT.PXE."&amp;C107,B$3)</f>
        <v>FRTR</v>
      </c>
      <c r="C107" s="62" t="s">
        <v>719</v>
      </c>
      <c r="D107" s="125">
        <f>_xll.MKV("EUR.CM_INSTRUMENT.PXE."&amp;C107,D$3)</f>
        <v>49820</v>
      </c>
      <c r="E107" s="58">
        <f t="shared" ref="E107:G108" si="35">IFERROR(($K107-Q107)*100,"99")</f>
        <v>0.10000000000000009</v>
      </c>
      <c r="F107" s="58" t="str">
        <f t="shared" ca="1" si="35"/>
        <v>99</v>
      </c>
      <c r="G107" s="58">
        <f t="shared" si="35"/>
        <v>-0.70000000000000062</v>
      </c>
      <c r="H107" s="46" t="str">
        <f>_xll.MKV_PUBLISHRECORD(A107, $H$4)</f>
        <v>OK</v>
      </c>
      <c r="I107" s="46" t="str">
        <f ca="1">_xll.MKV_SUPPLYRECORD_RANGE(A107,$B$3:$G$3,B107:G107)</f>
        <v>OK</v>
      </c>
      <c r="J107" s="34">
        <f>_xll.MKV($J$1&amp;$C107, J$3)</f>
        <v>0.90005100000000005</v>
      </c>
      <c r="K107" s="32">
        <f>_xll.MKV($L$2&amp;$C107, K$3)</f>
        <v>0.90100000000000002</v>
      </c>
      <c r="L107" s="35">
        <f>_xll.MKV($L$2&amp;$C107, L$3)</f>
        <v>106.265</v>
      </c>
      <c r="M107" s="32">
        <f>L107-N107</f>
        <v>1.9999999999953388E-3</v>
      </c>
      <c r="N107" s="36">
        <f>_xll.BDH(C107&amp;"@CBBT Corp","OPEN",$N$1&amp;" 4:15:00 PM",$N$1&amp;" 5:15:00 PM","BarSz=60","BarTp=T","RecurDaily=True","TZ=London","DTS=H")</f>
        <v>106.26300000000001</v>
      </c>
      <c r="O107" s="36" t="e">
        <f ca="1">[1]!BError(_xll.BDH($C107&amp;"@CBBT Corp","OPEN",$O$1&amp;" 4:15:00 PM",$O$1&amp;" 5:15:00 PM","BarSz=60","BarTp=T","RecurDaily=True","TZ=London","DTS=H"))</f>
        <v>#NAME?</v>
      </c>
      <c r="P107" s="36">
        <f>_xll.BDH($C107&amp;"@CBBT Corp","OPEN",P$1&amp;" 4:15:00 PM",P$1&amp;" 5:15:00 PM","BarSz=60","BarTp=T","RecurDaily=True","TZ=London","DTS=H")</f>
        <v>106.137</v>
      </c>
      <c r="Q107" s="44">
        <f>_xll.BDP($C107&amp;"@CBBT Corp","YAS_BOND_YLD", "SETTLE_DT="&amp;Q$1, "YAS_BOND_PX="&amp;$N107)</f>
        <v>0.9</v>
      </c>
      <c r="R107" s="44" t="e">
        <f ca="1">_xll.BDP($C107&amp;"@CBBT Corp","YAS_BOND_YLD", "SETTLE_DT="&amp;R$1, "YAS_BOND_PX="&amp;$O107)</f>
        <v>#NAME?</v>
      </c>
      <c r="S107" s="44">
        <f>_xll.BDP($C107&amp;"@CBBT Corp","YAS_BOND_YLD", "SETTLE_DT="&amp;S$1, "YAS_BOND_PX="&amp;$P107)</f>
        <v>0.90800000000000003</v>
      </c>
    </row>
    <row r="108" spans="1:19">
      <c r="A108" s="46" t="str">
        <f>$A$4 &amp; ".CM_DEPTH."&amp; $H$4 &amp; "." &amp; C108</f>
        <v>EUR.CM_DEPTH.XLS_ANDREA.IT0005177909</v>
      </c>
      <c r="B108" s="51" t="str">
        <f>_xll.MKV("EUR.CM_INSTRUMENT.PXE."&amp;C108,B$3)</f>
        <v>BTPS</v>
      </c>
      <c r="C108" s="62" t="s">
        <v>721</v>
      </c>
      <c r="D108" s="125">
        <f>_xll.MKV("EUR.CM_INSTRUMENT.PXE."&amp;C108,D$3)</f>
        <v>49919</v>
      </c>
      <c r="E108" s="58">
        <f t="shared" si="35"/>
        <v>0.8999999999999897</v>
      </c>
      <c r="F108" s="58" t="str">
        <f t="shared" ca="1" si="35"/>
        <v>99</v>
      </c>
      <c r="G108" s="58">
        <f t="shared" si="35"/>
        <v>17.199999999999971</v>
      </c>
      <c r="H108" s="46" t="str">
        <f>_xll.MKV_PUBLISHRECORD(A108, $H$4)</f>
        <v>OK</v>
      </c>
      <c r="I108" s="46" t="str">
        <f ca="1">_xll.MKV_SUPPLYRECORD_RANGE(A108,$B$3:$G$3,B108:G108)</f>
        <v>OK</v>
      </c>
      <c r="J108" s="34">
        <f>_xll.MKV($J$1&amp;$C108, J$3)</f>
        <v>2.0954769999999998</v>
      </c>
      <c r="K108" s="32">
        <f>_xll.MKV($L$2&amp;$C108, K$3)</f>
        <v>2.1059999999999999</v>
      </c>
      <c r="L108" s="35">
        <f>_xll.MKV($L$2&amp;$C108, L$3)</f>
        <v>102.679</v>
      </c>
      <c r="M108" s="32">
        <f>L108-N108</f>
        <v>2.1000000000000796E-2</v>
      </c>
      <c r="N108" s="36">
        <f>_xll.BDH(C108&amp;"@CBBT Corp","OPEN",$N$1&amp;" 4:15:00 PM",$N$1&amp;" 5:15:00 PM","BarSz=60","BarTp=T","RecurDaily=True","TZ=London","DTS=H")</f>
        <v>102.658</v>
      </c>
      <c r="O108" s="36" t="e">
        <f ca="1">[1]!BError(_xll.BDH($C108&amp;"@CBBT Corp","OPEN",$O$1&amp;" 4:15:00 PM",$O$1&amp;" 5:15:00 PM","BarSz=60","BarTp=T","RecurDaily=True","TZ=London","DTS=H"))</f>
        <v>#NAME?</v>
      </c>
      <c r="P108" s="36">
        <f>_xll.BDH($C108&amp;"@CBBT Corp","OPEN",P$1&amp;" 4:15:00 PM",P$1&amp;" 5:15:00 PM","BarSz=60","BarTp=T","RecurDaily=True","TZ=London","DTS=H")</f>
        <v>105.375</v>
      </c>
      <c r="Q108" s="44">
        <f>_xll.BDP($C108&amp;"@CBBT Corp","YAS_BOND_YLD", "SETTLE_DT="&amp;Q$1, "YAS_BOND_PX="&amp;$N108)</f>
        <v>2.097</v>
      </c>
      <c r="R108" s="44" t="e">
        <f ca="1">_xll.BDP($C108&amp;"@CBBT Corp","YAS_BOND_YLD", "SETTLE_DT="&amp;R$1, "YAS_BOND_PX="&amp;$O108)</f>
        <v>#NAME?</v>
      </c>
      <c r="S108" s="44">
        <f>_xll.BDP($C108&amp;"@CBBT Corp","YAS_BOND_YLD", "SETTLE_DT="&amp;S$1, "YAS_BOND_PX="&amp;$P108)</f>
        <v>1.9340000000000002</v>
      </c>
    </row>
    <row r="109" spans="1:19">
      <c r="A109" s="46" t="str">
        <f t="shared" si="29"/>
        <v>EUR.CM_DEPTH.XLS_ANDREA.IT0003934657</v>
      </c>
      <c r="B109" s="51" t="str">
        <f>_xll.MKV("EUR.CM_INSTRUMENT.PXE."&amp;C109,B$3)</f>
        <v>BTPS</v>
      </c>
      <c r="C109" s="61" t="s">
        <v>476</v>
      </c>
      <c r="D109" s="125">
        <f>_xll.MKV("EUR.CM_INSTRUMENT.PXE."&amp;C109,D$3)</f>
        <v>50072</v>
      </c>
      <c r="E109" s="58">
        <f t="shared" si="20"/>
        <v>1.0000000000000231</v>
      </c>
      <c r="F109" s="58" t="str">
        <f t="shared" ca="1" si="21"/>
        <v>99</v>
      </c>
      <c r="G109" s="58">
        <f t="shared" si="22"/>
        <v>17.900000000000027</v>
      </c>
      <c r="H109" s="46" t="str">
        <f>_xll.MKV_PUBLISHRECORD(A109, $H$4)</f>
        <v>OK</v>
      </c>
      <c r="I109" s="46" t="str">
        <f ca="1">_xll.MKV_SUPPLYRECORD_RANGE(A109,$B$3:$G$3,B109:G109)</f>
        <v>OK</v>
      </c>
      <c r="J109" s="34">
        <f>_xll.MKV($J$1&amp;$C109, J$3)</f>
        <v>2.1357569999999999</v>
      </c>
      <c r="K109" s="32">
        <f>_xll.MKV($L$2&amp;$C109, K$3)</f>
        <v>2.1470000000000002</v>
      </c>
      <c r="L109" s="35">
        <f>_xll.MKV($L$2&amp;$C109, L$3)</f>
        <v>130.790055</v>
      </c>
      <c r="M109" s="32">
        <f t="shared" si="23"/>
        <v>1.7054999999999154E-2</v>
      </c>
      <c r="N109" s="36">
        <f>_xll.BDH(C109&amp;"@CBBT Corp","OPEN",$N$1&amp;" 4:15:00 PM",$N$1&amp;" 5:15:00 PM","BarSz=60","BarTp=T","RecurDaily=True","TZ=London","DTS=H")</f>
        <v>130.773</v>
      </c>
      <c r="O109" s="36" t="e">
        <f ca="1">[1]!BError(_xll.BDH($C109&amp;"@CBBT Corp","OPEN",$O$1&amp;" 4:15:00 PM",$O$1&amp;" 5:15:00 PM","BarSz=60","BarTp=T","RecurDaily=True","TZ=London","DTS=H"))</f>
        <v>#NAME?</v>
      </c>
      <c r="P109" s="36">
        <f>_xll.BDH($C109&amp;"@CBBT Corp","OPEN",P$1&amp;" 4:15:00 PM",P$1&amp;" 5:15:00 PM","BarSz=60","BarTp=T","RecurDaily=True","TZ=London","DTS=H")</f>
        <v>134.18199999999999</v>
      </c>
      <c r="Q109" s="44">
        <f>_xll.BDP($C109&amp;"@CBBT Corp","YAS_BOND_YLD", "SETTLE_DT="&amp;Q$1, "YAS_BOND_PX="&amp;$N109)</f>
        <v>2.137</v>
      </c>
      <c r="R109" s="44" t="e">
        <f ca="1">_xll.BDP($C109&amp;"@CBBT Corp","YAS_BOND_YLD", "SETTLE_DT="&amp;R$1, "YAS_BOND_PX="&amp;$O109)</f>
        <v>#NAME?</v>
      </c>
      <c r="S109" s="44">
        <f>_xll.BDP($C109&amp;"@CBBT Corp","YAS_BOND_YLD", "SETTLE_DT="&amp;S$1, "YAS_BOND_PX="&amp;$P109)</f>
        <v>1.968</v>
      </c>
    </row>
    <row r="110" spans="1:19">
      <c r="A110" s="46" t="str">
        <f t="shared" si="29"/>
        <v>EUR.CM_DEPTH.XLS_ANDREA.FR0010371401</v>
      </c>
      <c r="B110" s="51" t="str">
        <f>_xll.MKV("EUR.CM_INSTRUMENT.PXE."&amp;C110,B$3)</f>
        <v>FRTR</v>
      </c>
      <c r="C110" s="62" t="s">
        <v>619</v>
      </c>
      <c r="D110" s="125">
        <f>_xll.MKV("EUR.CM_INSTRUMENT.PXE."&amp;C110,D$3)</f>
        <v>50703</v>
      </c>
      <c r="E110" s="58">
        <f t="shared" si="20"/>
        <v>0</v>
      </c>
      <c r="F110" s="58" t="str">
        <f t="shared" ca="1" si="21"/>
        <v>99</v>
      </c>
      <c r="G110" s="58">
        <f t="shared" si="22"/>
        <v>0.70000000000000062</v>
      </c>
      <c r="H110" s="46" t="str">
        <f>_xll.MKV_PUBLISHRECORD(A110, $H$4)</f>
        <v>OK</v>
      </c>
      <c r="I110" s="46" t="str">
        <f ca="1">_xll.MKV_SUPPLYRECORD_RANGE(A110,$B$3:$G$3,B110:G110)</f>
        <v>OK</v>
      </c>
      <c r="J110" s="34">
        <f>_xll.MKV($J$1&amp;$C110, J$3)</f>
        <v>0.92869599999999997</v>
      </c>
      <c r="K110" s="32">
        <f>_xll.MKV($L$2&amp;$C110, K$3)</f>
        <v>0.92900000000000005</v>
      </c>
      <c r="L110" s="35">
        <f>_xll.MKV($L$2&amp;$C110, L$3)</f>
        <v>160.94</v>
      </c>
      <c r="M110" s="32">
        <f t="shared" si="23"/>
        <v>-1.0000000000047748E-3</v>
      </c>
      <c r="N110" s="36">
        <f>_xll.BDH(C110&amp;"@CBBT Corp","OPEN",$N$1&amp;" 4:15:00 PM",$N$1&amp;" 5:15:00 PM","BarSz=60","BarTp=T","RecurDaily=True","TZ=London","DTS=H")</f>
        <v>160.941</v>
      </c>
      <c r="O110" s="36" t="e">
        <f ca="1">[1]!BError(_xll.BDH($C110&amp;"@CBBT Corp","OPEN",$O$1&amp;" 4:15:00 PM",$O$1&amp;" 5:15:00 PM","BarSz=60","BarTp=T","RecurDaily=True","TZ=London","DTS=H"))</f>
        <v>#NAME?</v>
      </c>
      <c r="P110" s="36">
        <f>_xll.BDH($C110&amp;"@CBBT Corp","OPEN",P$1&amp;" 4:15:00 PM",P$1&amp;" 5:15:00 PM","BarSz=60","BarTp=T","RecurDaily=True","TZ=London","DTS=H")</f>
        <v>161.34299999999999</v>
      </c>
      <c r="Q110" s="44">
        <f>_xll.BDP($C110&amp;"@CBBT Corp","YAS_BOND_YLD", "SETTLE_DT="&amp;Q$1, "YAS_BOND_PX="&amp;$N110)</f>
        <v>0.92900000000000005</v>
      </c>
      <c r="R110" s="44" t="e">
        <f ca="1">_xll.BDP($C110&amp;"@CBBT Corp","YAS_BOND_YLD", "SETTLE_DT="&amp;R$1, "YAS_BOND_PX="&amp;$O110)</f>
        <v>#NAME?</v>
      </c>
      <c r="S110" s="44">
        <f>_xll.BDP($C110&amp;"@CBBT Corp","YAS_BOND_YLD", "SETTLE_DT="&amp;S$1, "YAS_BOND_PX="&amp;$P110)</f>
        <v>0.92200000000000004</v>
      </c>
    </row>
    <row r="111" spans="1:19">
      <c r="A111" s="46" t="str">
        <f t="shared" si="29"/>
        <v>EUR.CM_DEPTH.XLS_ANDREA.IT0004286966</v>
      </c>
      <c r="B111" s="51" t="str">
        <f>_xll.MKV("EUR.CM_INSTRUMENT.PXE."&amp;C111,B$3)</f>
        <v>BTPS</v>
      </c>
      <c r="C111" s="61" t="s">
        <v>477</v>
      </c>
      <c r="D111" s="125">
        <f>_xll.MKV("EUR.CM_INSTRUMENT.PXE."&amp;C111,D$3)</f>
        <v>50983</v>
      </c>
      <c r="E111" s="58">
        <f t="shared" si="20"/>
        <v>0.70000000000001172</v>
      </c>
      <c r="F111" s="58" t="str">
        <f t="shared" ca="1" si="21"/>
        <v>99</v>
      </c>
      <c r="G111" s="58">
        <f t="shared" si="22"/>
        <v>17.700000000000003</v>
      </c>
      <c r="H111" s="46" t="str">
        <f>_xll.MKV_PUBLISHRECORD(A111, $H$4)</f>
        <v>OK</v>
      </c>
      <c r="I111" s="46" t="str">
        <f ca="1">_xll.MKV_SUPPLYRECORD_RANGE(A111,$B$3:$G$3,B111:G111)</f>
        <v>OK</v>
      </c>
      <c r="J111" s="34">
        <f>_xll.MKV($J$1&amp;$C111, J$3)</f>
        <v>2.2705609999999998</v>
      </c>
      <c r="K111" s="32">
        <f>_xll.MKV($L$2&amp;$C111, K$3)</f>
        <v>2.2810000000000001</v>
      </c>
      <c r="L111" s="35">
        <f>_xll.MKV($L$2&amp;$C111, L$3)</f>
        <v>148.65629000000001</v>
      </c>
      <c r="M111" s="32">
        <f t="shared" si="23"/>
        <v>7.1290000000004738E-2</v>
      </c>
      <c r="N111" s="36">
        <f>_xll.BDH(C111&amp;"@CBBT Corp","OPEN",$N$1&amp;" 4:15:00 PM",$N$1&amp;" 5:15:00 PM","BarSz=60","BarTp=T","RecurDaily=True","TZ=London","DTS=H")</f>
        <v>148.58500000000001</v>
      </c>
      <c r="O111" s="36" t="e">
        <f ca="1">[1]!BError(_xll.BDH($C111&amp;"@CBBT Corp","OPEN",$O$1&amp;" 4:15:00 PM",$O$1&amp;" 5:15:00 PM","BarSz=60","BarTp=T","RecurDaily=True","TZ=London","DTS=H"))</f>
        <v>#NAME?</v>
      </c>
      <c r="P111" s="36">
        <f>_xll.BDH($C111&amp;"@CBBT Corp","OPEN",P$1&amp;" 4:15:00 PM",P$1&amp;" 5:15:00 PM","BarSz=60","BarTp=T","RecurDaily=True","TZ=London","DTS=H")</f>
        <v>152.66800000000001</v>
      </c>
      <c r="Q111" s="44">
        <f>_xll.BDP($C111&amp;"@CBBT Corp","YAS_BOND_YLD", "SETTLE_DT="&amp;Q$1, "YAS_BOND_PX="&amp;$N111)</f>
        <v>2.274</v>
      </c>
      <c r="R111" s="44" t="e">
        <f ca="1">_xll.BDP($C111&amp;"@CBBT Corp","YAS_BOND_YLD", "SETTLE_DT="&amp;R$1, "YAS_BOND_PX="&amp;$O111)</f>
        <v>#NAME?</v>
      </c>
      <c r="S111" s="44">
        <f>_xll.BDP($C111&amp;"@CBBT Corp","YAS_BOND_YLD", "SETTLE_DT="&amp;S$1, "YAS_BOND_PX="&amp;$P111)</f>
        <v>2.1040000000000001</v>
      </c>
    </row>
    <row r="112" spans="1:19">
      <c r="A112" s="46" t="str">
        <f t="shared" si="29"/>
        <v>EUR.CM_DEPTH.XLS_ANDREA.IT0004532559</v>
      </c>
      <c r="B112" s="51" t="str">
        <f>_xll.MKV("EUR.CM_INSTRUMENT.PXE."&amp;C112,B$3)</f>
        <v>BTPS</v>
      </c>
      <c r="C112" s="61" t="s">
        <v>478</v>
      </c>
      <c r="D112" s="125">
        <f>_xll.MKV("EUR.CM_INSTRUMENT.PXE."&amp;C112,D$3)</f>
        <v>51380</v>
      </c>
      <c r="E112" s="58">
        <f t="shared" si="20"/>
        <v>0.80000000000000071</v>
      </c>
      <c r="F112" s="58" t="str">
        <f t="shared" ca="1" si="21"/>
        <v>99</v>
      </c>
      <c r="G112" s="58">
        <f t="shared" si="22"/>
        <v>16.500000000000004</v>
      </c>
      <c r="H112" s="46" t="str">
        <f>_xll.MKV_PUBLISHRECORD(A112, $H$4)</f>
        <v>OK</v>
      </c>
      <c r="I112" s="46" t="str">
        <f ca="1">_xll.MKV_SUPPLYRECORD_RANGE(A112,$B$3:$G$3,B112:G112)</f>
        <v>OK</v>
      </c>
      <c r="J112" s="34">
        <f>_xll.MKV($J$1&amp;$C112, J$3)</f>
        <v>2.326902</v>
      </c>
      <c r="K112" s="32">
        <f>_xll.MKV($L$2&amp;$C112, K$3)</f>
        <v>2.3359999999999999</v>
      </c>
      <c r="L112" s="35">
        <f>_xll.MKV($L$2&amp;$C112, L$3)</f>
        <v>149.07173700000001</v>
      </c>
      <c r="M112" s="32">
        <f t="shared" si="23"/>
        <v>2.1737000000001672E-2</v>
      </c>
      <c r="N112" s="36">
        <f>_xll.BDH(C112&amp;"@CBBT Corp","OPEN",$N$1&amp;" 4:15:00 PM",$N$1&amp;" 5:15:00 PM","BarSz=60","BarTp=T","RecurDaily=True","TZ=London","DTS=H")</f>
        <v>149.05000000000001</v>
      </c>
      <c r="O112" s="36" t="e">
        <f ca="1">[1]!BError(_xll.BDH($C112&amp;"@CBBT Corp","OPEN",$O$1&amp;" 4:15:00 PM",$O$1&amp;" 5:15:00 PM","BarSz=60","BarTp=T","RecurDaily=True","TZ=London","DTS=H"))</f>
        <v>#NAME?</v>
      </c>
      <c r="P112" s="36">
        <f>_xll.BDH($C112&amp;"@CBBT Corp","OPEN",P$1&amp;" 4:15:00 PM",P$1&amp;" 5:15:00 PM","BarSz=60","BarTp=T","RecurDaily=True","TZ=London","DTS=H")</f>
        <v>152.94800000000001</v>
      </c>
      <c r="Q112" s="44">
        <f>_xll.BDP($C112&amp;"@CBBT Corp","YAS_BOND_YLD", "SETTLE_DT="&amp;Q$1, "YAS_BOND_PX="&amp;$N112)</f>
        <v>2.3279999999999998</v>
      </c>
      <c r="R112" s="44" t="e">
        <f ca="1">_xll.BDP($C112&amp;"@CBBT Corp","YAS_BOND_YLD", "SETTLE_DT="&amp;R$1, "YAS_BOND_PX="&amp;$O112)</f>
        <v>#NAME?</v>
      </c>
      <c r="S112" s="44">
        <f>_xll.BDP($C112&amp;"@CBBT Corp","YAS_BOND_YLD", "SETTLE_DT="&amp;S$1, "YAS_BOND_PX="&amp;$P112)</f>
        <v>2.1709999999999998</v>
      </c>
    </row>
    <row r="113" spans="1:19">
      <c r="A113" s="46" t="str">
        <f t="shared" si="29"/>
        <v>EUR.CM_DEPTH.XLS_ANDREA.FR0010773192</v>
      </c>
      <c r="B113" s="51" t="str">
        <f>_xll.MKV("EUR.CM_INSTRUMENT.PXE."&amp;C113,B$3)</f>
        <v>FRTR</v>
      </c>
      <c r="C113" s="62" t="s">
        <v>623</v>
      </c>
      <c r="D113" s="125">
        <f>_xll.MKV("EUR.CM_INSTRUMENT.PXE."&amp;C113,D$3)</f>
        <v>51616</v>
      </c>
      <c r="E113" s="58">
        <f t="shared" si="20"/>
        <v>0</v>
      </c>
      <c r="F113" s="58" t="str">
        <f t="shared" ca="1" si="21"/>
        <v>99</v>
      </c>
      <c r="G113" s="58">
        <f t="shared" si="22"/>
        <v>1.0000000000000009</v>
      </c>
      <c r="H113" s="46" t="str">
        <f>_xll.MKV_PUBLISHRECORD(A113, $H$4)</f>
        <v>OK</v>
      </c>
      <c r="I113" s="46" t="str">
        <f ca="1">_xll.MKV_SUPPLYRECORD_RANGE(A113,$B$3:$G$3,B113:G113)</f>
        <v>OK</v>
      </c>
      <c r="J113" s="34">
        <f>_xll.MKV($J$1&amp;$C113, J$3)</f>
        <v>0.99757899999999999</v>
      </c>
      <c r="K113" s="32">
        <f>_xll.MKV($L$2&amp;$C113, K$3)</f>
        <v>0.998</v>
      </c>
      <c r="L113" s="35">
        <f>_xll.MKV($L$2&amp;$C113, L$3)</f>
        <v>175.875</v>
      </c>
      <c r="M113" s="32">
        <f t="shared" si="23"/>
        <v>2.0000000000095497E-3</v>
      </c>
      <c r="N113" s="36">
        <f>_xll.BDH(C113&amp;"@CBBT Corp","OPEN",$N$1&amp;" 4:15:00 PM",$N$1&amp;" 5:15:00 PM","BarSz=60","BarTp=T","RecurDaily=True","TZ=London","DTS=H")</f>
        <v>175.87299999999999</v>
      </c>
      <c r="O113" s="36" t="e">
        <f ca="1">[1]!BError(_xll.BDH($C113&amp;"@CBBT Corp","OPEN",$O$1&amp;" 4:15:00 PM",$O$1&amp;" 5:15:00 PM","BarSz=60","BarTp=T","RecurDaily=True","TZ=London","DTS=H"))</f>
        <v>#NAME?</v>
      </c>
      <c r="P113" s="36">
        <f>_xll.BDH($C113&amp;"@CBBT Corp","OPEN",P$1&amp;" 4:15:00 PM",P$1&amp;" 5:15:00 PM","BarSz=60","BarTp=T","RecurDaily=True","TZ=London","DTS=H")</f>
        <v>176.441</v>
      </c>
      <c r="Q113" s="44">
        <f>_xll.BDP($C113&amp;"@CBBT Corp","YAS_BOND_YLD", "SETTLE_DT="&amp;Q$1, "YAS_BOND_PX="&amp;$N113)</f>
        <v>0.998</v>
      </c>
      <c r="R113" s="44" t="e">
        <f ca="1">_xll.BDP($C113&amp;"@CBBT Corp","YAS_BOND_YLD", "SETTLE_DT="&amp;R$1, "YAS_BOND_PX="&amp;$O113)</f>
        <v>#NAME?</v>
      </c>
      <c r="S113" s="44">
        <f>_xll.BDP($C113&amp;"@CBBT Corp","YAS_BOND_YLD", "SETTLE_DT="&amp;S$1, "YAS_BOND_PX="&amp;$P113)</f>
        <v>0.98799999999999999</v>
      </c>
    </row>
    <row r="114" spans="1:19">
      <c r="A114" s="46" t="str">
        <f t="shared" si="29"/>
        <v>EUR.CM_DEPTH.XLS_ANDREA.IT0004923998</v>
      </c>
      <c r="B114" s="51" t="str">
        <f>_xll.MKV("EUR.CM_INSTRUMENT.PXE."&amp;C114,B$3)</f>
        <v>BTPS</v>
      </c>
      <c r="C114" s="61" t="s">
        <v>479</v>
      </c>
      <c r="D114" s="125">
        <f>_xll.MKV("EUR.CM_INSTRUMENT.PXE."&amp;C114,D$3)</f>
        <v>52841</v>
      </c>
      <c r="E114" s="58">
        <f t="shared" si="20"/>
        <v>0.70000000000001172</v>
      </c>
      <c r="F114" s="58" t="str">
        <f t="shared" ca="1" si="21"/>
        <v>99</v>
      </c>
      <c r="G114" s="58">
        <f t="shared" si="22"/>
        <v>16.000000000000014</v>
      </c>
      <c r="H114" s="46" t="str">
        <f>_xll.MKV_PUBLISHRECORD(A114, $H$4)</f>
        <v>OK</v>
      </c>
      <c r="I114" s="46" t="str">
        <f ca="1">_xll.MKV_SUPPLYRECORD_RANGE(A114,$B$3:$G$3,B114:G114)</f>
        <v>OK</v>
      </c>
      <c r="J114" s="34">
        <f>_xll.MKV($J$1&amp;$C114, J$3)</f>
        <v>2.4205950000000001</v>
      </c>
      <c r="K114" s="32">
        <f>_xll.MKV($L$2&amp;$C114, K$3)</f>
        <v>2.4279999999999999</v>
      </c>
      <c r="L114" s="35">
        <f>_xll.MKV($L$2&amp;$C114, L$3)</f>
        <v>147.40700000000001</v>
      </c>
      <c r="M114" s="32">
        <f t="shared" si="23"/>
        <v>7.0000000000050022E-3</v>
      </c>
      <c r="N114" s="36">
        <f>_xll.BDH(C114&amp;"@CBBT Corp","OPEN",$N$1&amp;" 4:15:00 PM",$N$1&amp;" 5:15:00 PM","BarSz=60","BarTp=T","RecurDaily=True","TZ=London","DTS=H")</f>
        <v>147.4</v>
      </c>
      <c r="O114" s="36" t="e">
        <f ca="1">[1]!BError(_xll.BDH($C114&amp;"@CBBT Corp","OPEN",$O$1&amp;" 4:15:00 PM",$O$1&amp;" 5:15:00 PM","BarSz=60","BarTp=T","RecurDaily=True","TZ=London","DTS=H"))</f>
        <v>#NAME?</v>
      </c>
      <c r="P114" s="36">
        <f>_xll.BDH($C114&amp;"@CBBT Corp","OPEN",P$1&amp;" 4:15:00 PM",P$1&amp;" 5:15:00 PM","BarSz=60","BarTp=T","RecurDaily=True","TZ=London","DTS=H")</f>
        <v>151.55000000000001</v>
      </c>
      <c r="Q114" s="44">
        <f>_xll.BDP($C114&amp;"@CBBT Corp","YAS_BOND_YLD", "SETTLE_DT="&amp;Q$1, "YAS_BOND_PX="&amp;$N114)</f>
        <v>2.4209999999999998</v>
      </c>
      <c r="R114" s="44" t="e">
        <f ca="1">_xll.BDP($C114&amp;"@CBBT Corp","YAS_BOND_YLD", "SETTLE_DT="&amp;R$1, "YAS_BOND_PX="&amp;$O114)</f>
        <v>#NAME?</v>
      </c>
      <c r="S114" s="44">
        <f>_xll.BDP($C114&amp;"@CBBT Corp","YAS_BOND_YLD", "SETTLE_DT="&amp;S$1, "YAS_BOND_PX="&amp;$P114)</f>
        <v>2.2679999999999998</v>
      </c>
    </row>
    <row r="115" spans="1:19">
      <c r="A115" s="46" t="str">
        <f t="shared" si="29"/>
        <v>EUR.CM_DEPTH.XLS_ANDREA.FR0011461037</v>
      </c>
      <c r="B115" s="51" t="str">
        <f>_xll.MKV("EUR.CM_INSTRUMENT.PXE."&amp;C115,B$3)</f>
        <v>FRTR</v>
      </c>
      <c r="C115" s="62" t="s">
        <v>629</v>
      </c>
      <c r="D115" s="125">
        <f>_xll.MKV("EUR.CM_INSTRUMENT.PXE."&amp;C115,D$3)</f>
        <v>53107</v>
      </c>
      <c r="E115" s="58">
        <f t="shared" si="20"/>
        <v>0</v>
      </c>
      <c r="F115" s="58" t="str">
        <f t="shared" ca="1" si="21"/>
        <v>99</v>
      </c>
      <c r="G115" s="58">
        <f t="shared" si="22"/>
        <v>2.200000000000002</v>
      </c>
      <c r="H115" s="46" t="str">
        <f>_xll.MKV_PUBLISHRECORD(A115, $H$4)</f>
        <v>OK</v>
      </c>
      <c r="I115" s="46" t="str">
        <f ca="1">_xll.MKV_SUPPLYRECORD_RANGE(A115,$B$3:$G$3,B115:G115)</f>
        <v>OK</v>
      </c>
      <c r="J115" s="34">
        <f>_xll.MKV($J$1&amp;$C115, J$3)</f>
        <v>1.136201</v>
      </c>
      <c r="K115" s="32">
        <f>_xll.MKV($L$2&amp;$C115, K$3)</f>
        <v>1.1360000000000001</v>
      </c>
      <c r="L115" s="35">
        <f>_xll.MKV($L$2&amp;$C115, L$3)</f>
        <v>151.38499999999999</v>
      </c>
      <c r="M115" s="32">
        <f t="shared" si="23"/>
        <v>-3.0000000000143245E-3</v>
      </c>
      <c r="N115" s="36">
        <f>_xll.BDH(C115&amp;"@CBBT Corp","OPEN",$N$1&amp;" 4:15:00 PM",$N$1&amp;" 5:15:00 PM","BarSz=60","BarTp=T","RecurDaily=True","TZ=London","DTS=H")</f>
        <v>151.38800000000001</v>
      </c>
      <c r="O115" s="36" t="e">
        <f ca="1">[1]!BError(_xll.BDH($C115&amp;"@CBBT Corp","OPEN",$O$1&amp;" 4:15:00 PM",$O$1&amp;" 5:15:00 PM","BarSz=60","BarTp=T","RecurDaily=True","TZ=London","DTS=H"))</f>
        <v>#NAME?</v>
      </c>
      <c r="P115" s="36">
        <f>_xll.BDH($C115&amp;"@CBBT Corp","OPEN",P$1&amp;" 4:15:00 PM",P$1&amp;" 5:15:00 PM","BarSz=60","BarTp=T","RecurDaily=True","TZ=London","DTS=H")</f>
        <v>152.22</v>
      </c>
      <c r="Q115" s="44">
        <f>_xll.BDP($C115&amp;"@CBBT Corp","YAS_BOND_YLD", "SETTLE_DT="&amp;Q$1, "YAS_BOND_PX="&amp;$N115)</f>
        <v>1.1360000000000001</v>
      </c>
      <c r="R115" s="44" t="e">
        <f ca="1">_xll.BDP($C115&amp;"@CBBT Corp","YAS_BOND_YLD", "SETTLE_DT="&amp;R$1, "YAS_BOND_PX="&amp;$O115)</f>
        <v>#NAME?</v>
      </c>
      <c r="S115" s="44">
        <f>_xll.BDP($C115&amp;"@CBBT Corp","YAS_BOND_YLD", "SETTLE_DT="&amp;S$1, "YAS_BOND_PX="&amp;$P115)</f>
        <v>1.1140000000000001</v>
      </c>
    </row>
    <row r="116" spans="1:19">
      <c r="A116" s="46" t="str">
        <f t="shared" si="29"/>
        <v>EUR.CM_DEPTH.XLS_ANDREA.IT0005083057</v>
      </c>
      <c r="B116" s="51" t="str">
        <f>_xll.MKV("EUR.CM_INSTRUMENT.PXE."&amp;C116,B$3)</f>
        <v>BTPS</v>
      </c>
      <c r="C116" s="61" t="s">
        <v>480</v>
      </c>
      <c r="D116" s="125">
        <f>_xll.MKV("EUR.CM_INSTRUMENT.PXE."&amp;C116,D$3)</f>
        <v>53571</v>
      </c>
      <c r="E116" s="58">
        <f t="shared" si="20"/>
        <v>0.59999999999997833</v>
      </c>
      <c r="F116" s="58" t="str">
        <f t="shared" ca="1" si="21"/>
        <v>99</v>
      </c>
      <c r="G116" s="58">
        <f t="shared" si="22"/>
        <v>14.69999999999998</v>
      </c>
      <c r="H116" s="46" t="str">
        <f>_xll.MKV_PUBLISHRECORD(A116, $H$4)</f>
        <v>OK</v>
      </c>
      <c r="I116" s="46" t="str">
        <f ca="1">_xll.MKV_SUPPLYRECORD_RANGE(A116,$B$3:$G$3,B116:G116)</f>
        <v>OK</v>
      </c>
      <c r="J116" s="34">
        <f>_xll.MKV($J$1&amp;$C116, J$3)</f>
        <v>2.4535999999999998</v>
      </c>
      <c r="K116" s="32">
        <f>_xll.MKV($L$2&amp;$C116, K$3)</f>
        <v>2.4609999999999999</v>
      </c>
      <c r="L116" s="35">
        <f>_xll.MKV($L$2&amp;$C116, L$3)</f>
        <v>117.13432400000001</v>
      </c>
      <c r="M116" s="32">
        <f t="shared" si="23"/>
        <v>2.932400000000257E-2</v>
      </c>
      <c r="N116" s="36">
        <f>_xll.BDH(C116&amp;"@CBBT Corp","OPEN",$N$1&amp;" 4:15:00 PM",$N$1&amp;" 5:15:00 PM","BarSz=60","BarTp=T","RecurDaily=True","TZ=London","DTS=H")</f>
        <v>117.105</v>
      </c>
      <c r="O116" s="36" t="e">
        <f ca="1">[1]!BError(_xll.BDH($C116&amp;"@CBBT Corp","OPEN",$O$1&amp;" 4:15:00 PM",$O$1&amp;" 5:15:00 PM","BarSz=60","BarTp=T","RecurDaily=True","TZ=London","DTS=H"))</f>
        <v>#NAME?</v>
      </c>
      <c r="P116" s="36">
        <f>_xll.BDH($C116&amp;"@CBBT Corp","OPEN",P$1&amp;" 4:15:00 PM",P$1&amp;" 5:15:00 PM","BarSz=60","BarTp=T","RecurDaily=True","TZ=London","DTS=H")</f>
        <v>120.47</v>
      </c>
      <c r="Q116" s="44">
        <f>_xll.BDP($C116&amp;"@CBBT Corp","YAS_BOND_YLD", "SETTLE_DT="&amp;Q$1, "YAS_BOND_PX="&amp;$N116)</f>
        <v>2.4550000000000001</v>
      </c>
      <c r="R116" s="44" t="e">
        <f ca="1">_xll.BDP($C116&amp;"@CBBT Corp","YAS_BOND_YLD", "SETTLE_DT="&amp;R$1, "YAS_BOND_PX="&amp;$O116)</f>
        <v>#NAME?</v>
      </c>
      <c r="S116" s="44">
        <f>_xll.BDP($C116&amp;"@CBBT Corp","YAS_BOND_YLD", "SETTLE_DT="&amp;S$1, "YAS_BOND_PX="&amp;$P116)</f>
        <v>2.3140000000000001</v>
      </c>
    </row>
    <row r="117" spans="1:19">
      <c r="A117" s="46" t="str">
        <f t="shared" si="29"/>
        <v>EUR.CM_DEPTH.XLS_ANDREA.IT0005162828</v>
      </c>
      <c r="B117" s="51" t="str">
        <f>_xll.MKV("EUR.CM_INSTRUMENT.PXE."&amp;C117,B$3)</f>
        <v>BTPS</v>
      </c>
      <c r="C117" s="61" t="s">
        <v>679</v>
      </c>
      <c r="D117" s="125">
        <f>_xll.MKV("EUR.CM_INSTRUMENT.PXE."&amp;C117,D$3)</f>
        <v>53752</v>
      </c>
      <c r="E117" s="58">
        <f t="shared" si="20"/>
        <v>0.50000000000003375</v>
      </c>
      <c r="F117" s="58" t="str">
        <f t="shared" ca="1" si="21"/>
        <v>99</v>
      </c>
      <c r="G117" s="58">
        <f t="shared" si="22"/>
        <v>14.500000000000002</v>
      </c>
      <c r="H117" s="46" t="str">
        <f>_xll.MKV_PUBLISHRECORD(A117, $H$4)</f>
        <v>OK</v>
      </c>
      <c r="I117" s="46" t="str">
        <f ca="1">_xll.MKV_SUPPLYRECORD_RANGE(A117,$B$3:$G$3,B117:G117)</f>
        <v>OK</v>
      </c>
      <c r="J117" s="34">
        <f>_xll.MKV($J$1&amp;$C117, J$3)</f>
        <v>2.4846050000000002</v>
      </c>
      <c r="K117" s="32">
        <f>_xll.MKV($L$2&amp;$C117, K$3)</f>
        <v>2.4910000000000001</v>
      </c>
      <c r="L117" s="35">
        <f>_xll.MKV($L$2&amp;$C117, L$3)</f>
        <v>104.90600000000001</v>
      </c>
      <c r="M117" s="32">
        <f t="shared" si="23"/>
        <v>2.8000000000005798E-2</v>
      </c>
      <c r="N117" s="36">
        <f>_xll.BDH(C117&amp;"@CBBT Corp","OPEN",$N$1&amp;" 4:15:00 PM",$N$1&amp;" 5:15:00 PM","BarSz=60","BarTp=T","RecurDaily=True","TZ=London","DTS=H")</f>
        <v>104.878</v>
      </c>
      <c r="O117" s="36" t="e">
        <f ca="1">[1]!BError(_xll.BDH($C117&amp;"@CBBT Corp","OPEN",$O$1&amp;" 4:15:00 PM",$O$1&amp;" 5:15:00 PM","BarSz=60","BarTp=T","RecurDaily=True","TZ=London","DTS=H"))</f>
        <v>#NAME?</v>
      </c>
      <c r="P117" s="36">
        <f>_xll.BDH($C117&amp;"@CBBT Corp","OPEN",P$1&amp;" 4:15:00 PM",P$1&amp;" 5:15:00 PM","BarSz=60","BarTp=T","RecurDaily=True","TZ=London","DTS=H")</f>
        <v>107.995</v>
      </c>
      <c r="Q117" s="44">
        <f>_xll.BDP($C117&amp;"@CBBT Corp","YAS_BOND_YLD", "SETTLE_DT="&amp;Q$1, "YAS_BOND_PX="&amp;$N117)</f>
        <v>2.4859999999999998</v>
      </c>
      <c r="R117" s="44" t="e">
        <f ca="1">_xll.BDP($C117&amp;"@CBBT Corp","YAS_BOND_YLD", "SETTLE_DT="&amp;R$1, "YAS_BOND_PX="&amp;$O117)</f>
        <v>#NAME?</v>
      </c>
      <c r="S117" s="44">
        <f>_xll.BDP($C117&amp;"@CBBT Corp","YAS_BOND_YLD", "SETTLE_DT="&amp;S$1, "YAS_BOND_PX="&amp;$P117)</f>
        <v>2.3460000000000001</v>
      </c>
    </row>
    <row r="118" spans="1:19">
      <c r="A118" s="46" t="str">
        <f t="shared" ref="A118" si="36">$A$4 &amp; ".CM_DEPTH."&amp; $H$4 &amp; "." &amp; C118</f>
        <v>EUR.CM_DEPTH.XLS_ANDREA.IT0005217390</v>
      </c>
      <c r="B118" s="51" t="str">
        <f>_xll.MKV("EUR.CM_INSTRUMENT.PXE."&amp;C118,B$3)</f>
        <v>BTPS</v>
      </c>
      <c r="C118" s="61" t="s">
        <v>759</v>
      </c>
      <c r="D118" s="125">
        <f>_xll.MKV("EUR.CM_INSTRUMENT.PXE."&amp;C118,D$3)</f>
        <v>61057</v>
      </c>
      <c r="E118" s="58">
        <f t="shared" ref="E118" si="37">IFERROR(($K118-Q118)*100,"99")</f>
        <v>0.49999999999998934</v>
      </c>
      <c r="F118" s="58" t="str">
        <f t="shared" ref="F118" ca="1" si="38">IFERROR(($K118-R118)*100,"99")</f>
        <v>99</v>
      </c>
      <c r="G118" s="58" t="str">
        <f t="shared" ref="G118" si="39">IFERROR(($K118-S118)*100,"99")</f>
        <v>99</v>
      </c>
      <c r="H118" s="46" t="str">
        <f>_xll.MKV_PUBLISHRECORD(A118, $H$4)</f>
        <v>OK</v>
      </c>
      <c r="I118" s="46" t="str">
        <f ca="1">_xll.MKV_SUPPLYRECORD_RANGE(A118,$B$3:$G$3,B118:G118)</f>
        <v>OK</v>
      </c>
      <c r="J118" s="34">
        <f>_xll.MKV($J$1&amp;$C118, J$3)</f>
        <v>2.9285019999999999</v>
      </c>
      <c r="K118" s="32">
        <f>_xll.MKV($L$2&amp;$C118, K$3)</f>
        <v>2.9359999999999999</v>
      </c>
      <c r="L118" s="35">
        <f>_xll.MKV($L$2&amp;$C118, L$3)</f>
        <v>97.165327000000005</v>
      </c>
      <c r="M118" s="32">
        <f t="shared" ref="M118" si="40">L118-N118</f>
        <v>5.5327000000005455E-2</v>
      </c>
      <c r="N118" s="36">
        <f>_xll.BDH(C118&amp;"@CBBT Corp","OPEN",$N$1&amp;" 4:15:00 PM",$N$1&amp;" 5:15:00 PM","BarSz=60","BarTp=T","RecurDaily=True","TZ=London","DTS=H")</f>
        <v>97.11</v>
      </c>
      <c r="O118" s="36" t="e">
        <f ca="1">[1]!BError(_xll.BDH($C118&amp;"@CBBT Corp","OPEN",$O$1&amp;" 4:15:00 PM",$O$1&amp;" 5:15:00 PM","BarSz=60","BarTp=T","RecurDaily=True","TZ=London","DTS=H"))</f>
        <v>#NAME?</v>
      </c>
      <c r="P118" s="36" t="str">
        <f>_xll.BDH($C118&amp;"@CBBT Corp","OPEN",P$1&amp;" 4:15:00 PM",P$1&amp;" 5:15:00 PM","BarSz=60","BarTp=T","RecurDaily=True","TZ=London","DTS=H")</f>
        <v>#N/A N/A</v>
      </c>
      <c r="Q118" s="44">
        <f>_xll.BDP($C118&amp;"@CBBT Corp","YAS_BOND_YLD", "SETTLE_DT="&amp;Q$1, "YAS_BOND_PX="&amp;$N118)</f>
        <v>2.931</v>
      </c>
      <c r="R118" s="44" t="e">
        <f ca="1">_xll.BDP($C118&amp;"@CBBT Corp","YAS_BOND_YLD", "SETTLE_DT="&amp;R$1, "YAS_BOND_PX="&amp;$O118)</f>
        <v>#NAME?</v>
      </c>
      <c r="S118" s="44" t="str">
        <f>_xll.BDP($C118&amp;"@CBBT Corp","YAS_BOND_YLD", "SETTLE_DT="&amp;S$1, "YAS_BOND_PX="&amp;$P118)</f>
        <v>#N/A Invalid Override</v>
      </c>
    </row>
    <row r="119" spans="1:19">
      <c r="A119" s="46" t="str">
        <f t="shared" si="29"/>
        <v>EUR.CM_DEPTH.XLS_ANDREA.FR0010171975</v>
      </c>
      <c r="B119" s="51" t="str">
        <f>_xll.MKV("EUR.CM_INSTRUMENT.PXE."&amp;C119,B$3)</f>
        <v>FRTR</v>
      </c>
      <c r="C119" s="62" t="s">
        <v>635</v>
      </c>
      <c r="D119" s="125">
        <f>_xll.MKV("EUR.CM_INSTRUMENT.PXE."&amp;C119,D$3)</f>
        <v>56729</v>
      </c>
      <c r="E119" s="58">
        <f t="shared" si="20"/>
        <v>0</v>
      </c>
      <c r="F119" s="58" t="str">
        <f t="shared" ca="1" si="21"/>
        <v>99</v>
      </c>
      <c r="G119" s="58">
        <f t="shared" si="22"/>
        <v>1.0999999999999899</v>
      </c>
      <c r="H119" s="46" t="str">
        <f>_xll.MKV_PUBLISHRECORD(A119, $H$4)</f>
        <v>OK</v>
      </c>
      <c r="I119" s="46" t="str">
        <f ca="1">_xll.MKV_SUPPLYRECORD_RANGE(A119,$B$3:$G$3,B119:G119)</f>
        <v>OK</v>
      </c>
      <c r="J119" s="34">
        <f>_xll.MKV($J$1&amp;$C119, J$3)</f>
        <v>1.283555</v>
      </c>
      <c r="K119" s="32">
        <f>_xll.MKV($L$2&amp;$C119, K$3)</f>
        <v>1.284</v>
      </c>
      <c r="L119" s="35">
        <f>_xll.MKV($L$2&amp;$C119, L$3)</f>
        <v>182.16</v>
      </c>
      <c r="M119" s="32">
        <f t="shared" si="23"/>
        <v>3.9999999999906777E-3</v>
      </c>
      <c r="N119" s="36">
        <f>_xll.BDH(C119&amp;"@CBBT Corp","OPEN",$N$1&amp;" 4:15:00 PM",$N$1&amp;" 5:15:00 PM","BarSz=60","BarTp=T","RecurDaily=True","TZ=London","DTS=H")</f>
        <v>182.15600000000001</v>
      </c>
      <c r="O119" s="36" t="e">
        <f ca="1">[1]!BError(_xll.BDH($C119&amp;"@CBBT Corp","OPEN",$O$1&amp;" 4:15:00 PM",$O$1&amp;" 5:15:00 PM","BarSz=60","BarTp=T","RecurDaily=True","TZ=London","DTS=H"))</f>
        <v>#NAME?</v>
      </c>
      <c r="P119" s="36">
        <f>_xll.BDH($C119&amp;"@CBBT Corp","OPEN",P$1&amp;" 4:15:00 PM",P$1&amp;" 5:15:00 PM","BarSz=60","BarTp=T","RecurDaily=True","TZ=London","DTS=H")</f>
        <v>182.77600000000001</v>
      </c>
      <c r="Q119" s="44">
        <f>_xll.BDP($C119&amp;"@CBBT Corp","YAS_BOND_YLD", "SETTLE_DT="&amp;Q$1, "YAS_BOND_PX="&amp;$N119)</f>
        <v>1.284</v>
      </c>
      <c r="R119" s="44" t="e">
        <f ca="1">_xll.BDP($C119&amp;"@CBBT Corp","YAS_BOND_YLD", "SETTLE_DT="&amp;R$1, "YAS_BOND_PX="&amp;$O119)</f>
        <v>#NAME?</v>
      </c>
      <c r="S119" s="44">
        <f>_xll.BDP($C119&amp;"@CBBT Corp","YAS_BOND_YLD", "SETTLE_DT="&amp;S$1, "YAS_BOND_PX="&amp;$P119)</f>
        <v>1.2730000000000001</v>
      </c>
    </row>
    <row r="120" spans="1:19">
      <c r="A120" s="46" t="str">
        <f t="shared" si="29"/>
        <v>EUR.CM_DEPTH.XLS_ANDREA.FR0010870956</v>
      </c>
      <c r="B120" s="51" t="str">
        <f>_xll.MKV("EUR.CM_INSTRUMENT.PXE."&amp;C120,B$3)</f>
        <v>FRTR</v>
      </c>
      <c r="C120" s="62" t="s">
        <v>636</v>
      </c>
      <c r="D120" s="125">
        <f>_xll.MKV("EUR.CM_INSTRUMENT.PXE."&amp;C120,D$3)</f>
        <v>58556</v>
      </c>
      <c r="E120" s="58">
        <f t="shared" si="20"/>
        <v>0</v>
      </c>
      <c r="F120" s="58" t="str">
        <f t="shared" ca="1" si="21"/>
        <v>99</v>
      </c>
      <c r="G120" s="58">
        <f t="shared" si="22"/>
        <v>0.20000000000000018</v>
      </c>
      <c r="H120" s="46" t="str">
        <f>_xll.MKV_PUBLISHRECORD(A120, $H$4)</f>
        <v>OK</v>
      </c>
      <c r="I120" s="46" t="str">
        <f ca="1">_xll.MKV_SUPPLYRECORD_RANGE(A120,$B$3:$G$3,B120:G120)</f>
        <v>OK</v>
      </c>
      <c r="J120" s="34">
        <f>_xll.MKV($J$1&amp;$C120, J$3)</f>
        <v>1.327887</v>
      </c>
      <c r="K120" s="32">
        <f>_xll.MKV($L$2&amp;$C120, K$3)</f>
        <v>1.3280000000000001</v>
      </c>
      <c r="L120" s="35">
        <f>_xll.MKV($L$2&amp;$C120, L$3)</f>
        <v>187.905</v>
      </c>
      <c r="M120" s="32">
        <f t="shared" si="23"/>
        <v>4.9999999999954525E-3</v>
      </c>
      <c r="N120" s="36">
        <f>_xll.BDH(C120&amp;"@CBBT Corp","OPEN",$N$1&amp;" 4:15:00 PM",$N$1&amp;" 5:15:00 PM","BarSz=60","BarTp=T","RecurDaily=True","TZ=London","DTS=H")</f>
        <v>187.9</v>
      </c>
      <c r="O120" s="36" t="e">
        <f ca="1">[1]!BError(_xll.BDH($C120&amp;"@CBBT Corp","OPEN",$O$1&amp;" 4:15:00 PM",$O$1&amp;" 5:15:00 PM","BarSz=60","BarTp=T","RecurDaily=True","TZ=London","DTS=H"))</f>
        <v>#NAME?</v>
      </c>
      <c r="P120" s="36">
        <f>_xll.BDH($C120&amp;"@CBBT Corp","OPEN",P$1&amp;" 4:15:00 PM",P$1&amp;" 5:15:00 PM","BarSz=60","BarTp=T","RecurDaily=True","TZ=London","DTS=H")</f>
        <v>188.16499999999999</v>
      </c>
      <c r="Q120" s="44">
        <f>_xll.BDP($C120&amp;"@CBBT Corp","YAS_BOND_YLD", "SETTLE_DT="&amp;Q$1, "YAS_BOND_PX="&amp;$N120)</f>
        <v>1.3280000000000001</v>
      </c>
      <c r="R120" s="44" t="e">
        <f ca="1">_xll.BDP($C120&amp;"@CBBT Corp","YAS_BOND_YLD", "SETTLE_DT="&amp;R$1, "YAS_BOND_PX="&amp;$O120)</f>
        <v>#NAME?</v>
      </c>
      <c r="S120" s="44">
        <f>_xll.BDP($C120&amp;"@CBBT Corp","YAS_BOND_YLD", "SETTLE_DT="&amp;S$1, "YAS_BOND_PX="&amp;$P120)</f>
        <v>1.3260000000000001</v>
      </c>
    </row>
    <row r="121" spans="1:19">
      <c r="A121" s="46" t="str">
        <f>$A$4 &amp; ".CM_DEPTH."&amp; $H$4 &amp; "." &amp; C121</f>
        <v>EUR.CM_DEPTH.XLS_ANDREA.FR0013154028</v>
      </c>
      <c r="B121" s="51" t="str">
        <f>_xll.MKV("EUR.CM_INSTRUMENT.PXE."&amp;C121,B$3)</f>
        <v>FRTR</v>
      </c>
      <c r="C121" s="62" t="s">
        <v>720</v>
      </c>
      <c r="D121" s="125">
        <f>_xll.MKV("EUR.CM_INSTRUMENT.PXE."&amp;C121,D$3)</f>
        <v>60777</v>
      </c>
      <c r="E121" s="58">
        <f>IFERROR(($K121-Q121)*100,"99")</f>
        <v>0</v>
      </c>
      <c r="F121" s="58" t="str">
        <f ca="1">IFERROR(($K121-R121)*100,"99")</f>
        <v>99</v>
      </c>
      <c r="G121" s="58">
        <f>IFERROR(($K121-S121)*100,"99")</f>
        <v>1.4000000000000012</v>
      </c>
      <c r="H121" s="46" t="str">
        <f>_xll.MKV_PUBLISHRECORD(A121, $H$4)</f>
        <v>OK</v>
      </c>
      <c r="I121" s="46" t="str">
        <f ca="1">_xll.MKV_SUPPLYRECORD_RANGE(A121,$B$3:$G$3,B121:G121)</f>
        <v>OK</v>
      </c>
      <c r="J121" s="34">
        <f>_xll.MKV($J$1&amp;$C121, J$3)</f>
        <v>1.4435530000000001</v>
      </c>
      <c r="K121" s="32">
        <f>_xll.MKV($L$2&amp;$C121, K$3)</f>
        <v>1.444</v>
      </c>
      <c r="L121" s="35">
        <f>_xll.MKV($L$2&amp;$C121, L$3)</f>
        <v>110.8</v>
      </c>
      <c r="M121" s="32">
        <f>L121-N121</f>
        <v>3.0000000000001137E-3</v>
      </c>
      <c r="N121" s="36">
        <f>_xll.BDH(C121&amp;"@CBBT Corp","OPEN",$N$1&amp;" 4:15:00 PM",$N$1&amp;" 5:15:00 PM","BarSz=60","BarTp=T","RecurDaily=True","TZ=London","DTS=H")</f>
        <v>110.797</v>
      </c>
      <c r="O121" s="36" t="e">
        <f ca="1">[1]!BError(_xll.BDH($C121&amp;"@CBBT Corp","OPEN",$O$1&amp;" 4:15:00 PM",$O$1&amp;" 5:15:00 PM","BarSz=60","BarTp=T","RecurDaily=True","TZ=London","DTS=H"))</f>
        <v>#NAME?</v>
      </c>
      <c r="P121" s="36">
        <f>_xll.BDH($C121&amp;"@CBBT Corp","OPEN",P$1&amp;" 4:15:00 PM",P$1&amp;" 5:15:00 PM","BarSz=60","BarTp=T","RecurDaily=True","TZ=London","DTS=H")</f>
        <v>111.31699999999999</v>
      </c>
      <c r="Q121" s="44">
        <f>_xll.BDP($C121&amp;"@CBBT Corp","YAS_BOND_YLD", "SETTLE_DT="&amp;Q$1, "YAS_BOND_PX="&amp;$N121)</f>
        <v>1.444</v>
      </c>
      <c r="R121" s="44" t="e">
        <f ca="1">_xll.BDP($C121&amp;"@CBBT Corp","YAS_BOND_YLD", "SETTLE_DT="&amp;R$1, "YAS_BOND_PX="&amp;$O121)</f>
        <v>#NAME?</v>
      </c>
      <c r="S121" s="44">
        <f>_xll.BDP($C121&amp;"@CBBT Corp","YAS_BOND_YLD", "SETTLE_DT="&amp;S$1, "YAS_BOND_PX="&amp;$P121)</f>
        <v>1.43</v>
      </c>
    </row>
    <row r="122" spans="1:19">
      <c r="A122" s="46" t="str">
        <f t="shared" si="29"/>
        <v>EUR.CM_DEPTH.XLS_ANDREA.DE0001137479</v>
      </c>
      <c r="B122" s="51" t="e">
        <f>_xll.MKV("EUR.CM_INSTRUMENT.PXE."&amp;C122,B$3)</f>
        <v>#REF!</v>
      </c>
      <c r="C122" s="61" t="s">
        <v>494</v>
      </c>
      <c r="D122" s="125" t="e">
        <f>_xll.MKV("EUR.CM_INSTRUMENT.PXE."&amp;C122,D$3)</f>
        <v>#REF!</v>
      </c>
      <c r="E122" s="58" t="str">
        <f t="shared" si="20"/>
        <v>99</v>
      </c>
      <c r="F122" s="58" t="str">
        <f t="shared" ca="1" si="21"/>
        <v>99</v>
      </c>
      <c r="G122" s="58" t="str">
        <f t="shared" si="22"/>
        <v>99</v>
      </c>
      <c r="H122" s="46" t="str">
        <f>_xll.MKV_PUBLISHRECORD(A122, $H$4)</f>
        <v>OK</v>
      </c>
      <c r="I122" s="46" t="str">
        <f ca="1">_xll.MKV_SUPPLYRECORD_RANGE(A122,$B$3:$G$3,B122:G122)</f>
        <v>OK</v>
      </c>
      <c r="J122" s="34" t="e">
        <f>_xll.MKV($J$1&amp;$C122, J$3)</f>
        <v>#REF!</v>
      </c>
      <c r="K122" s="32" t="e">
        <f>_xll.MKV($L$2&amp;$C122, K$3)</f>
        <v>#REF!</v>
      </c>
      <c r="L122" s="35" t="e">
        <f>_xll.MKV($L$2&amp;$C122, L$3)</f>
        <v>#REF!</v>
      </c>
      <c r="M122" s="32" t="e">
        <f t="shared" si="23"/>
        <v>#REF!</v>
      </c>
      <c r="N122" s="36" t="str">
        <f>_xll.BDH(C122&amp;"@CBBT Corp","OPEN",$N$1&amp;" 4:15:00 PM",$N$1&amp;" 5:15:00 PM","BarSz=60","BarTp=T","RecurDaily=True","TZ=London","DTS=H")</f>
        <v>#N/A N/A</v>
      </c>
      <c r="O122" s="36" t="e">
        <f ca="1">[1]!BError(_xll.BDH($C122&amp;"@CBBT Corp","OPEN",$O$1&amp;" 4:15:00 PM",$O$1&amp;" 5:15:00 PM","BarSz=60","BarTp=T","RecurDaily=True","TZ=London","DTS=H"))</f>
        <v>#NAME?</v>
      </c>
      <c r="P122" s="36" t="str">
        <f>_xll.BDH($C122&amp;"@CBBT Corp","OPEN",P$1&amp;" 4:15:00 PM",P$1&amp;" 5:15:00 PM","BarSz=60","BarTp=T","RecurDaily=True","TZ=London","DTS=H")</f>
        <v>#N/A N/A</v>
      </c>
      <c r="Q122" s="44" t="str">
        <f>_xll.BDP($C122&amp;"@CBBT Corp","YAS_BOND_YLD", "SETTLE_DT="&amp;Q$1, "YAS_BOND_PX="&amp;$N122)</f>
        <v>#N/A Invalid Override</v>
      </c>
      <c r="R122" s="44" t="e">
        <f ca="1">_xll.BDP($C122&amp;"@CBBT Corp","YAS_BOND_YLD", "SETTLE_DT="&amp;R$1, "YAS_BOND_PX="&amp;$O122)</f>
        <v>#NAME?</v>
      </c>
      <c r="S122" s="44" t="str">
        <f>_xll.BDP($C122&amp;"@CBBT Corp","YAS_BOND_YLD", "SETTLE_DT="&amp;S$1, "YAS_BOND_PX="&amp;$P122)</f>
        <v>#N/A Invalid Override</v>
      </c>
    </row>
    <row r="123" spans="1:19">
      <c r="A123" s="46" t="str">
        <f t="shared" si="29"/>
        <v>EUR.CM_DEPTH.XLS_ANDREA.DE0001141612</v>
      </c>
      <c r="B123" s="51" t="str">
        <f>_xll.MKV("EUR.CM_INSTRUMENT.PXE."&amp;C123,B$3)</f>
        <v>OBL</v>
      </c>
      <c r="C123" s="61" t="s">
        <v>495</v>
      </c>
      <c r="D123" s="125">
        <f>_xll.MKV("EUR.CM_INSTRUMENT.PXE."&amp;C123,D$3)</f>
        <v>42657</v>
      </c>
      <c r="E123" s="58">
        <f t="shared" si="20"/>
        <v>-3</v>
      </c>
      <c r="F123" s="58" t="str">
        <f t="shared" ca="1" si="21"/>
        <v>99</v>
      </c>
      <c r="G123" s="58">
        <f t="shared" si="22"/>
        <v>34.599999999999994</v>
      </c>
      <c r="H123" s="46" t="str">
        <f>_xll.MKV_PUBLISHRECORD(A123, $H$4)</f>
        <v>OK</v>
      </c>
      <c r="I123" s="46" t="str">
        <f ca="1">_xll.MKV_SUPPLYRECORD_RANGE(A123,$B$3:$G$3,B123:G123)</f>
        <v>OK</v>
      </c>
      <c r="J123" s="34">
        <f>_xll.MKV($J$1&amp;$C123, J$3)</f>
        <v>-2.7415229999999999</v>
      </c>
      <c r="K123" s="32">
        <f>_xll.MKV($L$2&amp;$C123, K$3)</f>
        <v>0</v>
      </c>
      <c r="L123" s="35">
        <f>_xll.MKV($L$2&amp;$C123, L$3)</f>
        <v>100.011</v>
      </c>
      <c r="M123" s="32">
        <f t="shared" si="23"/>
        <v>9.9999999999056399E-4</v>
      </c>
      <c r="N123" s="36">
        <f>_xll.BDH(C123&amp;"@CBBT Corp","OPEN",$N$1&amp;" 4:15:00 PM",$N$1&amp;" 5:15:00 PM","BarSz=60","BarTp=T","RecurDaily=True","TZ=London","DTS=H")</f>
        <v>100.01</v>
      </c>
      <c r="O123" s="36" t="e">
        <f ca="1">[1]!BError(_xll.BDH($C123&amp;"@CBBT Corp","OPEN",$O$1&amp;" 4:15:00 PM",$O$1&amp;" 5:15:00 PM","BarSz=60","BarTp=T","RecurDaily=True","TZ=London","DTS=H"))</f>
        <v>#NAME?</v>
      </c>
      <c r="P123" s="36">
        <f>_xll.BDH($C123&amp;"@CBBT Corp","OPEN",P$1&amp;" 4:15:00 PM",P$1&amp;" 5:15:00 PM","BarSz=60","BarTp=T","RecurDaily=True","TZ=London","DTS=H")</f>
        <v>100.15300000000001</v>
      </c>
      <c r="Q123" s="44">
        <f>_xll.BDP($C123&amp;"@CBBT Corp","YAS_BOND_YLD", "SETTLE_DT="&amp;Q$1, "YAS_BOND_PX="&amp;$N123)</f>
        <v>0.03</v>
      </c>
      <c r="R123" s="44" t="e">
        <f ca="1">_xll.BDP($C123&amp;"@CBBT Corp","YAS_BOND_YLD", "SETTLE_DT="&amp;R$1, "YAS_BOND_PX="&amp;$O123)</f>
        <v>#NAME?</v>
      </c>
      <c r="S123" s="44">
        <f>_xll.BDP($C123&amp;"@CBBT Corp","YAS_BOND_YLD", "SETTLE_DT="&amp;S$1, "YAS_BOND_PX="&amp;$P123)</f>
        <v>-0.34599999999999997</v>
      </c>
    </row>
    <row r="124" spans="1:19">
      <c r="A124" s="46" t="str">
        <f t="shared" si="29"/>
        <v>EUR.CM_DEPTH.XLS_ANDREA.DE0001137487</v>
      </c>
      <c r="B124" s="51" t="str">
        <f>_xll.MKV("EUR.CM_INSTRUMENT.PXE."&amp;C124,B$3)</f>
        <v>BKO</v>
      </c>
      <c r="C124" s="61" t="s">
        <v>500</v>
      </c>
      <c r="D124" s="125">
        <f>_xll.MKV("EUR.CM_INSTRUMENT.PXE."&amp;C124,D$3)</f>
        <v>42720</v>
      </c>
      <c r="E124" s="58">
        <f t="shared" si="20"/>
        <v>-3.3000000000000029</v>
      </c>
      <c r="F124" s="58" t="str">
        <f t="shared" ca="1" si="21"/>
        <v>99</v>
      </c>
      <c r="G124" s="58">
        <f t="shared" si="22"/>
        <v>-13.100000000000001</v>
      </c>
      <c r="H124" s="46" t="str">
        <f>_xll.MKV_PUBLISHRECORD(A124, $H$4)</f>
        <v>OK</v>
      </c>
      <c r="I124" s="46" t="str">
        <f ca="1">_xll.MKV_SUPPLYRECORD_RANGE(A124,$B$3:$G$3,B124:G124)</f>
        <v>OK</v>
      </c>
      <c r="J124" s="34">
        <f>_xll.MKV($J$1&amp;$C124, J$3)</f>
        <v>-0.71965599999999996</v>
      </c>
      <c r="K124" s="32">
        <f>_xll.MKV($L$2&amp;$C124, K$3)</f>
        <v>-0.73099999999999998</v>
      </c>
      <c r="L124" s="35">
        <f>_xll.MKV($L$2&amp;$C124, L$3)</f>
        <v>100.126</v>
      </c>
      <c r="M124" s="32">
        <f t="shared" si="23"/>
        <v>0</v>
      </c>
      <c r="N124" s="36">
        <f>_xll.BDH(C124&amp;"@CBBT Corp","OPEN",$N$1&amp;" 4:15:00 PM",$N$1&amp;" 5:15:00 PM","BarSz=60","BarTp=T","RecurDaily=True","TZ=London","DTS=H")</f>
        <v>100.126</v>
      </c>
      <c r="O124" s="36" t="e">
        <f ca="1">[1]!BError(_xll.BDH($C124&amp;"@CBBT Corp","OPEN",$O$1&amp;" 4:15:00 PM",$O$1&amp;" 5:15:00 PM","BarSz=60","BarTp=T","RecurDaily=True","TZ=London","DTS=H"))</f>
        <v>#NAME?</v>
      </c>
      <c r="P124" s="36">
        <f>_xll.BDH($C124&amp;"@CBBT Corp","OPEN",P$1&amp;" 4:15:00 PM",P$1&amp;" 5:15:00 PM","BarSz=60","BarTp=T","RecurDaily=True","TZ=London","DTS=H")</f>
        <v>100.161</v>
      </c>
      <c r="Q124" s="44">
        <f>_xll.BDP($C124&amp;"@CBBT Corp","YAS_BOND_YLD", "SETTLE_DT="&amp;Q$1, "YAS_BOND_PX="&amp;$N124)</f>
        <v>-0.69799999999999995</v>
      </c>
      <c r="R124" s="44" t="e">
        <f ca="1">_xll.BDP($C124&amp;"@CBBT Corp","YAS_BOND_YLD", "SETTLE_DT="&amp;R$1, "YAS_BOND_PX="&amp;$O124)</f>
        <v>#NAME?</v>
      </c>
      <c r="S124" s="44">
        <f>_xll.BDP($C124&amp;"@CBBT Corp","YAS_BOND_YLD", "SETTLE_DT="&amp;S$1, "YAS_BOND_PX="&amp;$P124)</f>
        <v>-0.6</v>
      </c>
    </row>
    <row r="125" spans="1:19">
      <c r="A125" s="46" t="str">
        <f t="shared" si="29"/>
        <v>EUR.CM_DEPTH.XLS_ANDREA.DE0001141620</v>
      </c>
      <c r="B125" s="51" t="str">
        <f>_xll.MKV("EUR.CM_INSTRUMENT.PXE."&amp;C125,B$3)</f>
        <v>OBL</v>
      </c>
      <c r="C125" s="61" t="s">
        <v>503</v>
      </c>
      <c r="D125" s="125">
        <f>_xll.MKV("EUR.CM_INSTRUMENT.PXE."&amp;C125,D$3)</f>
        <v>42790</v>
      </c>
      <c r="E125" s="58">
        <f t="shared" si="20"/>
        <v>-3.3000000000000029</v>
      </c>
      <c r="F125" s="58" t="str">
        <f t="shared" ca="1" si="21"/>
        <v>99</v>
      </c>
      <c r="G125" s="58">
        <f t="shared" si="22"/>
        <v>-15.300000000000002</v>
      </c>
      <c r="H125" s="46" t="str">
        <f>_xll.MKV_PUBLISHRECORD(A125, $H$4)</f>
        <v>OK</v>
      </c>
      <c r="I125" s="46" t="str">
        <f ca="1">_xll.MKV_SUPPLYRECORD_RANGE(A125,$B$3:$G$3,B125:G125)</f>
        <v>OK</v>
      </c>
      <c r="J125" s="34">
        <f>_xll.MKV($J$1&amp;$C125, J$3)</f>
        <v>-0.749996</v>
      </c>
      <c r="K125" s="32">
        <f>_xll.MKV($L$2&amp;$C125, K$3)</f>
        <v>-0.748</v>
      </c>
      <c r="L125" s="35">
        <f>_xll.MKV($L$2&amp;$C125, L$3)</f>
        <v>100.55200000000001</v>
      </c>
      <c r="M125" s="32">
        <f t="shared" si="23"/>
        <v>5.0000000000096634E-3</v>
      </c>
      <c r="N125" s="36">
        <f>_xll.BDH(C125&amp;"@CBBT Corp","OPEN",$N$1&amp;" 4:15:00 PM",$N$1&amp;" 5:15:00 PM","BarSz=60","BarTp=T","RecurDaily=True","TZ=London","DTS=H")</f>
        <v>100.547</v>
      </c>
      <c r="O125" s="36" t="e">
        <f ca="1">[1]!BError(_xll.BDH($C125&amp;"@CBBT Corp","OPEN",$O$1&amp;" 4:15:00 PM",$O$1&amp;" 5:15:00 PM","BarSz=60","BarTp=T","RecurDaily=True","TZ=London","DTS=H"))</f>
        <v>#NAME?</v>
      </c>
      <c r="P125" s="36">
        <f>_xll.BDH($C125&amp;"@CBBT Corp","OPEN",P$1&amp;" 4:15:00 PM",P$1&amp;" 5:15:00 PM","BarSz=60","BarTp=T","RecurDaily=True","TZ=London","DTS=H")</f>
        <v>100.62</v>
      </c>
      <c r="Q125" s="44">
        <f>_xll.BDP($C125&amp;"@CBBT Corp","YAS_BOND_YLD", "SETTLE_DT="&amp;Q$1, "YAS_BOND_PX="&amp;$N125)</f>
        <v>-0.71499999999999997</v>
      </c>
      <c r="R125" s="44" t="e">
        <f ca="1">_xll.BDP($C125&amp;"@CBBT Corp","YAS_BOND_YLD", "SETTLE_DT="&amp;R$1, "YAS_BOND_PX="&amp;$O125)</f>
        <v>#NAME?</v>
      </c>
      <c r="S125" s="44">
        <f>_xll.BDP($C125&amp;"@CBBT Corp","YAS_BOND_YLD", "SETTLE_DT="&amp;S$1, "YAS_BOND_PX="&amp;$P125)</f>
        <v>-0.59499999999999997</v>
      </c>
    </row>
    <row r="126" spans="1:19">
      <c r="A126" s="46" t="str">
        <f t="shared" si="29"/>
        <v>EUR.CM_DEPTH.XLS_ANDREA.DE0001137495</v>
      </c>
      <c r="B126" s="51" t="str">
        <f>_xll.MKV("EUR.CM_INSTRUMENT.PXE."&amp;C126,B$3)</f>
        <v>BKO</v>
      </c>
      <c r="C126" s="61" t="s">
        <v>504</v>
      </c>
      <c r="D126" s="125">
        <f>_xll.MKV("EUR.CM_INSTRUMENT.PXE."&amp;C126,D$3)</f>
        <v>42804</v>
      </c>
      <c r="E126" s="58">
        <f t="shared" si="20"/>
        <v>-2.300000000000002</v>
      </c>
      <c r="F126" s="58" t="str">
        <f t="shared" ca="1" si="21"/>
        <v>99</v>
      </c>
      <c r="G126" s="58">
        <f t="shared" si="22"/>
        <v>-10.999999999999998</v>
      </c>
      <c r="H126" s="46" t="str">
        <f>_xll.MKV_PUBLISHRECORD(A126, $H$4)</f>
        <v>OK</v>
      </c>
      <c r="I126" s="46" t="str">
        <f ca="1">_xll.MKV_SUPPLYRECORD_RANGE(A126,$B$3:$G$3,B126:G126)</f>
        <v>OK</v>
      </c>
      <c r="J126" s="34">
        <f>_xll.MKV($J$1&amp;$C126, J$3)</f>
        <v>-0.74255499999999997</v>
      </c>
      <c r="K126" s="32">
        <f>_xll.MKV($L$2&amp;$C126, K$3)</f>
        <v>-0.748</v>
      </c>
      <c r="L126" s="35">
        <f>_xll.MKV($L$2&amp;$C126, L$3)</f>
        <v>100.30200000000001</v>
      </c>
      <c r="M126" s="32">
        <f t="shared" si="23"/>
        <v>3.0000000000001137E-3</v>
      </c>
      <c r="N126" s="36">
        <f>_xll.BDH(C126&amp;"@CBBT Corp","OPEN",$N$1&amp;" 4:15:00 PM",$N$1&amp;" 5:15:00 PM","BarSz=60","BarTp=T","RecurDaily=True","TZ=London","DTS=H")</f>
        <v>100.29900000000001</v>
      </c>
      <c r="O126" s="36" t="e">
        <f ca="1">[1]!BError(_xll.BDH($C126&amp;"@CBBT Corp","OPEN",$O$1&amp;" 4:15:00 PM",$O$1&amp;" 5:15:00 PM","BarSz=60","BarTp=T","RecurDaily=True","TZ=London","DTS=H"))</f>
        <v>#NAME?</v>
      </c>
      <c r="P126" s="36">
        <f>_xll.BDH($C126&amp;"@CBBT Corp","OPEN",P$1&amp;" 4:15:00 PM",P$1&amp;" 5:15:00 PM","BarSz=60","BarTp=T","RecurDaily=True","TZ=London","DTS=H")</f>
        <v>100.319</v>
      </c>
      <c r="Q126" s="44">
        <f>_xll.BDP($C126&amp;"@CBBT Corp","YAS_BOND_YLD", "SETTLE_DT="&amp;Q$1, "YAS_BOND_PX="&amp;$N126)</f>
        <v>-0.72499999999999998</v>
      </c>
      <c r="R126" s="44" t="e">
        <f ca="1">_xll.BDP($C126&amp;"@CBBT Corp","YAS_BOND_YLD", "SETTLE_DT="&amp;R$1, "YAS_BOND_PX="&amp;$O126)</f>
        <v>#NAME?</v>
      </c>
      <c r="S126" s="44">
        <f>_xll.BDP($C126&amp;"@CBBT Corp","YAS_BOND_YLD", "SETTLE_DT="&amp;S$1, "YAS_BOND_PX="&amp;$P126)</f>
        <v>-0.63800000000000001</v>
      </c>
    </row>
    <row r="127" spans="1:19">
      <c r="A127" s="46" t="str">
        <f t="shared" si="29"/>
        <v>EUR.CM_DEPTH.XLS_ANDREA.DE0001141638</v>
      </c>
      <c r="B127" s="51" t="str">
        <f>_xll.MKV("EUR.CM_INSTRUMENT.PXE."&amp;C127,B$3)</f>
        <v>OBL</v>
      </c>
      <c r="C127" s="61" t="s">
        <v>505</v>
      </c>
      <c r="D127" s="125">
        <f>_xll.MKV("EUR.CM_INSTRUMENT.PXE."&amp;C127,D$3)</f>
        <v>42832</v>
      </c>
      <c r="E127" s="58">
        <f t="shared" si="20"/>
        <v>-12.500000000000011</v>
      </c>
      <c r="F127" s="58" t="str">
        <f t="shared" ca="1" si="21"/>
        <v>99</v>
      </c>
      <c r="G127" s="58">
        <f t="shared" si="22"/>
        <v>-18.600000000000005</v>
      </c>
      <c r="H127" s="46" t="str">
        <f>_xll.MKV_PUBLISHRECORD(A127, $H$4)</f>
        <v>OK</v>
      </c>
      <c r="I127" s="46" t="str">
        <f ca="1">_xll.MKV_SUPPLYRECORD_RANGE(A127,$B$3:$G$3,B127:G127)</f>
        <v>OK</v>
      </c>
      <c r="J127" s="34">
        <f>_xll.MKV($J$1&amp;$C127, J$3)</f>
        <v>-0.809666</v>
      </c>
      <c r="K127" s="32">
        <f>_xll.MKV($L$2&amp;$C127, K$3)</f>
        <v>-0.81700000000000006</v>
      </c>
      <c r="L127" s="35">
        <f>_xll.MKV($L$2&amp;$C127, L$3)</f>
        <v>100.63500000000001</v>
      </c>
      <c r="M127" s="32">
        <f t="shared" si="23"/>
        <v>5.1000000000001933E-2</v>
      </c>
      <c r="N127" s="36">
        <f>_xll.BDH(C127&amp;"@CBBT Corp","OPEN",$N$1&amp;" 4:15:00 PM",$N$1&amp;" 5:15:00 PM","BarSz=60","BarTp=T","RecurDaily=True","TZ=London","DTS=H")</f>
        <v>100.584</v>
      </c>
      <c r="O127" s="36" t="e">
        <f ca="1">[1]!BError(_xll.BDH($C127&amp;"@CBBT Corp","OPEN",$O$1&amp;" 4:15:00 PM",$O$1&amp;" 5:15:00 PM","BarSz=60","BarTp=T","RecurDaily=True","TZ=London","DTS=H"))</f>
        <v>#NAME?</v>
      </c>
      <c r="P127" s="36">
        <f>_xll.BDH($C127&amp;"@CBBT Corp","OPEN",P$1&amp;" 4:15:00 PM",P$1&amp;" 5:15:00 PM","BarSz=60","BarTp=T","RecurDaily=True","TZ=London","DTS=H")</f>
        <v>100.654</v>
      </c>
      <c r="Q127" s="44">
        <f>_xll.BDP($C127&amp;"@CBBT Corp","YAS_BOND_YLD", "SETTLE_DT="&amp;Q$1, "YAS_BOND_PX="&amp;$N127)</f>
        <v>-0.69199999999999995</v>
      </c>
      <c r="R127" s="44" t="e">
        <f ca="1">_xll.BDP($C127&amp;"@CBBT Corp","YAS_BOND_YLD", "SETTLE_DT="&amp;R$1, "YAS_BOND_PX="&amp;$O127)</f>
        <v>#NAME?</v>
      </c>
      <c r="S127" s="44">
        <f>_xll.BDP($C127&amp;"@CBBT Corp","YAS_BOND_YLD", "SETTLE_DT="&amp;S$1, "YAS_BOND_PX="&amp;$P127)</f>
        <v>-0.63100000000000001</v>
      </c>
    </row>
    <row r="128" spans="1:19">
      <c r="A128" s="46" t="str">
        <f t="shared" si="29"/>
        <v>EUR.CM_DEPTH.XLS_ANDREA.DE0001104602</v>
      </c>
      <c r="B128" s="51" t="str">
        <f>_xll.MKV("EUR.CM_INSTRUMENT.PXE."&amp;C128,B$3)</f>
        <v>BKO</v>
      </c>
      <c r="C128" s="61" t="s">
        <v>511</v>
      </c>
      <c r="D128" s="125">
        <f>_xll.MKV("EUR.CM_INSTRUMENT.PXE."&amp;C128,D$3)</f>
        <v>42902</v>
      </c>
      <c r="E128" s="58">
        <f t="shared" si="20"/>
        <v>-1.0000000000000009</v>
      </c>
      <c r="F128" s="58" t="str">
        <f t="shared" ca="1" si="21"/>
        <v>99</v>
      </c>
      <c r="G128" s="58">
        <f t="shared" si="22"/>
        <v>-8.7999999999999972</v>
      </c>
      <c r="H128" s="46" t="str">
        <f>_xll.MKV_PUBLISHRECORD(A128, $H$4)</f>
        <v>OK</v>
      </c>
      <c r="I128" s="46" t="str">
        <f ca="1">_xll.MKV_SUPPLYRECORD_RANGE(A128,$B$3:$G$3,B128:G128)</f>
        <v>OK</v>
      </c>
      <c r="J128" s="34">
        <f>_xll.MKV($J$1&amp;$C128, J$3)</f>
        <v>-0.71173200000000003</v>
      </c>
      <c r="K128" s="32">
        <f>_xll.MKV($L$2&amp;$C128, K$3)</f>
        <v>-0.71499999999999997</v>
      </c>
      <c r="L128" s="35">
        <f>_xll.MKV($L$2&amp;$C128, L$3)</f>
        <v>100.482</v>
      </c>
      <c r="M128" s="32">
        <f t="shared" si="23"/>
        <v>1.0000000000047748E-3</v>
      </c>
      <c r="N128" s="36">
        <f>_xll.BDH(C128&amp;"@CBBT Corp","OPEN",$N$1&amp;" 4:15:00 PM",$N$1&amp;" 5:15:00 PM","BarSz=60","BarTp=T","RecurDaily=True","TZ=London","DTS=H")</f>
        <v>100.48099999999999</v>
      </c>
      <c r="O128" s="36" t="e">
        <f ca="1">[1]!BError(_xll.BDH($C128&amp;"@CBBT Corp","OPEN",$O$1&amp;" 4:15:00 PM",$O$1&amp;" 5:15:00 PM","BarSz=60","BarTp=T","RecurDaily=True","TZ=London","DTS=H"))</f>
        <v>#NAME?</v>
      </c>
      <c r="P128" s="36">
        <f>_xll.BDH($C128&amp;"@CBBT Corp","OPEN",P$1&amp;" 4:15:00 PM",P$1&amp;" 5:15:00 PM","BarSz=60","BarTp=T","RecurDaily=True","TZ=London","DTS=H")</f>
        <v>100.483</v>
      </c>
      <c r="Q128" s="44">
        <f>_xll.BDP($C128&amp;"@CBBT Corp","YAS_BOND_YLD", "SETTLE_DT="&amp;Q$1, "YAS_BOND_PX="&amp;$N128)</f>
        <v>-0.70499999999999996</v>
      </c>
      <c r="R128" s="44" t="e">
        <f ca="1">_xll.BDP($C128&amp;"@CBBT Corp","YAS_BOND_YLD", "SETTLE_DT="&amp;R$1, "YAS_BOND_PX="&amp;$O128)</f>
        <v>#NAME?</v>
      </c>
      <c r="S128" s="44">
        <f>_xll.BDP($C128&amp;"@CBBT Corp","YAS_BOND_YLD", "SETTLE_DT="&amp;S$1, "YAS_BOND_PX="&amp;$P128)</f>
        <v>-0.627</v>
      </c>
    </row>
    <row r="129" spans="1:19">
      <c r="A129" s="46" t="str">
        <f t="shared" si="29"/>
        <v>EUR.CM_DEPTH.XLS_ANDREA.DE0001135333</v>
      </c>
      <c r="B129" s="51" t="str">
        <f>_xll.MKV("EUR.CM_INSTRUMENT.PXE."&amp;C129,B$3)</f>
        <v>DBR</v>
      </c>
      <c r="C129" s="61" t="s">
        <v>512</v>
      </c>
      <c r="D129" s="125">
        <f>_xll.MKV("EUR.CM_INSTRUMENT.PXE."&amp;C129,D$3)</f>
        <v>42920</v>
      </c>
      <c r="E129" s="58">
        <f t="shared" si="20"/>
        <v>-3.7000000000000033</v>
      </c>
      <c r="F129" s="58" t="str">
        <f t="shared" ca="1" si="21"/>
        <v>99</v>
      </c>
      <c r="G129" s="58">
        <f t="shared" si="22"/>
        <v>-12.500000000000011</v>
      </c>
      <c r="H129" s="46" t="str">
        <f>_xll.MKV_PUBLISHRECORD(A129, $H$4)</f>
        <v>OK</v>
      </c>
      <c r="I129" s="46" t="str">
        <f ca="1">_xll.MKV_SUPPLYRECORD_RANGE(A129,$B$3:$G$3,B129:G129)</f>
        <v>OK</v>
      </c>
      <c r="J129" s="34">
        <f>_xll.MKV($J$1&amp;$C129, J$3)</f>
        <v>-0.69412099999999999</v>
      </c>
      <c r="K129" s="32">
        <f>_xll.MKV($L$2&amp;$C129, K$3)</f>
        <v>-0.69900000000000007</v>
      </c>
      <c r="L129" s="35">
        <f>_xll.MKV($L$2&amp;$C129, L$3)</f>
        <v>103.6</v>
      </c>
      <c r="M129" s="32">
        <f t="shared" si="23"/>
        <v>-3.0000000000001137E-3</v>
      </c>
      <c r="N129" s="36">
        <f>_xll.BDH(C129&amp;"@CBBT Corp","OPEN",$N$1&amp;" 4:15:00 PM",$N$1&amp;" 5:15:00 PM","BarSz=60","BarTp=T","RecurDaily=True","TZ=London","DTS=H")</f>
        <v>103.60299999999999</v>
      </c>
      <c r="O129" s="36" t="e">
        <f ca="1">[1]!BError(_xll.BDH($C129&amp;"@CBBT Corp","OPEN",$O$1&amp;" 4:15:00 PM",$O$1&amp;" 5:15:00 PM","BarSz=60","BarTp=T","RecurDaily=True","TZ=London","DTS=H"))</f>
        <v>#NAME?</v>
      </c>
      <c r="P129" s="36">
        <f>_xll.BDH($C129&amp;"@CBBT Corp","OPEN",P$1&amp;" 4:15:00 PM",P$1&amp;" 5:15:00 PM","BarSz=60","BarTp=T","RecurDaily=True","TZ=London","DTS=H")</f>
        <v>103.961</v>
      </c>
      <c r="Q129" s="44">
        <f>_xll.BDP($C129&amp;"@CBBT Corp","YAS_BOND_YLD", "SETTLE_DT="&amp;Q$1, "YAS_BOND_PX="&amp;$N129)</f>
        <v>-0.66200000000000003</v>
      </c>
      <c r="R129" s="44" t="e">
        <f ca="1">_xll.BDP($C129&amp;"@CBBT Corp","YAS_BOND_YLD", "SETTLE_DT="&amp;R$1, "YAS_BOND_PX="&amp;$O129)</f>
        <v>#NAME?</v>
      </c>
      <c r="S129" s="44">
        <f>_xll.BDP($C129&amp;"@CBBT Corp","YAS_BOND_YLD", "SETTLE_DT="&amp;S$1, "YAS_BOND_PX="&amp;$P129)</f>
        <v>-0.57399999999999995</v>
      </c>
    </row>
    <row r="130" spans="1:19">
      <c r="A130" s="46" t="str">
        <f t="shared" si="29"/>
        <v>EUR.CM_DEPTH.XLS_ANDREA.DE0001104610</v>
      </c>
      <c r="B130" s="51" t="str">
        <f>_xll.MKV("EUR.CM_INSTRUMENT.PXE."&amp;C130,B$3)</f>
        <v>BKO</v>
      </c>
      <c r="C130" s="61" t="s">
        <v>644</v>
      </c>
      <c r="D130" s="125">
        <f>_xll.MKV("EUR.CM_INSTRUMENT.PXE."&amp;C130,D$3)</f>
        <v>42993</v>
      </c>
      <c r="E130" s="58">
        <f t="shared" si="20"/>
        <v>-0.60000000000000053</v>
      </c>
      <c r="F130" s="58" t="str">
        <f t="shared" ca="1" si="21"/>
        <v>99</v>
      </c>
      <c r="G130" s="58">
        <f t="shared" si="22"/>
        <v>-6.2000000000000055</v>
      </c>
      <c r="H130" s="46" t="str">
        <f>_xll.MKV_PUBLISHRECORD(A130, $H$4)</f>
        <v>OK</v>
      </c>
      <c r="I130" s="46" t="str">
        <f ca="1">_xll.MKV_SUPPLYRECORD_RANGE(A130,$B$3:$G$3,B130:G130)</f>
        <v>OK</v>
      </c>
      <c r="J130" s="34">
        <f>_xll.MKV($J$1&amp;$C130, J$3)</f>
        <v>-0.68876700000000002</v>
      </c>
      <c r="K130" s="32">
        <f>_xll.MKV($L$2&amp;$C130, K$3)</f>
        <v>-0.69100000000000006</v>
      </c>
      <c r="L130" s="35">
        <f>_xll.MKV($L$2&amp;$C130, L$3)</f>
        <v>100.64</v>
      </c>
      <c r="M130" s="32">
        <f t="shared" si="23"/>
        <v>0</v>
      </c>
      <c r="N130" s="36">
        <f>_xll.BDH(C130&amp;"@CBBT Corp","OPEN",$N$1&amp;" 4:15:00 PM",$N$1&amp;" 5:15:00 PM","BarSz=60","BarTp=T","RecurDaily=True","TZ=London","DTS=H")</f>
        <v>100.64</v>
      </c>
      <c r="O130" s="36" t="e">
        <f ca="1">[1]!BError(_xll.BDH($C130&amp;"@CBBT Corp","OPEN",$O$1&amp;" 4:15:00 PM",$O$1&amp;" 5:15:00 PM","BarSz=60","BarTp=T","RecurDaily=True","TZ=London","DTS=H"))</f>
        <v>#NAME?</v>
      </c>
      <c r="P130" s="36">
        <f>_xll.BDH($C130&amp;"@CBBT Corp","OPEN",P$1&amp;" 4:15:00 PM",P$1&amp;" 5:15:00 PM","BarSz=60","BarTp=T","RecurDaily=True","TZ=London","DTS=H")</f>
        <v>100.643</v>
      </c>
      <c r="Q130" s="44">
        <f>_xll.BDP($C130&amp;"@CBBT Corp","YAS_BOND_YLD", "SETTLE_DT="&amp;Q$1, "YAS_BOND_PX="&amp;$N130)</f>
        <v>-0.68500000000000005</v>
      </c>
      <c r="R130" s="44" t="e">
        <f ca="1">_xll.BDP($C130&amp;"@CBBT Corp","YAS_BOND_YLD", "SETTLE_DT="&amp;R$1, "YAS_BOND_PX="&amp;$O130)</f>
        <v>#NAME?</v>
      </c>
      <c r="S130" s="44">
        <f>_xll.BDP($C130&amp;"@CBBT Corp","YAS_BOND_YLD", "SETTLE_DT="&amp;S$1, "YAS_BOND_PX="&amp;$P130)</f>
        <v>-0.629</v>
      </c>
    </row>
    <row r="131" spans="1:19">
      <c r="A131" s="46" t="str">
        <f t="shared" si="29"/>
        <v>EUR.CM_DEPTH.XLS_ANDREA.DE0001141646</v>
      </c>
      <c r="B131" s="51" t="str">
        <f>_xll.MKV("EUR.CM_INSTRUMENT.PXE."&amp;C131,B$3)</f>
        <v>OBL</v>
      </c>
      <c r="C131" s="61" t="s">
        <v>515</v>
      </c>
      <c r="D131" s="125">
        <f>_xll.MKV("EUR.CM_INSTRUMENT.PXE."&amp;C131,D$3)</f>
        <v>43021</v>
      </c>
      <c r="E131" s="58">
        <f t="shared" si="20"/>
        <v>-1.5000000000000013</v>
      </c>
      <c r="F131" s="58" t="str">
        <f t="shared" ca="1" si="21"/>
        <v>99</v>
      </c>
      <c r="G131" s="58">
        <f t="shared" si="22"/>
        <v>-5.8000000000000052</v>
      </c>
      <c r="H131" s="46" t="str">
        <f>_xll.MKV_PUBLISHRECORD(A131, $H$4)</f>
        <v>OK</v>
      </c>
      <c r="I131" s="46" t="str">
        <f ca="1">_xll.MKV_SUPPLYRECORD_RANGE(A131,$B$3:$G$3,B131:G131)</f>
        <v>OK</v>
      </c>
      <c r="J131" s="34">
        <f>_xll.MKV($J$1&amp;$C131, J$3)</f>
        <v>-0.69169999999999998</v>
      </c>
      <c r="K131" s="32">
        <f>_xll.MKV($L$2&amp;$C131, K$3)</f>
        <v>-0.69500000000000006</v>
      </c>
      <c r="L131" s="35">
        <f>_xll.MKV($L$2&amp;$C131, L$3)</f>
        <v>101.2</v>
      </c>
      <c r="M131" s="32">
        <f t="shared" si="23"/>
        <v>5.0000000000096634E-3</v>
      </c>
      <c r="N131" s="36">
        <f>_xll.BDH(C131&amp;"@CBBT Corp","OPEN",$N$1&amp;" 4:15:00 PM",$N$1&amp;" 5:15:00 PM","BarSz=60","BarTp=T","RecurDaily=True","TZ=London","DTS=H")</f>
        <v>101.19499999999999</v>
      </c>
      <c r="O131" s="36" t="e">
        <f ca="1">[1]!BError(_xll.BDH($C131&amp;"@CBBT Corp","OPEN",$O$1&amp;" 4:15:00 PM",$O$1&amp;" 5:15:00 PM","BarSz=60","BarTp=T","RecurDaily=True","TZ=London","DTS=H"))</f>
        <v>#NAME?</v>
      </c>
      <c r="P131" s="36">
        <f>_xll.BDH($C131&amp;"@CBBT Corp","OPEN",P$1&amp;" 4:15:00 PM",P$1&amp;" 5:15:00 PM","BarSz=60","BarTp=T","RecurDaily=True","TZ=London","DTS=H")</f>
        <v>101.251</v>
      </c>
      <c r="Q131" s="44">
        <f>_xll.BDP($C131&amp;"@CBBT Corp","YAS_BOND_YLD", "SETTLE_DT="&amp;Q$1, "YAS_BOND_PX="&amp;$N131)</f>
        <v>-0.68</v>
      </c>
      <c r="R131" s="44" t="e">
        <f ca="1">_xll.BDP($C131&amp;"@CBBT Corp","YAS_BOND_YLD", "SETTLE_DT="&amp;R$1, "YAS_BOND_PX="&amp;$O131)</f>
        <v>#NAME?</v>
      </c>
      <c r="S131" s="44">
        <f>_xll.BDP($C131&amp;"@CBBT Corp","YAS_BOND_YLD", "SETTLE_DT="&amp;S$1, "YAS_BOND_PX="&amp;$P131)</f>
        <v>-0.63700000000000001</v>
      </c>
    </row>
    <row r="132" spans="1:19">
      <c r="A132" s="46" t="str">
        <f t="shared" si="29"/>
        <v>EUR.CM_DEPTH.XLS_ANDREA.DE0001104628</v>
      </c>
      <c r="B132" s="51" t="str">
        <f>_xll.MKV("EUR.CM_INSTRUMENT.PXE."&amp;C132,B$3)</f>
        <v>BKO</v>
      </c>
      <c r="C132" s="63" t="s">
        <v>660</v>
      </c>
      <c r="D132" s="125">
        <f>_xll.MKV("EUR.CM_INSTRUMENT.PXE."&amp;C132,D$3)</f>
        <v>43084</v>
      </c>
      <c r="E132" s="58">
        <f t="shared" si="20"/>
        <v>-0.70000000000000062</v>
      </c>
      <c r="F132" s="58" t="str">
        <f t="shared" ca="1" si="21"/>
        <v>99</v>
      </c>
      <c r="G132" s="58">
        <f t="shared" si="22"/>
        <v>-5.5000000000000053</v>
      </c>
      <c r="H132" s="46" t="str">
        <f>_xll.MKV_PUBLISHRECORD(A132, $H$4)</f>
        <v>OK</v>
      </c>
      <c r="I132" s="46" t="str">
        <f ca="1">_xll.MKV_SUPPLYRECORD_RANGE(A132,$B$3:$G$3,B132:G132)</f>
        <v>OK</v>
      </c>
      <c r="J132" s="34">
        <f>_xll.MKV($J$1&amp;$C132, J$3)</f>
        <v>-0.68169999999999997</v>
      </c>
      <c r="K132" s="32">
        <f>_xll.MKV($L$2&amp;$C132, K$3)</f>
        <v>-0.68700000000000006</v>
      </c>
      <c r="L132" s="35">
        <f>_xll.MKV($L$2&amp;$C132, L$3)</f>
        <v>100.80500000000001</v>
      </c>
      <c r="M132" s="32">
        <f t="shared" si="23"/>
        <v>-1.9999999999953388E-3</v>
      </c>
      <c r="N132" s="36">
        <f>_xll.BDH(C132&amp;"@CBBT Corp","OPEN",$N$1&amp;" 4:15:00 PM",$N$1&amp;" 5:15:00 PM","BarSz=60","BarTp=T","RecurDaily=True","TZ=London","DTS=H")</f>
        <v>100.807</v>
      </c>
      <c r="O132" s="36" t="e">
        <f ca="1">[1]!BError(_xll.BDH($C132&amp;"@CBBT Corp","OPEN",$O$1&amp;" 4:15:00 PM",$O$1&amp;" 5:15:00 PM","BarSz=60","BarTp=T","RecurDaily=True","TZ=London","DTS=H"))</f>
        <v>#NAME?</v>
      </c>
      <c r="P132" s="36">
        <f>_xll.BDH($C132&amp;"@CBBT Corp","OPEN",P$1&amp;" 4:15:00 PM",P$1&amp;" 5:15:00 PM","BarSz=60","BarTp=T","RecurDaily=True","TZ=London","DTS=H")</f>
        <v>100.80500000000001</v>
      </c>
      <c r="Q132" s="44">
        <f>_xll.BDP($C132&amp;"@CBBT Corp","YAS_BOND_YLD", "SETTLE_DT="&amp;Q$1, "YAS_BOND_PX="&amp;$N132)</f>
        <v>-0.68</v>
      </c>
      <c r="R132" s="44" t="e">
        <f ca="1">_xll.BDP($C132&amp;"@CBBT Corp","YAS_BOND_YLD", "SETTLE_DT="&amp;R$1, "YAS_BOND_PX="&amp;$O132)</f>
        <v>#NAME?</v>
      </c>
      <c r="S132" s="44">
        <f>_xll.BDP($C132&amp;"@CBBT Corp","YAS_BOND_YLD", "SETTLE_DT="&amp;S$1, "YAS_BOND_PX="&amp;$P132)</f>
        <v>-0.63200000000000001</v>
      </c>
    </row>
    <row r="133" spans="1:19">
      <c r="A133" s="46" t="str">
        <f t="shared" si="29"/>
        <v>EUR.CM_DEPTH.XLS_ANDREA.DE0001135341</v>
      </c>
      <c r="B133" s="51" t="str">
        <f>_xll.MKV("EUR.CM_INSTRUMENT.PXE."&amp;C133,B$3)</f>
        <v>DBR</v>
      </c>
      <c r="C133" s="61" t="s">
        <v>520</v>
      </c>
      <c r="D133" s="125">
        <f>_xll.MKV("EUR.CM_INSTRUMENT.PXE."&amp;C133,D$3)</f>
        <v>43104</v>
      </c>
      <c r="E133" s="58">
        <f t="shared" si="20"/>
        <v>-2.0000000000000018</v>
      </c>
      <c r="F133" s="58" t="str">
        <f t="shared" ca="1" si="21"/>
        <v>99</v>
      </c>
      <c r="G133" s="58">
        <f t="shared" si="22"/>
        <v>-9.8999999999999986</v>
      </c>
      <c r="H133" s="46" t="str">
        <f>_xll.MKV_PUBLISHRECORD(A133, $H$4)</f>
        <v>OK</v>
      </c>
      <c r="I133" s="46" t="str">
        <f ca="1">_xll.MKV_SUPPLYRECORD_RANGE(A133,$B$3:$G$3,B133:G133)</f>
        <v>OK</v>
      </c>
      <c r="J133" s="34">
        <f>_xll.MKV($J$1&amp;$C133, J$3)</f>
        <v>-0.71870199999999995</v>
      </c>
      <c r="K133" s="32">
        <f>_xll.MKV($L$2&amp;$C133, K$3)</f>
        <v>-0.71699999999999997</v>
      </c>
      <c r="L133" s="35">
        <f>_xll.MKV($L$2&amp;$C133, L$3)</f>
        <v>105.83799999999999</v>
      </c>
      <c r="M133" s="32">
        <f t="shared" si="23"/>
        <v>1.9999999999953388E-3</v>
      </c>
      <c r="N133" s="36">
        <f>_xll.BDH(C133&amp;"@CBBT Corp","OPEN",$N$1&amp;" 4:15:00 PM",$N$1&amp;" 5:15:00 PM","BarSz=60","BarTp=T","RecurDaily=True","TZ=London","DTS=H")</f>
        <v>105.836</v>
      </c>
      <c r="O133" s="36" t="e">
        <f ca="1">[1]!BError(_xll.BDH($C133&amp;"@CBBT Corp","OPEN",$O$1&amp;" 4:15:00 PM",$O$1&amp;" 5:15:00 PM","BarSz=60","BarTp=T","RecurDaily=True","TZ=London","DTS=H"))</f>
        <v>#NAME?</v>
      </c>
      <c r="P133" s="36">
        <f>_xll.BDH($C133&amp;"@CBBT Corp","OPEN",P$1&amp;" 4:15:00 PM",P$1&amp;" 5:15:00 PM","BarSz=60","BarTp=T","RecurDaily=True","TZ=London","DTS=H")</f>
        <v>106.14100000000001</v>
      </c>
      <c r="Q133" s="44">
        <f>_xll.BDP($C133&amp;"@CBBT Corp","YAS_BOND_YLD", "SETTLE_DT="&amp;Q$1, "YAS_BOND_PX="&amp;$N133)</f>
        <v>-0.69699999999999995</v>
      </c>
      <c r="R133" s="44" t="e">
        <f ca="1">_xll.BDP($C133&amp;"@CBBT Corp","YAS_BOND_YLD", "SETTLE_DT="&amp;R$1, "YAS_BOND_PX="&amp;$O133)</f>
        <v>#NAME?</v>
      </c>
      <c r="S133" s="44">
        <f>_xll.BDP($C133&amp;"@CBBT Corp","YAS_BOND_YLD", "SETTLE_DT="&amp;S$1, "YAS_BOND_PX="&amp;$P133)</f>
        <v>-0.61799999999999999</v>
      </c>
    </row>
    <row r="134" spans="1:19">
      <c r="A134" s="46" t="str">
        <f t="shared" si="29"/>
        <v>EUR.CM_DEPTH.XLS_ANDREA.DE0001141653</v>
      </c>
      <c r="B134" s="51" t="str">
        <f>_xll.MKV("EUR.CM_INSTRUMENT.PXE."&amp;C134,B$3)</f>
        <v>OBL</v>
      </c>
      <c r="C134" s="61" t="s">
        <v>524</v>
      </c>
      <c r="D134" s="125">
        <f>_xll.MKV("EUR.CM_INSTRUMENT.PXE."&amp;C134,D$3)</f>
        <v>43154</v>
      </c>
      <c r="E134" s="58">
        <f t="shared" si="20"/>
        <v>-1.100000000000001</v>
      </c>
      <c r="F134" s="58" t="str">
        <f t="shared" ca="1" si="21"/>
        <v>99</v>
      </c>
      <c r="G134" s="58">
        <f t="shared" si="22"/>
        <v>-5.4000000000000048</v>
      </c>
      <c r="H134" s="46" t="str">
        <f>_xll.MKV_PUBLISHRECORD(A134, $H$4)</f>
        <v>OK</v>
      </c>
      <c r="I134" s="46" t="str">
        <f ca="1">_xll.MKV_SUPPLYRECORD_RANGE(A134,$B$3:$G$3,B134:G134)</f>
        <v>OK</v>
      </c>
      <c r="J134" s="34">
        <f>_xll.MKV($J$1&amp;$C134, J$3)</f>
        <v>-0.68271099999999996</v>
      </c>
      <c r="K134" s="32">
        <f>_xll.MKV($L$2&amp;$C134, K$3)</f>
        <v>-0.68500000000000005</v>
      </c>
      <c r="L134" s="35">
        <f>_xll.MKV($L$2&amp;$C134, L$3)</f>
        <v>101.626</v>
      </c>
      <c r="M134" s="32">
        <f t="shared" si="23"/>
        <v>6.0000000000002274E-3</v>
      </c>
      <c r="N134" s="36">
        <f>_xll.BDH(C134&amp;"@CBBT Corp","OPEN",$N$1&amp;" 4:15:00 PM",$N$1&amp;" 5:15:00 PM","BarSz=60","BarTp=T","RecurDaily=True","TZ=London","DTS=H")</f>
        <v>101.62</v>
      </c>
      <c r="O134" s="36" t="e">
        <f ca="1">[1]!BError(_xll.BDH($C134&amp;"@CBBT Corp","OPEN",$O$1&amp;" 4:15:00 PM",$O$1&amp;" 5:15:00 PM","BarSz=60","BarTp=T","RecurDaily=True","TZ=London","DTS=H"))</f>
        <v>#NAME?</v>
      </c>
      <c r="P134" s="36">
        <f>_xll.BDH($C134&amp;"@CBBT Corp","OPEN",P$1&amp;" 4:15:00 PM",P$1&amp;" 5:15:00 PM","BarSz=60","BarTp=T","RecurDaily=True","TZ=London","DTS=H")</f>
        <v>101.66</v>
      </c>
      <c r="Q134" s="44">
        <f>_xll.BDP($C134&amp;"@CBBT Corp","YAS_BOND_YLD", "SETTLE_DT="&amp;Q$1, "YAS_BOND_PX="&amp;$N134)</f>
        <v>-0.67400000000000004</v>
      </c>
      <c r="R134" s="44" t="e">
        <f ca="1">_xll.BDP($C134&amp;"@CBBT Corp","YAS_BOND_YLD", "SETTLE_DT="&amp;R$1, "YAS_BOND_PX="&amp;$O134)</f>
        <v>#NAME?</v>
      </c>
      <c r="S134" s="44">
        <f>_xll.BDP($C134&amp;"@CBBT Corp","YAS_BOND_YLD", "SETTLE_DT="&amp;S$1, "YAS_BOND_PX="&amp;$P134)</f>
        <v>-0.63100000000000001</v>
      </c>
    </row>
    <row r="135" spans="1:19">
      <c r="A135" s="46" t="str">
        <f t="shared" si="29"/>
        <v>EUR.CM_DEPTH.XLS_ANDREA.DE0001104636</v>
      </c>
      <c r="B135" s="51" t="str">
        <f>_xll.MKV("EUR.CM_INSTRUMENT.PXE."&amp;C135,B$3)</f>
        <v>BKO</v>
      </c>
      <c r="C135" s="61" t="s">
        <v>681</v>
      </c>
      <c r="D135" s="125">
        <f>_xll.MKV("EUR.CM_INSTRUMENT.PXE."&amp;C135,D$3)</f>
        <v>43175</v>
      </c>
      <c r="E135" s="58">
        <f t="shared" si="20"/>
        <v>-0.20000000000000018</v>
      </c>
      <c r="F135" s="58" t="str">
        <f t="shared" ca="1" si="21"/>
        <v>99</v>
      </c>
      <c r="G135" s="58" t="str">
        <f t="shared" ca="1" si="22"/>
        <v>99</v>
      </c>
      <c r="H135" s="46" t="str">
        <f>_xll.MKV_PUBLISHRECORD(A135, $H$4)</f>
        <v>OK</v>
      </c>
      <c r="I135" s="46" t="str">
        <f ca="1">_xll.MKV_SUPPLYRECORD_RANGE(A135,$B$3:$G$3,B135:G135)</f>
        <v>OK</v>
      </c>
      <c r="J135" s="34">
        <f>_xll.MKV($J$1&amp;$C135, J$3)</f>
        <v>-0.67036399999999996</v>
      </c>
      <c r="K135" s="32">
        <f>_xll.MKV($L$2&amp;$C135, K$3)</f>
        <v>-0.66800000000000004</v>
      </c>
      <c r="L135" s="35">
        <f>_xll.MKV($L$2&amp;$C135, L$3)</f>
        <v>100.961</v>
      </c>
      <c r="M135" s="32">
        <f t="shared" si="23"/>
        <v>3.0000000000001137E-3</v>
      </c>
      <c r="N135" s="36">
        <f>_xll.BDH(C135&amp;"@CBBT Corp","OPEN",$N$1&amp;" 4:15:00 PM",$N$1&amp;" 5:15:00 PM","BarSz=60","BarTp=T","RecurDaily=True","TZ=London","DTS=H")</f>
        <v>100.958</v>
      </c>
      <c r="O135" s="36" t="e">
        <f ca="1">[1]!BError(_xll.BDH($C135&amp;"@CBBT Corp","OPEN",$O$1&amp;" 4:15:00 PM",$O$1&amp;" 5:15:00 PM","BarSz=60","BarTp=T","RecurDaily=True","TZ=London","DTS=H"))</f>
        <v>#NAME?</v>
      </c>
      <c r="P135" s="36" t="e">
        <f ca="1">[1]!BError(_xll.BDH($C135&amp;"@CBBT Corp","OPEN",P$1&amp;" 4:15:00 PM",P$1&amp;" 5:15:00 PM","BarSz=60","BarTp=T","RecurDaily=True","TZ=London","DTS=H"))</f>
        <v>#NAME?</v>
      </c>
      <c r="Q135" s="44">
        <f>_xll.BDP($C135&amp;"@CBBT Corp","YAS_BOND_YLD", "SETTLE_DT="&amp;Q$1, "YAS_BOND_PX="&amp;$N135)</f>
        <v>-0.66600000000000004</v>
      </c>
      <c r="R135" s="44" t="e">
        <f ca="1">_xll.BDP($C135&amp;"@CBBT Corp","YAS_BOND_YLD", "SETTLE_DT="&amp;R$1, "YAS_BOND_PX="&amp;$O135)</f>
        <v>#NAME?</v>
      </c>
      <c r="S135" s="44" t="e">
        <f ca="1">[1]!BError(_xll.BDP($C135&amp;"@CBBT Corp","YAS_BOND_YLD", "SETTLE_DT="&amp;S$1, "YAS_BOND_PX="&amp;$P135))</f>
        <v>#NAME?</v>
      </c>
    </row>
    <row r="136" spans="1:19">
      <c r="A136" s="46" t="str">
        <f t="shared" si="29"/>
        <v>EUR.CM_DEPTH.XLS_ANDREA.DE0001141661</v>
      </c>
      <c r="B136" s="51" t="str">
        <f>_xll.MKV("EUR.CM_INSTRUMENT.PXE."&amp;C136,B$3)</f>
        <v>OBL</v>
      </c>
      <c r="C136" s="61" t="s">
        <v>526</v>
      </c>
      <c r="D136" s="125">
        <f>_xll.MKV("EUR.CM_INSTRUMENT.PXE."&amp;C136,D$3)</f>
        <v>43203</v>
      </c>
      <c r="E136" s="58">
        <f t="shared" si="20"/>
        <v>-0.50000000000000044</v>
      </c>
      <c r="F136" s="58" t="str">
        <f t="shared" ca="1" si="21"/>
        <v>99</v>
      </c>
      <c r="G136" s="58">
        <f t="shared" si="22"/>
        <v>-2.4000000000000021</v>
      </c>
      <c r="H136" s="46" t="str">
        <f>_xll.MKV_PUBLISHRECORD(A136, $H$4)</f>
        <v>OK</v>
      </c>
      <c r="I136" s="46" t="str">
        <f ca="1">_xll.MKV_SUPPLYRECORD_RANGE(A136,$B$3:$G$3,B136:G136)</f>
        <v>OK</v>
      </c>
      <c r="J136" s="34">
        <f>_xll.MKV($J$1&amp;$C136, J$3)</f>
        <v>-0.66896599999999995</v>
      </c>
      <c r="K136" s="32">
        <f>_xll.MKV($L$2&amp;$C136, K$3)</f>
        <v>-0.67100000000000004</v>
      </c>
      <c r="L136" s="35">
        <f>_xll.MKV($L$2&amp;$C136, L$3)</f>
        <v>101.389</v>
      </c>
      <c r="M136" s="32">
        <f t="shared" si="23"/>
        <v>-1.0000000000047748E-3</v>
      </c>
      <c r="N136" s="36">
        <f>_xll.BDH(C136&amp;"@CBBT Corp","OPEN",$N$1&amp;" 4:15:00 PM",$N$1&amp;" 5:15:00 PM","BarSz=60","BarTp=T","RecurDaily=True","TZ=London","DTS=H")</f>
        <v>101.39</v>
      </c>
      <c r="O136" s="36" t="e">
        <f ca="1">[1]!BError(_xll.BDH($C136&amp;"@CBBT Corp","OPEN",$O$1&amp;" 4:15:00 PM",$O$1&amp;" 5:15:00 PM","BarSz=60","BarTp=T","RecurDaily=True","TZ=London","DTS=H"))</f>
        <v>#NAME?</v>
      </c>
      <c r="P136" s="36">
        <f>_xll.BDH($C136&amp;"@CBBT Corp","OPEN",P$1&amp;" 4:15:00 PM",P$1&amp;" 5:15:00 PM","BarSz=60","BarTp=T","RecurDaily=True","TZ=London","DTS=H")</f>
        <v>101.44</v>
      </c>
      <c r="Q136" s="44">
        <f>_xll.BDP($C136&amp;"@CBBT Corp","YAS_BOND_YLD", "SETTLE_DT="&amp;Q$1, "YAS_BOND_PX="&amp;$N136)</f>
        <v>-0.66600000000000004</v>
      </c>
      <c r="R136" s="44" t="e">
        <f ca="1">_xll.BDP($C136&amp;"@CBBT Corp","YAS_BOND_YLD", "SETTLE_DT="&amp;R$1, "YAS_BOND_PX="&amp;$O136)</f>
        <v>#NAME?</v>
      </c>
      <c r="S136" s="44">
        <f>_xll.BDP($C136&amp;"@CBBT Corp","YAS_BOND_YLD", "SETTLE_DT="&amp;S$1, "YAS_BOND_PX="&amp;$P136)</f>
        <v>-0.64700000000000002</v>
      </c>
    </row>
    <row r="137" spans="1:19">
      <c r="A137" s="46" t="str">
        <f>$A$4 &amp; ".CM_DEPTH."&amp; $H$4 &amp; "." &amp; C137</f>
        <v>EUR.CM_DEPTH.XLS_ANDREA.DE0001104644</v>
      </c>
      <c r="B137" s="51" t="str">
        <f>_xll.MKV("EUR.CM_INSTRUMENT.PXE."&amp;C137,B$3)</f>
        <v>BKO</v>
      </c>
      <c r="C137" s="61" t="s">
        <v>732</v>
      </c>
      <c r="D137" s="125">
        <f>_xll.MKV("EUR.CM_INSTRUMENT.PXE."&amp;C137,D$3)</f>
        <v>43266</v>
      </c>
      <c r="E137" s="58">
        <f>IFERROR(($K137-Q137)*100,"99")</f>
        <v>-0.20000000000000018</v>
      </c>
      <c r="F137" s="58" t="str">
        <f ca="1">IFERROR(($K137-R137)*100,"99")</f>
        <v>99</v>
      </c>
      <c r="G137" s="58">
        <f>IFERROR(($K137-S137)*100,"99")</f>
        <v>-3.400000000000003</v>
      </c>
      <c r="H137" s="46" t="str">
        <f>_xll.MKV_PUBLISHRECORD(A137, $H$4)</f>
        <v>OK</v>
      </c>
      <c r="I137" s="46" t="str">
        <f ca="1">_xll.MKV_SUPPLYRECORD_RANGE(A137,$B$3:$G$3,B137:G137)</f>
        <v>OK</v>
      </c>
      <c r="J137" s="34">
        <f>_xll.MKV($J$1&amp;$C137, J$3)</f>
        <v>-0.66951300000000002</v>
      </c>
      <c r="K137" s="32">
        <f>_xll.MKV($L$2&amp;$C137, K$3)</f>
        <v>-0.67100000000000004</v>
      </c>
      <c r="L137" s="35">
        <f>_xll.MKV($L$2&amp;$C137, L$3)</f>
        <v>101.129</v>
      </c>
      <c r="M137" s="32">
        <f>L137-N137</f>
        <v>-1.9999999999953388E-3</v>
      </c>
      <c r="N137" s="36">
        <f>_xll.BDH(C137&amp;"@CBBT Corp","OPEN",$N$1&amp;" 4:15:00 PM",$N$1&amp;" 5:15:00 PM","BarSz=60","BarTp=T","RecurDaily=True","TZ=London","DTS=H")</f>
        <v>101.131</v>
      </c>
      <c r="O137" s="36" t="e">
        <f ca="1">[1]!BError(_xll.BDH($C137&amp;"@CBBT Corp","OPEN",$O$1&amp;" 4:15:00 PM",$O$1&amp;" 5:15:00 PM","BarSz=60","BarTp=T","RecurDaily=True","TZ=London","DTS=H"))</f>
        <v>#NAME?</v>
      </c>
      <c r="P137" s="36">
        <f>_xll.BDH($C137&amp;"@CBBT Corp","OPEN",P$1&amp;" 4:15:00 PM",P$1&amp;" 5:15:00 PM","BarSz=60","BarTp=T","RecurDaily=True","TZ=London","DTS=H")</f>
        <v>101.133</v>
      </c>
      <c r="Q137" s="44">
        <f>_xll.BDP($C137&amp;"@CBBT Corp","YAS_BOND_YLD", "SETTLE_DT="&amp;Q$1, "YAS_BOND_PX="&amp;$N137)</f>
        <v>-0.66900000000000004</v>
      </c>
      <c r="R137" s="44" t="e">
        <f ca="1">_xll.BDP($C137&amp;"@CBBT Corp","YAS_BOND_YLD", "SETTLE_DT="&amp;R$1, "YAS_BOND_PX="&amp;$O137)</f>
        <v>#NAME?</v>
      </c>
      <c r="S137" s="44">
        <f>_xll.BDP($C137&amp;"@CBBT Corp","YAS_BOND_YLD", "SETTLE_DT="&amp;S$1, "YAS_BOND_PX="&amp;$P137)</f>
        <v>-0.63700000000000001</v>
      </c>
    </row>
    <row r="138" spans="1:19">
      <c r="A138" s="46" t="str">
        <f t="shared" si="29"/>
        <v>EUR.CM_DEPTH.XLS_ANDREA.DE0001135358</v>
      </c>
      <c r="B138" s="51" t="str">
        <f>_xll.MKV("EUR.CM_INSTRUMENT.PXE."&amp;C138,B$3)</f>
        <v>DBR</v>
      </c>
      <c r="C138" s="61" t="s">
        <v>532</v>
      </c>
      <c r="D138" s="125">
        <f>_xll.MKV("EUR.CM_INSTRUMENT.PXE."&amp;C138,D$3)</f>
        <v>43285</v>
      </c>
      <c r="E138" s="58">
        <f t="shared" si="20"/>
        <v>-1.8000000000000016</v>
      </c>
      <c r="F138" s="58" t="str">
        <f t="shared" ca="1" si="21"/>
        <v>99</v>
      </c>
      <c r="G138" s="58">
        <f t="shared" si="22"/>
        <v>-7.4000000000000066</v>
      </c>
      <c r="H138" s="46" t="str">
        <f>_xll.MKV_PUBLISHRECORD(A138, $H$4)</f>
        <v>OK</v>
      </c>
      <c r="I138" s="46" t="str">
        <f ca="1">_xll.MKV_SUPPLYRECORD_RANGE(A138,$B$3:$G$3,B138:G138)</f>
        <v>OK</v>
      </c>
      <c r="J138" s="34">
        <f>_xll.MKV($J$1&amp;$C138, J$3)</f>
        <v>-0.683199</v>
      </c>
      <c r="K138" s="32">
        <f>_xll.MKV($L$2&amp;$C138, K$3)</f>
        <v>-0.68300000000000005</v>
      </c>
      <c r="L138" s="35">
        <f>_xll.MKV($L$2&amp;$C138, L$3)</f>
        <v>108.584</v>
      </c>
      <c r="M138" s="32">
        <f t="shared" si="23"/>
        <v>6.0000000000002274E-3</v>
      </c>
      <c r="N138" s="36">
        <f>_xll.BDH(C138&amp;"@CBBT Corp","OPEN",$N$1&amp;" 4:15:00 PM",$N$1&amp;" 5:15:00 PM","BarSz=60","BarTp=T","RecurDaily=True","TZ=London","DTS=H")</f>
        <v>108.578</v>
      </c>
      <c r="O138" s="36" t="e">
        <f ca="1">[1]!BError(_xll.BDH($C138&amp;"@CBBT Corp","OPEN",$O$1&amp;" 4:15:00 PM",$O$1&amp;" 5:15:00 PM","BarSz=60","BarTp=T","RecurDaily=True","TZ=London","DTS=H"))</f>
        <v>#NAME?</v>
      </c>
      <c r="P138" s="36">
        <f>_xll.BDH($C138&amp;"@CBBT Corp","OPEN",P$1&amp;" 4:15:00 PM",P$1&amp;" 5:15:00 PM","BarSz=60","BarTp=T","RecurDaily=True","TZ=London","DTS=H")</f>
        <v>108.905</v>
      </c>
      <c r="Q138" s="44">
        <f>_xll.BDP($C138&amp;"@CBBT Corp","YAS_BOND_YLD", "SETTLE_DT="&amp;Q$1, "YAS_BOND_PX="&amp;$N138)</f>
        <v>-0.66500000000000004</v>
      </c>
      <c r="R138" s="44" t="e">
        <f ca="1">_xll.BDP($C138&amp;"@CBBT Corp","YAS_BOND_YLD", "SETTLE_DT="&amp;R$1, "YAS_BOND_PX="&amp;$O138)</f>
        <v>#NAME?</v>
      </c>
      <c r="S138" s="44">
        <f>_xll.BDP($C138&amp;"@CBBT Corp","YAS_BOND_YLD", "SETTLE_DT="&amp;S$1, "YAS_BOND_PX="&amp;$P138)</f>
        <v>-0.60899999999999999</v>
      </c>
    </row>
    <row r="139" spans="1:19">
      <c r="A139" s="46" t="str">
        <f t="shared" ref="A139" si="41">$A$4 &amp; ".CM_DEPTH."&amp; $H$4 &amp; "." &amp; C139</f>
        <v>EUR.CM_DEPTH.XLS_ANDREA.DE0001104651</v>
      </c>
      <c r="B139" s="51" t="str">
        <f>_xll.MKV("EUR.CM_INSTRUMENT.PXE."&amp;C139,B$3)</f>
        <v>BKO</v>
      </c>
      <c r="C139" s="61" t="s">
        <v>749</v>
      </c>
      <c r="D139" s="125">
        <f>_xll.MKV("EUR.CM_INSTRUMENT.PXE."&amp;C139,D$3)</f>
        <v>43357</v>
      </c>
      <c r="E139" s="58">
        <f t="shared" ref="E139" si="42">IFERROR(($K139-Q139)*100,"99")</f>
        <v>0.20000000000000018</v>
      </c>
      <c r="F139" s="58" t="str">
        <f t="shared" ref="F139" ca="1" si="43">IFERROR(($K139-R139)*100,"99")</f>
        <v>99</v>
      </c>
      <c r="G139" s="58">
        <f t="shared" ref="G139" si="44">IFERROR(($K139-S139)*100,"99")</f>
        <v>-3.3000000000000029</v>
      </c>
      <c r="H139" s="46" t="str">
        <f>_xll.MKV_PUBLISHRECORD(A139, $H$4)</f>
        <v>OK</v>
      </c>
      <c r="I139" s="46" t="str">
        <f ca="1">_xll.MKV_SUPPLYRECORD_RANGE(A139,$B$3:$G$3,B139:G139)</f>
        <v>OK</v>
      </c>
      <c r="J139" s="34">
        <f>_xll.MKV($J$1&amp;$C139, J$3)</f>
        <v>-0.66989500000000002</v>
      </c>
      <c r="K139" s="32">
        <f>_xll.MKV($L$2&amp;$C139, K$3)</f>
        <v>-0.66800000000000004</v>
      </c>
      <c r="L139" s="35">
        <f>_xll.MKV($L$2&amp;$C139, L$3)</f>
        <v>101.299263</v>
      </c>
      <c r="M139" s="32">
        <f t="shared" ref="M139" si="45">L139-N139</f>
        <v>-3.7370000000009895E-3</v>
      </c>
      <c r="N139" s="36">
        <f>_xll.BDH(C139&amp;"@CBBT Corp","OPEN",$N$1&amp;" 4:15:00 PM",$N$1&amp;" 5:15:00 PM","BarSz=60","BarTp=T","RecurDaily=True","TZ=London","DTS=H")</f>
        <v>101.303</v>
      </c>
      <c r="O139" s="36" t="e">
        <f ca="1">[1]!BError(_xll.BDH($C139&amp;"@CBBT Corp","OPEN",$O$1&amp;" 4:15:00 PM",$O$1&amp;" 5:15:00 PM","BarSz=60","BarTp=T","RecurDaily=True","TZ=London","DTS=H"))</f>
        <v>#NAME?</v>
      </c>
      <c r="P139" s="36">
        <f>_xll.BDH($C139&amp;"@CBBT Corp","OPEN",P$1&amp;" 4:15:00 PM",P$1&amp;" 5:15:00 PM","BarSz=60","BarTp=T","RecurDaily=True","TZ=London","DTS=H")</f>
        <v>101.29</v>
      </c>
      <c r="Q139" s="44">
        <f>_xll.BDP($C139&amp;"@CBBT Corp","YAS_BOND_YLD", "SETTLE_DT="&amp;Q$1, "YAS_BOND_PX="&amp;$N139)</f>
        <v>-0.67</v>
      </c>
      <c r="R139" s="44" t="e">
        <f ca="1">_xll.BDP($C139&amp;"@CBBT Corp","YAS_BOND_YLD", "SETTLE_DT="&amp;R$1, "YAS_BOND_PX="&amp;$O139)</f>
        <v>#NAME?</v>
      </c>
      <c r="S139" s="44">
        <f>_xll.BDP($C139&amp;"@CBBT Corp","YAS_BOND_YLD", "SETTLE_DT="&amp;S$1, "YAS_BOND_PX="&amp;$P139)</f>
        <v>-0.63500000000000001</v>
      </c>
    </row>
    <row r="140" spans="1:19">
      <c r="A140" s="46" t="str">
        <f t="shared" si="29"/>
        <v>EUR.CM_DEPTH.XLS_ANDREA.DE0001141679</v>
      </c>
      <c r="B140" s="51" t="str">
        <f>_xll.MKV("EUR.CM_INSTRUMENT.PXE."&amp;C140,B$3)</f>
        <v>OBL</v>
      </c>
      <c r="C140" s="61" t="s">
        <v>534</v>
      </c>
      <c r="D140" s="125">
        <f>_xll.MKV("EUR.CM_INSTRUMENT.PXE."&amp;C140,D$3)</f>
        <v>43385</v>
      </c>
      <c r="E140" s="58">
        <f t="shared" si="20"/>
        <v>-0.30000000000000027</v>
      </c>
      <c r="F140" s="58" t="str">
        <f t="shared" ca="1" si="21"/>
        <v>99</v>
      </c>
      <c r="G140" s="58">
        <f t="shared" si="22"/>
        <v>-3.9000000000000035</v>
      </c>
      <c r="H140" s="46" t="str">
        <f>_xll.MKV_PUBLISHRECORD(A140, $H$4)</f>
        <v>OK</v>
      </c>
      <c r="I140" s="46" t="str">
        <f ca="1">_xll.MKV_SUPPLYRECORD_RANGE(A140,$B$3:$G$3,B140:G140)</f>
        <v>OK</v>
      </c>
      <c r="J140" s="34">
        <f>_xll.MKV($J$1&amp;$C140, J$3)</f>
        <v>-0.680176</v>
      </c>
      <c r="K140" s="32">
        <f>_xll.MKV($L$2&amp;$C140, K$3)</f>
        <v>-0.67800000000000005</v>
      </c>
      <c r="L140" s="35">
        <f>_xll.MKV($L$2&amp;$C140, L$3)</f>
        <v>103.390277</v>
      </c>
      <c r="M140" s="32">
        <f t="shared" si="23"/>
        <v>1.277000000001749E-3</v>
      </c>
      <c r="N140" s="36">
        <f>_xll.BDH(C140&amp;"@CBBT Corp","OPEN",$N$1&amp;" 4:15:00 PM",$N$1&amp;" 5:15:00 PM","BarSz=60","BarTp=T","RecurDaily=True","TZ=London","DTS=H")</f>
        <v>103.389</v>
      </c>
      <c r="O140" s="36" t="e">
        <f ca="1">[1]!BError(_xll.BDH($C140&amp;"@CBBT Corp","OPEN",$O$1&amp;" 4:15:00 PM",$O$1&amp;" 5:15:00 PM","BarSz=60","BarTp=T","RecurDaily=True","TZ=London","DTS=H"))</f>
        <v>#NAME?</v>
      </c>
      <c r="P140" s="36">
        <f>_xll.BDH($C140&amp;"@CBBT Corp","OPEN",P$1&amp;" 4:15:00 PM",P$1&amp;" 5:15:00 PM","BarSz=60","BarTp=T","RecurDaily=True","TZ=London","DTS=H")</f>
        <v>103.46</v>
      </c>
      <c r="Q140" s="44">
        <f>_xll.BDP($C140&amp;"@CBBT Corp","YAS_BOND_YLD", "SETTLE_DT="&amp;Q$1, "YAS_BOND_PX="&amp;$N140)</f>
        <v>-0.67500000000000004</v>
      </c>
      <c r="R140" s="44" t="e">
        <f ca="1">_xll.BDP($C140&amp;"@CBBT Corp","YAS_BOND_YLD", "SETTLE_DT="&amp;R$1, "YAS_BOND_PX="&amp;$O140)</f>
        <v>#NAME?</v>
      </c>
      <c r="S140" s="44">
        <f>_xll.BDP($C140&amp;"@CBBT Corp","YAS_BOND_YLD", "SETTLE_DT="&amp;S$1, "YAS_BOND_PX="&amp;$P140)</f>
        <v>-0.63900000000000001</v>
      </c>
    </row>
    <row r="141" spans="1:19">
      <c r="A141" s="46" t="str">
        <f t="shared" si="29"/>
        <v>EUR.CM_DEPTH.XLS_ANDREA.DE0001135374</v>
      </c>
      <c r="B141" s="51" t="str">
        <f>_xll.MKV("EUR.CM_INSTRUMENT.PXE."&amp;C141,B$3)</f>
        <v>DBR</v>
      </c>
      <c r="C141" s="61" t="s">
        <v>538</v>
      </c>
      <c r="D141" s="125">
        <f>_xll.MKV("EUR.CM_INSTRUMENT.PXE."&amp;C141,D$3)</f>
        <v>43469</v>
      </c>
      <c r="E141" s="58">
        <f t="shared" si="20"/>
        <v>-0.70000000000000062</v>
      </c>
      <c r="F141" s="58" t="str">
        <f t="shared" ca="1" si="21"/>
        <v>99</v>
      </c>
      <c r="G141" s="58">
        <f t="shared" si="22"/>
        <v>-5.2000000000000046</v>
      </c>
      <c r="H141" s="46" t="str">
        <f>_xll.MKV_PUBLISHRECORD(A141, $H$4)</f>
        <v>OK</v>
      </c>
      <c r="I141" s="46" t="str">
        <f ca="1">_xll.MKV_SUPPLYRECORD_RANGE(A141,$B$3:$G$3,B141:G141)</f>
        <v>OK</v>
      </c>
      <c r="J141" s="34">
        <f>_xll.MKV($J$1&amp;$C141, J$3)</f>
        <v>-0.678593</v>
      </c>
      <c r="K141" s="32">
        <f>_xll.MKV($L$2&amp;$C141, K$3)</f>
        <v>-0.67600000000000005</v>
      </c>
      <c r="L141" s="35">
        <f>_xll.MKV($L$2&amp;$C141, L$3)</f>
        <v>109.972729</v>
      </c>
      <c r="M141" s="32">
        <f t="shared" si="23"/>
        <v>-1.2710000000026866E-3</v>
      </c>
      <c r="N141" s="36">
        <f>_xll.BDH(C141&amp;"@CBBT Corp","OPEN",$N$1&amp;" 4:15:00 PM",$N$1&amp;" 5:15:00 PM","BarSz=60","BarTp=T","RecurDaily=True","TZ=London","DTS=H")</f>
        <v>109.974</v>
      </c>
      <c r="O141" s="36" t="e">
        <f ca="1">[1]!BError(_xll.BDH($C141&amp;"@CBBT Corp","OPEN",$O$1&amp;" 4:15:00 PM",$O$1&amp;" 5:15:00 PM","BarSz=60","BarTp=T","RecurDaily=True","TZ=London","DTS=H"))</f>
        <v>#NAME?</v>
      </c>
      <c r="P141" s="36">
        <f>_xll.BDH($C141&amp;"@CBBT Corp","OPEN",P$1&amp;" 4:15:00 PM",P$1&amp;" 5:15:00 PM","BarSz=60","BarTp=T","RecurDaily=True","TZ=London","DTS=H")</f>
        <v>110.254</v>
      </c>
      <c r="Q141" s="44">
        <f>_xll.BDP($C141&amp;"@CBBT Corp","YAS_BOND_YLD", "SETTLE_DT="&amp;Q$1, "YAS_BOND_PX="&amp;$N141)</f>
        <v>-0.66900000000000004</v>
      </c>
      <c r="R141" s="44" t="e">
        <f ca="1">_xll.BDP($C141&amp;"@CBBT Corp","YAS_BOND_YLD", "SETTLE_DT="&amp;R$1, "YAS_BOND_PX="&amp;$O141)</f>
        <v>#NAME?</v>
      </c>
      <c r="S141" s="44">
        <f>_xll.BDP($C141&amp;"@CBBT Corp","YAS_BOND_YLD", "SETTLE_DT="&amp;S$1, "YAS_BOND_PX="&amp;$P141)</f>
        <v>-0.624</v>
      </c>
    </row>
    <row r="142" spans="1:19">
      <c r="A142" s="46" t="str">
        <f t="shared" si="29"/>
        <v>EUR.CM_DEPTH.XLS_ANDREA.DE0001141687</v>
      </c>
      <c r="B142" s="51" t="str">
        <f>_xll.MKV("EUR.CM_INSTRUMENT.PXE."&amp;C142,B$3)</f>
        <v>OBL</v>
      </c>
      <c r="C142" s="61" t="s">
        <v>539</v>
      </c>
      <c r="D142" s="125">
        <f>_xll.MKV("EUR.CM_INSTRUMENT.PXE."&amp;C142,D$3)</f>
        <v>43518</v>
      </c>
      <c r="E142" s="58">
        <f t="shared" si="20"/>
        <v>-0.20000000000000018</v>
      </c>
      <c r="F142" s="58" t="str">
        <f t="shared" ca="1" si="21"/>
        <v>99</v>
      </c>
      <c r="G142" s="58">
        <f t="shared" si="22"/>
        <v>-4.0000000000000036</v>
      </c>
      <c r="H142" s="46" t="str">
        <f>_xll.MKV_PUBLISHRECORD(A142, $H$4)</f>
        <v>OK</v>
      </c>
      <c r="I142" s="46" t="str">
        <f ca="1">_xll.MKV_SUPPLYRECORD_RANGE(A142,$B$3:$G$3,B142:G142)</f>
        <v>OK</v>
      </c>
      <c r="J142" s="34">
        <f>_xll.MKV($J$1&amp;$C142, J$3)</f>
        <v>-0.67886199999999997</v>
      </c>
      <c r="K142" s="32">
        <f>_xll.MKV($L$2&amp;$C142, K$3)</f>
        <v>-0.67700000000000005</v>
      </c>
      <c r="L142" s="35">
        <f>_xll.MKV($L$2&amp;$C142, L$3)</f>
        <v>104.00966</v>
      </c>
      <c r="M142" s="32">
        <f t="shared" si="23"/>
        <v>6.5999999999633019E-4</v>
      </c>
      <c r="N142" s="36">
        <f>_xll.BDH(C142&amp;"@CBBT Corp","OPEN",$N$1&amp;" 4:15:00 PM",$N$1&amp;" 5:15:00 PM","BarSz=60","BarTp=T","RecurDaily=True","TZ=London","DTS=H")</f>
        <v>104.009</v>
      </c>
      <c r="O142" s="36" t="e">
        <f ca="1">[1]!BError(_xll.BDH($C142&amp;"@CBBT Corp","OPEN",$O$1&amp;" 4:15:00 PM",$O$1&amp;" 5:15:00 PM","BarSz=60","BarTp=T","RecurDaily=True","TZ=London","DTS=H"))</f>
        <v>#NAME?</v>
      </c>
      <c r="P142" s="36">
        <f>_xll.BDH($C142&amp;"@CBBT Corp","OPEN",P$1&amp;" 4:15:00 PM",P$1&amp;" 5:15:00 PM","BarSz=60","BarTp=T","RecurDaily=True","TZ=London","DTS=H")</f>
        <v>104.06100000000001</v>
      </c>
      <c r="Q142" s="44">
        <f>_xll.BDP($C142&amp;"@CBBT Corp","YAS_BOND_YLD", "SETTLE_DT="&amp;Q$1, "YAS_BOND_PX="&amp;$N142)</f>
        <v>-0.67500000000000004</v>
      </c>
      <c r="R142" s="44" t="e">
        <f ca="1">_xll.BDP($C142&amp;"@CBBT Corp","YAS_BOND_YLD", "SETTLE_DT="&amp;R$1, "YAS_BOND_PX="&amp;$O142)</f>
        <v>#NAME?</v>
      </c>
      <c r="S142" s="44">
        <f>_xll.BDP($C142&amp;"@CBBT Corp","YAS_BOND_YLD", "SETTLE_DT="&amp;S$1, "YAS_BOND_PX="&amp;$P142)</f>
        <v>-0.63700000000000001</v>
      </c>
    </row>
    <row r="143" spans="1:19">
      <c r="A143" s="46" t="str">
        <f t="shared" si="29"/>
        <v>EUR.CM_DEPTH.XLS_ANDREA.DE0001141695</v>
      </c>
      <c r="B143" s="51" t="str">
        <f>_xll.MKV("EUR.CM_INSTRUMENT.PXE."&amp;C143,B$3)</f>
        <v>OBL</v>
      </c>
      <c r="C143" s="61" t="s">
        <v>540</v>
      </c>
      <c r="D143" s="125">
        <f>_xll.MKV("EUR.CM_INSTRUMENT.PXE."&amp;C143,D$3)</f>
        <v>43567</v>
      </c>
      <c r="E143" s="58">
        <f t="shared" ref="E143:E207" si="46">IFERROR(($K143-Q143)*100,"99")</f>
        <v>0.30000000000000027</v>
      </c>
      <c r="F143" s="58" t="str">
        <f t="shared" ref="F143:F207" ca="1" si="47">IFERROR(($K143-R143)*100,"99")</f>
        <v>99</v>
      </c>
      <c r="G143" s="58">
        <f t="shared" ref="G143:G207" si="48">IFERROR(($K143-S143)*100,"99")</f>
        <v>-4.3000000000000043</v>
      </c>
      <c r="H143" s="46" t="str">
        <f>_xll.MKV_PUBLISHRECORD(A143, $H$4)</f>
        <v>OK</v>
      </c>
      <c r="I143" s="46" t="str">
        <f ca="1">_xll.MKV_SUPPLYRECORD_RANGE(A143,$B$3:$G$3,B143:G143)</f>
        <v>OK</v>
      </c>
      <c r="J143" s="34">
        <f>_xll.MKV($J$1&amp;$C143, J$3)</f>
        <v>-0.67910899999999996</v>
      </c>
      <c r="K143" s="32">
        <f>_xll.MKV($L$2&amp;$C143, K$3)</f>
        <v>-0.67700000000000005</v>
      </c>
      <c r="L143" s="35">
        <f>_xll.MKV($L$2&amp;$C143, L$3)</f>
        <v>102.978644</v>
      </c>
      <c r="M143" s="32">
        <f t="shared" si="23"/>
        <v>-9.3559999999968113E-3</v>
      </c>
      <c r="N143" s="36">
        <f>_xll.BDH(C143&amp;"@CBBT Corp","OPEN",$N$1&amp;" 4:15:00 PM",$N$1&amp;" 5:15:00 PM","BarSz=60","BarTp=T","RecurDaily=True","TZ=London","DTS=H")</f>
        <v>102.988</v>
      </c>
      <c r="O143" s="36" t="e">
        <f ca="1">[1]!BError(_xll.BDH($C143&amp;"@CBBT Corp","OPEN",$O$1&amp;" 4:15:00 PM",$O$1&amp;" 5:15:00 PM","BarSz=60","BarTp=T","RecurDaily=True","TZ=London","DTS=H"))</f>
        <v>#NAME?</v>
      </c>
      <c r="P143" s="36">
        <f>_xll.BDH($C143&amp;"@CBBT Corp","OPEN",P$1&amp;" 4:15:00 PM",P$1&amp;" 5:15:00 PM","BarSz=60","BarTp=T","RecurDaily=True","TZ=London","DTS=H")</f>
        <v>102.96899999999999</v>
      </c>
      <c r="Q143" s="44">
        <f>_xll.BDP($C143&amp;"@CBBT Corp","YAS_BOND_YLD", "SETTLE_DT="&amp;Q$1, "YAS_BOND_PX="&amp;$N143)</f>
        <v>-0.68</v>
      </c>
      <c r="R143" s="44" t="e">
        <f ca="1">_xll.BDP($C143&amp;"@CBBT Corp","YAS_BOND_YLD", "SETTLE_DT="&amp;R$1, "YAS_BOND_PX="&amp;$O143)</f>
        <v>#NAME?</v>
      </c>
      <c r="S143" s="44">
        <f>_xll.BDP($C143&amp;"@CBBT Corp","YAS_BOND_YLD", "SETTLE_DT="&amp;S$1, "YAS_BOND_PX="&amp;$P143)</f>
        <v>-0.63400000000000001</v>
      </c>
    </row>
    <row r="144" spans="1:19">
      <c r="A144" s="46" t="str">
        <f t="shared" si="29"/>
        <v>EUR.CM_DEPTH.XLS_ANDREA.DE0001135382</v>
      </c>
      <c r="B144" s="51" t="str">
        <f>_xll.MKV("EUR.CM_INSTRUMENT.PXE."&amp;C144,B$3)</f>
        <v>DBR</v>
      </c>
      <c r="C144" s="61" t="s">
        <v>545</v>
      </c>
      <c r="D144" s="125">
        <f>_xll.MKV("EUR.CM_INSTRUMENT.PXE."&amp;C144,D$3)</f>
        <v>43650</v>
      </c>
      <c r="E144" s="58">
        <f t="shared" si="46"/>
        <v>-0.60000000000000053</v>
      </c>
      <c r="F144" s="58" t="str">
        <f t="shared" ca="1" si="47"/>
        <v>99</v>
      </c>
      <c r="G144" s="58">
        <f t="shared" si="48"/>
        <v>-5.100000000000005</v>
      </c>
      <c r="H144" s="46" t="str">
        <f>_xll.MKV_PUBLISHRECORD(A144, $H$4)</f>
        <v>OK</v>
      </c>
      <c r="I144" s="46" t="str">
        <f ca="1">_xll.MKV_SUPPLYRECORD_RANGE(A144,$B$3:$G$3,B144:G144)</f>
        <v>OK</v>
      </c>
      <c r="J144" s="34">
        <f>_xll.MKV($J$1&amp;$C144, J$3)</f>
        <v>-0.66695400000000005</v>
      </c>
      <c r="K144" s="32">
        <f>_xll.MKV($L$2&amp;$C144, K$3)</f>
        <v>-0.66500000000000004</v>
      </c>
      <c r="L144" s="35">
        <f>_xll.MKV($L$2&amp;$C144, L$3)</f>
        <v>111.49255100000001</v>
      </c>
      <c r="M144" s="32">
        <f t="shared" ref="M144:M208" si="49">L144-N144</f>
        <v>-4.489999999890415E-4</v>
      </c>
      <c r="N144" s="36">
        <f>_xll.BDH(C144&amp;"@CBBT Corp","OPEN",$N$1&amp;" 4:15:00 PM",$N$1&amp;" 5:15:00 PM","BarSz=60","BarTp=T","RecurDaily=True","TZ=London","DTS=H")</f>
        <v>111.49299999999999</v>
      </c>
      <c r="O144" s="36" t="e">
        <f ca="1">[1]!BError(_xll.BDH($C144&amp;"@CBBT Corp","OPEN",$O$1&amp;" 4:15:00 PM",$O$1&amp;" 5:15:00 PM","BarSz=60","BarTp=T","RecurDaily=True","TZ=London","DTS=H"))</f>
        <v>#NAME?</v>
      </c>
      <c r="P144" s="36">
        <f>_xll.BDH($C144&amp;"@CBBT Corp","OPEN",P$1&amp;" 4:15:00 PM",P$1&amp;" 5:15:00 PM","BarSz=60","BarTp=T","RecurDaily=True","TZ=London","DTS=H")</f>
        <v>111.726</v>
      </c>
      <c r="Q144" s="44">
        <f>_xll.BDP($C144&amp;"@CBBT Corp","YAS_BOND_YLD", "SETTLE_DT="&amp;Q$1, "YAS_BOND_PX="&amp;$N144)</f>
        <v>-0.65900000000000003</v>
      </c>
      <c r="R144" s="44" t="e">
        <f ca="1">_xll.BDP($C144&amp;"@CBBT Corp","YAS_BOND_YLD", "SETTLE_DT="&amp;R$1, "YAS_BOND_PX="&amp;$O144)</f>
        <v>#NAME?</v>
      </c>
      <c r="S144" s="44">
        <f>_xll.BDP($C144&amp;"@CBBT Corp","YAS_BOND_YLD", "SETTLE_DT="&amp;S$1, "YAS_BOND_PX="&amp;$P144)</f>
        <v>-0.61399999999999999</v>
      </c>
    </row>
    <row r="145" spans="1:19">
      <c r="A145" s="46" t="str">
        <f t="shared" si="29"/>
        <v>EUR.CM_DEPTH.XLS_ANDREA.DE0001141703</v>
      </c>
      <c r="B145" s="51" t="str">
        <f>_xll.MKV("EUR.CM_INSTRUMENT.PXE."&amp;C145,B$3)</f>
        <v>OBL</v>
      </c>
      <c r="C145" s="61" t="s">
        <v>547</v>
      </c>
      <c r="D145" s="125">
        <f>_xll.MKV("EUR.CM_INSTRUMENT.PXE."&amp;C145,D$3)</f>
        <v>43749</v>
      </c>
      <c r="E145" s="58">
        <f t="shared" si="46"/>
        <v>0.20000000000000018</v>
      </c>
      <c r="F145" s="58" t="str">
        <f t="shared" ca="1" si="47"/>
        <v>99</v>
      </c>
      <c r="G145" s="58">
        <f t="shared" si="48"/>
        <v>-3.0000000000000027</v>
      </c>
      <c r="H145" s="46" t="str">
        <f>_xll.MKV_PUBLISHRECORD(A145, $H$4)</f>
        <v>OK</v>
      </c>
      <c r="I145" s="46" t="str">
        <f ca="1">_xll.MKV_SUPPLYRECORD_RANGE(A145,$B$3:$G$3,B145:G145)</f>
        <v>OK</v>
      </c>
      <c r="J145" s="34">
        <f>_xll.MKV($J$1&amp;$C145, J$3)</f>
        <v>-0.66312599999999999</v>
      </c>
      <c r="K145" s="32">
        <f>_xll.MKV($L$2&amp;$C145, K$3)</f>
        <v>-0.66100000000000003</v>
      </c>
      <c r="L145" s="35">
        <f>_xll.MKV($L$2&amp;$C145, L$3)</f>
        <v>102.77099800000001</v>
      </c>
      <c r="M145" s="32">
        <f t="shared" si="49"/>
        <v>-5.001999999990403E-3</v>
      </c>
      <c r="N145" s="36">
        <f>_xll.BDH(C145&amp;"@CBBT Corp","OPEN",$N$1&amp;" 4:15:00 PM",$N$1&amp;" 5:15:00 PM","BarSz=60","BarTp=T","RecurDaily=True","TZ=London","DTS=H")</f>
        <v>102.776</v>
      </c>
      <c r="O145" s="36" t="e">
        <f ca="1">[1]!BError(_xll.BDH($C145&amp;"@CBBT Corp","OPEN",$O$1&amp;" 4:15:00 PM",$O$1&amp;" 5:15:00 PM","BarSz=60","BarTp=T","RecurDaily=True","TZ=London","DTS=H"))</f>
        <v>#NAME?</v>
      </c>
      <c r="P145" s="36">
        <f>_xll.BDH($C145&amp;"@CBBT Corp","OPEN",P$1&amp;" 4:15:00 PM",P$1&amp;" 5:15:00 PM","BarSz=60","BarTp=T","RecurDaily=True","TZ=London","DTS=H")</f>
        <v>102.75700000000001</v>
      </c>
      <c r="Q145" s="44">
        <f>_xll.BDP($C145&amp;"@CBBT Corp","YAS_BOND_YLD", "SETTLE_DT="&amp;Q$1, "YAS_BOND_PX="&amp;$N145)</f>
        <v>-0.66300000000000003</v>
      </c>
      <c r="R145" s="44" t="e">
        <f ca="1">_xll.BDP($C145&amp;"@CBBT Corp","YAS_BOND_YLD", "SETTLE_DT="&amp;R$1, "YAS_BOND_PX="&amp;$O145)</f>
        <v>#NAME?</v>
      </c>
      <c r="S145" s="44">
        <f>_xll.BDP($C145&amp;"@CBBT Corp","YAS_BOND_YLD", "SETTLE_DT="&amp;S$1, "YAS_BOND_PX="&amp;$P145)</f>
        <v>-0.63100000000000001</v>
      </c>
    </row>
    <row r="146" spans="1:19">
      <c r="A146" s="46" t="str">
        <f t="shared" ref="A146:A210" si="50">$A$4 &amp; ".CM_DEPTH."&amp; $H$4 &amp; "." &amp; C146</f>
        <v>EUR.CM_DEPTH.XLS_ANDREA.DE0001135390</v>
      </c>
      <c r="B146" s="51" t="str">
        <f>_xll.MKV("EUR.CM_INSTRUMENT.PXE."&amp;C146,B$3)</f>
        <v>DBR</v>
      </c>
      <c r="C146" s="61" t="s">
        <v>551</v>
      </c>
      <c r="D146" s="125">
        <f>_xll.MKV("EUR.CM_INSTRUMENT.PXE."&amp;C146,D$3)</f>
        <v>43834</v>
      </c>
      <c r="E146" s="58">
        <f t="shared" si="46"/>
        <v>-0.30000000000000027</v>
      </c>
      <c r="F146" s="58" t="str">
        <f t="shared" ca="1" si="47"/>
        <v>99</v>
      </c>
      <c r="G146" s="58">
        <f t="shared" si="48"/>
        <v>-4.7000000000000046</v>
      </c>
      <c r="H146" s="46" t="str">
        <f>_xll.MKV_PUBLISHRECORD(A146, $H$4)</f>
        <v>OK</v>
      </c>
      <c r="I146" s="46" t="str">
        <f ca="1">_xll.MKV_SUPPLYRECORD_RANGE(A146,$B$3:$G$3,B146:G146)</f>
        <v>OK</v>
      </c>
      <c r="J146" s="34">
        <f>_xll.MKV($J$1&amp;$C146, J$3)</f>
        <v>-0.66355799999999998</v>
      </c>
      <c r="K146" s="32">
        <f>_xll.MKV($L$2&amp;$C146, K$3)</f>
        <v>-0.66100000000000003</v>
      </c>
      <c r="L146" s="35">
        <f>_xll.MKV($L$2&amp;$C146, L$3)</f>
        <v>112.809231</v>
      </c>
      <c r="M146" s="32">
        <f t="shared" si="49"/>
        <v>-7.6900000000534874E-4</v>
      </c>
      <c r="N146" s="36">
        <f>_xll.BDH(C146&amp;"@CBBT Corp","OPEN",$N$1&amp;" 4:15:00 PM",$N$1&amp;" 5:15:00 PM","BarSz=60","BarTp=T","RecurDaily=True","TZ=London","DTS=H")</f>
        <v>112.81</v>
      </c>
      <c r="O146" s="36" t="e">
        <f ca="1">[1]!BError(_xll.BDH($C146&amp;"@CBBT Corp","OPEN",$O$1&amp;" 4:15:00 PM",$O$1&amp;" 5:15:00 PM","BarSz=60","BarTp=T","RecurDaily=True","TZ=London","DTS=H"))</f>
        <v>#NAME?</v>
      </c>
      <c r="P146" s="36">
        <f>_xll.BDH($C146&amp;"@CBBT Corp","OPEN",P$1&amp;" 4:15:00 PM",P$1&amp;" 5:15:00 PM","BarSz=60","BarTp=T","RecurDaily=True","TZ=London","DTS=H")</f>
        <v>113.001</v>
      </c>
      <c r="Q146" s="44">
        <f>_xll.BDP($C146&amp;"@CBBT Corp","YAS_BOND_YLD", "SETTLE_DT="&amp;Q$1, "YAS_BOND_PX="&amp;$N146)</f>
        <v>-0.65800000000000003</v>
      </c>
      <c r="R146" s="44" t="e">
        <f ca="1">_xll.BDP($C146&amp;"@CBBT Corp","YAS_BOND_YLD", "SETTLE_DT="&amp;R$1, "YAS_BOND_PX="&amp;$O146)</f>
        <v>#NAME?</v>
      </c>
      <c r="S146" s="44">
        <f>_xll.BDP($C146&amp;"@CBBT Corp","YAS_BOND_YLD", "SETTLE_DT="&amp;S$1, "YAS_BOND_PX="&amp;$P146)</f>
        <v>-0.61399999999999999</v>
      </c>
    </row>
    <row r="147" spans="1:19">
      <c r="A147" s="46" t="str">
        <f t="shared" si="50"/>
        <v>EUR.CM_DEPTH.XLS_ANDREA.DE0001141711</v>
      </c>
      <c r="B147" s="51" t="str">
        <f>_xll.MKV("EUR.CM_INSTRUMENT.PXE."&amp;C147,B$3)</f>
        <v>OBL</v>
      </c>
      <c r="C147" s="61" t="s">
        <v>553</v>
      </c>
      <c r="D147" s="125">
        <f>_xll.MKV("EUR.CM_INSTRUMENT.PXE."&amp;C147,D$3)</f>
        <v>43938</v>
      </c>
      <c r="E147" s="58">
        <f t="shared" si="46"/>
        <v>0</v>
      </c>
      <c r="F147" s="58" t="str">
        <f t="shared" ca="1" si="47"/>
        <v>99</v>
      </c>
      <c r="G147" s="58">
        <f t="shared" si="48"/>
        <v>-1.6000000000000014</v>
      </c>
      <c r="H147" s="46" t="str">
        <f>_xll.MKV_PUBLISHRECORD(A147, $H$4)</f>
        <v>OK</v>
      </c>
      <c r="I147" s="46" t="str">
        <f ca="1">_xll.MKV_SUPPLYRECORD_RANGE(A147,$B$3:$G$3,B147:G147)</f>
        <v>OK</v>
      </c>
      <c r="J147" s="34">
        <f>_xll.MKV($J$1&amp;$C147, J$3)</f>
        <v>-0.63349200000000006</v>
      </c>
      <c r="K147" s="32">
        <f>_xll.MKV($L$2&amp;$C147, K$3)</f>
        <v>-0.63100000000000001</v>
      </c>
      <c r="L147" s="35">
        <f>_xll.MKV($L$2&amp;$C147, L$3)</f>
        <v>102.25542799999999</v>
      </c>
      <c r="M147" s="32">
        <f t="shared" si="49"/>
        <v>5.4279999999948814E-3</v>
      </c>
      <c r="N147" s="36">
        <f>_xll.BDH(C147&amp;"@CBBT Corp","OPEN",$N$1&amp;" 4:15:00 PM",$N$1&amp;" 5:15:00 PM","BarSz=60","BarTp=T","RecurDaily=True","TZ=London","DTS=H")</f>
        <v>102.25</v>
      </c>
      <c r="O147" s="36" t="e">
        <f ca="1">[1]!BError(_xll.BDH($C147&amp;"@CBBT Corp","OPEN",$O$1&amp;" 4:15:00 PM",$O$1&amp;" 5:15:00 PM","BarSz=60","BarTp=T","RecurDaily=True","TZ=London","DTS=H"))</f>
        <v>#NAME?</v>
      </c>
      <c r="P147" s="36">
        <f>_xll.BDH($C147&amp;"@CBBT Corp","OPEN",P$1&amp;" 4:15:00 PM",P$1&amp;" 5:15:00 PM","BarSz=60","BarTp=T","RecurDaily=True","TZ=London","DTS=H")</f>
        <v>102.249</v>
      </c>
      <c r="Q147" s="44">
        <f>_xll.BDP($C147&amp;"@CBBT Corp","YAS_BOND_YLD", "SETTLE_DT="&amp;Q$1, "YAS_BOND_PX="&amp;$N147)</f>
        <v>-0.63100000000000001</v>
      </c>
      <c r="R147" s="44" t="e">
        <f ca="1">_xll.BDP($C147&amp;"@CBBT Corp","YAS_BOND_YLD", "SETTLE_DT="&amp;R$1, "YAS_BOND_PX="&amp;$O147)</f>
        <v>#NAME?</v>
      </c>
      <c r="S147" s="44">
        <f>_xll.BDP($C147&amp;"@CBBT Corp","YAS_BOND_YLD", "SETTLE_DT="&amp;S$1, "YAS_BOND_PX="&amp;$P147)</f>
        <v>-0.61499999999999999</v>
      </c>
    </row>
    <row r="148" spans="1:19">
      <c r="A148" s="46" t="str">
        <f t="shared" si="50"/>
        <v>EUR.CM_DEPTH.XLS_ANDREA.DE0001135408</v>
      </c>
      <c r="B148" s="51" t="str">
        <f>_xll.MKV("EUR.CM_INSTRUMENT.PXE."&amp;C148,B$3)</f>
        <v>DBR</v>
      </c>
      <c r="C148" s="61" t="s">
        <v>558</v>
      </c>
      <c r="D148" s="125">
        <f>_xll.MKV("EUR.CM_INSTRUMENT.PXE."&amp;C148,D$3)</f>
        <v>44016</v>
      </c>
      <c r="E148" s="58">
        <f t="shared" si="46"/>
        <v>-0.30000000000000027</v>
      </c>
      <c r="F148" s="58" t="str">
        <f t="shared" ca="1" si="47"/>
        <v>99</v>
      </c>
      <c r="G148" s="58">
        <f t="shared" si="48"/>
        <v>-2.5000000000000022</v>
      </c>
      <c r="H148" s="46" t="str">
        <f>_xll.MKV_PUBLISHRECORD(A148, $H$4)</f>
        <v>OK</v>
      </c>
      <c r="I148" s="46" t="str">
        <f ca="1">_xll.MKV_SUPPLYRECORD_RANGE(A148,$B$3:$G$3,B148:G148)</f>
        <v>OK</v>
      </c>
      <c r="J148" s="34">
        <f>_xll.MKV($J$1&amp;$C148, J$3)</f>
        <v>-0.61929999999999996</v>
      </c>
      <c r="K148" s="32">
        <f>_xll.MKV($L$2&amp;$C148, K$3)</f>
        <v>-0.61699999999999999</v>
      </c>
      <c r="L148" s="35">
        <f>_xll.MKV($L$2&amp;$C148, L$3)</f>
        <v>113.677003</v>
      </c>
      <c r="M148" s="32">
        <f t="shared" si="49"/>
        <v>2.0030000000019754E-3</v>
      </c>
      <c r="N148" s="36">
        <f>_xll.BDH(C148&amp;"@CBBT Corp","OPEN",$N$1&amp;" 4:15:00 PM",$N$1&amp;" 5:15:00 PM","BarSz=60","BarTp=T","RecurDaily=True","TZ=London","DTS=H")</f>
        <v>113.675</v>
      </c>
      <c r="O148" s="36" t="e">
        <f ca="1">[1]!BError(_xll.BDH($C148&amp;"@CBBT Corp","OPEN",$O$1&amp;" 4:15:00 PM",$O$1&amp;" 5:15:00 PM","BarSz=60","BarTp=T","RecurDaily=True","TZ=London","DTS=H"))</f>
        <v>#NAME?</v>
      </c>
      <c r="P148" s="36">
        <f>_xll.BDH($C148&amp;"@CBBT Corp","OPEN",P$1&amp;" 4:15:00 PM",P$1&amp;" 5:15:00 PM","BarSz=60","BarTp=T","RecurDaily=True","TZ=London","DTS=H")</f>
        <v>113.90600000000001</v>
      </c>
      <c r="Q148" s="44">
        <f>_xll.BDP($C148&amp;"@CBBT Corp","YAS_BOND_YLD", "SETTLE_DT="&amp;Q$1, "YAS_BOND_PX="&amp;$N148)</f>
        <v>-0.61399999999999999</v>
      </c>
      <c r="R148" s="44" t="e">
        <f ca="1">_xll.BDP($C148&amp;"@CBBT Corp","YAS_BOND_YLD", "SETTLE_DT="&amp;R$1, "YAS_BOND_PX="&amp;$O148)</f>
        <v>#NAME?</v>
      </c>
      <c r="S148" s="44">
        <f>_xll.BDP($C148&amp;"@CBBT Corp","YAS_BOND_YLD", "SETTLE_DT="&amp;S$1, "YAS_BOND_PX="&amp;$P148)</f>
        <v>-0.59199999999999997</v>
      </c>
    </row>
    <row r="149" spans="1:19">
      <c r="A149" s="46" t="str">
        <f t="shared" si="50"/>
        <v>EUR.CM_DEPTH.XLS_ANDREA.DE0001135416</v>
      </c>
      <c r="B149" s="51" t="str">
        <f>_xll.MKV("EUR.CM_INSTRUMENT.PXE."&amp;C149,B$3)</f>
        <v>DBR</v>
      </c>
      <c r="C149" s="61" t="s">
        <v>559</v>
      </c>
      <c r="D149" s="125">
        <f>_xll.MKV("EUR.CM_INSTRUMENT.PXE."&amp;C149,D$3)</f>
        <v>44078</v>
      </c>
      <c r="E149" s="58">
        <f t="shared" si="46"/>
        <v>-0.20000000000000018</v>
      </c>
      <c r="F149" s="58" t="str">
        <f t="shared" ca="1" si="47"/>
        <v>99</v>
      </c>
      <c r="G149" s="58">
        <f t="shared" si="48"/>
        <v>-2.8000000000000025</v>
      </c>
      <c r="H149" s="46" t="str">
        <f>_xll.MKV_PUBLISHRECORD(A149, $H$4)</f>
        <v>OK</v>
      </c>
      <c r="I149" s="46" t="str">
        <f ca="1">_xll.MKV_SUPPLYRECORD_RANGE(A149,$B$3:$G$3,B149:G149)</f>
        <v>OK</v>
      </c>
      <c r="J149" s="34">
        <f>_xll.MKV($J$1&amp;$C149, J$3)</f>
        <v>-0.63090400000000002</v>
      </c>
      <c r="K149" s="32">
        <f>_xll.MKV($L$2&amp;$C149, K$3)</f>
        <v>-0.629</v>
      </c>
      <c r="L149" s="35">
        <f>_xll.MKV($L$2&amp;$C149, L$3)</f>
        <v>111.391766</v>
      </c>
      <c r="M149" s="32">
        <f t="shared" si="49"/>
        <v>1.766000000003487E-3</v>
      </c>
      <c r="N149" s="36">
        <f>_xll.BDH(C149&amp;"@CBBT Corp","OPEN",$N$1&amp;" 4:15:00 PM",$N$1&amp;" 5:15:00 PM","BarSz=60","BarTp=T","RecurDaily=True","TZ=London","DTS=H")</f>
        <v>111.39</v>
      </c>
      <c r="O149" s="36" t="e">
        <f ca="1">[1]!BError(_xll.BDH($C149&amp;"@CBBT Corp","OPEN",$O$1&amp;" 4:15:00 PM",$O$1&amp;" 5:15:00 PM","BarSz=60","BarTp=T","RecurDaily=True","TZ=London","DTS=H"))</f>
        <v>#NAME?</v>
      </c>
      <c r="P149" s="36">
        <f>_xll.BDH($C149&amp;"@CBBT Corp","OPEN",P$1&amp;" 4:15:00 PM",P$1&amp;" 5:15:00 PM","BarSz=60","BarTp=T","RecurDaily=True","TZ=London","DTS=H")</f>
        <v>111.539</v>
      </c>
      <c r="Q149" s="44">
        <f>_xll.BDP($C149&amp;"@CBBT Corp","YAS_BOND_YLD", "SETTLE_DT="&amp;Q$1, "YAS_BOND_PX="&amp;$N149)</f>
        <v>-0.627</v>
      </c>
      <c r="R149" s="44" t="e">
        <f ca="1">_xll.BDP($C149&amp;"@CBBT Corp","YAS_BOND_YLD", "SETTLE_DT="&amp;R$1, "YAS_BOND_PX="&amp;$O149)</f>
        <v>#NAME?</v>
      </c>
      <c r="S149" s="44">
        <f>_xll.BDP($C149&amp;"@CBBT Corp","YAS_BOND_YLD", "SETTLE_DT="&amp;S$1, "YAS_BOND_PX="&amp;$P149)</f>
        <v>-0.60099999999999998</v>
      </c>
    </row>
    <row r="150" spans="1:19">
      <c r="A150" s="46" t="str">
        <f t="shared" si="50"/>
        <v>EUR.CM_DEPTH.XLS_ANDREA.DE0001141729</v>
      </c>
      <c r="B150" s="51" t="str">
        <f>_xll.MKV("EUR.CM_INSTRUMENT.PXE."&amp;C150,B$3)</f>
        <v>OBL</v>
      </c>
      <c r="C150" s="61" t="s">
        <v>643</v>
      </c>
      <c r="D150" s="125">
        <f>_xll.MKV("EUR.CM_INSTRUMENT.PXE."&amp;C150,D$3)</f>
        <v>44120</v>
      </c>
      <c r="E150" s="58">
        <f t="shared" si="46"/>
        <v>0.10000000000000009</v>
      </c>
      <c r="F150" s="58" t="str">
        <f t="shared" ca="1" si="47"/>
        <v>99</v>
      </c>
      <c r="G150" s="58">
        <f t="shared" si="48"/>
        <v>-1.6000000000000014</v>
      </c>
      <c r="H150" s="46" t="str">
        <f>_xll.MKV_PUBLISHRECORD(A150, $H$4)</f>
        <v>OK</v>
      </c>
      <c r="I150" s="46" t="str">
        <f ca="1">_xll.MKV_SUPPLYRECORD_RANGE(A150,$B$3:$G$3,B150:G150)</f>
        <v>OK</v>
      </c>
      <c r="J150" s="34">
        <f>_xll.MKV($J$1&amp;$C150, J$3)</f>
        <v>-0.60232699999999995</v>
      </c>
      <c r="K150" s="32">
        <f>_xll.MKV($L$2&amp;$C150, K$3)</f>
        <v>-0.6</v>
      </c>
      <c r="L150" s="35">
        <f>_xll.MKV($L$2&amp;$C150, L$3)</f>
        <v>103.468461</v>
      </c>
      <c r="M150" s="32">
        <f t="shared" si="49"/>
        <v>4.6100000000137697E-4</v>
      </c>
      <c r="N150" s="36">
        <f>_xll.BDH(C150&amp;"@CBBT Corp","OPEN",$N$1&amp;" 4:15:00 PM",$N$1&amp;" 5:15:00 PM","BarSz=60","BarTp=T","RecurDaily=True","TZ=London","DTS=H")</f>
        <v>103.468</v>
      </c>
      <c r="O150" s="36" t="e">
        <f ca="1">[1]!BError(_xll.BDH($C150&amp;"@CBBT Corp","OPEN",$O$1&amp;" 4:15:00 PM",$O$1&amp;" 5:15:00 PM","BarSz=60","BarTp=T","RecurDaily=True","TZ=London","DTS=H"))</f>
        <v>#NAME?</v>
      </c>
      <c r="P150" s="36">
        <f>_xll.BDH($C150&amp;"@CBBT Corp","OPEN",P$1&amp;" 4:15:00 PM",P$1&amp;" 5:15:00 PM","BarSz=60","BarTp=T","RecurDaily=True","TZ=London","DTS=H")</f>
        <v>103.47</v>
      </c>
      <c r="Q150" s="44">
        <f>_xll.BDP($C150&amp;"@CBBT Corp","YAS_BOND_YLD", "SETTLE_DT="&amp;Q$1, "YAS_BOND_PX="&amp;$N150)</f>
        <v>-0.60099999999999998</v>
      </c>
      <c r="R150" s="44" t="e">
        <f ca="1">_xll.BDP($C150&amp;"@CBBT Corp","YAS_BOND_YLD", "SETTLE_DT="&amp;R$1, "YAS_BOND_PX="&amp;$O150)</f>
        <v>#NAME?</v>
      </c>
      <c r="S150" s="44">
        <f>_xll.BDP($C150&amp;"@CBBT Corp","YAS_BOND_YLD", "SETTLE_DT="&amp;S$1, "YAS_BOND_PX="&amp;$P150)</f>
        <v>-0.58399999999999996</v>
      </c>
    </row>
    <row r="151" spans="1:19">
      <c r="A151" s="46" t="str">
        <f t="shared" si="50"/>
        <v>EUR.CM_DEPTH.XLS_ANDREA.DE0001135424</v>
      </c>
      <c r="B151" s="51" t="str">
        <f>_xll.MKV("EUR.CM_INSTRUMENT.PXE."&amp;C151,B$3)</f>
        <v>DBR</v>
      </c>
      <c r="C151" s="61" t="s">
        <v>562</v>
      </c>
      <c r="D151" s="125">
        <f>_xll.MKV("EUR.CM_INSTRUMENT.PXE."&amp;C151,D$3)</f>
        <v>44200</v>
      </c>
      <c r="E151" s="58">
        <f t="shared" si="46"/>
        <v>-0.30000000000000027</v>
      </c>
      <c r="F151" s="58" t="str">
        <f t="shared" ca="1" si="47"/>
        <v>99</v>
      </c>
      <c r="G151" s="58">
        <f t="shared" si="48"/>
        <v>-1.0000000000000009</v>
      </c>
      <c r="H151" s="46" t="str">
        <f>_xll.MKV_PUBLISHRECORD(A151, $H$4)</f>
        <v>OK</v>
      </c>
      <c r="I151" s="46" t="str">
        <f ca="1">_xll.MKV_SUPPLYRECORD_RANGE(A151,$B$3:$G$3,B151:G151)</f>
        <v>OK</v>
      </c>
      <c r="J151" s="34">
        <f>_xll.MKV($J$1&amp;$C151, J$3)</f>
        <v>-0.58492999999999995</v>
      </c>
      <c r="K151" s="32">
        <f>_xll.MKV($L$2&amp;$C151, K$3)</f>
        <v>-0.58299999999999996</v>
      </c>
      <c r="L151" s="35">
        <f>_xll.MKV($L$2&amp;$C151, L$3)</f>
        <v>113.242366</v>
      </c>
      <c r="M151" s="32">
        <f t="shared" si="49"/>
        <v>3.3659999999997581E-3</v>
      </c>
      <c r="N151" s="36">
        <f>_xll.BDH(C151&amp;"@CBBT Corp","OPEN",$N$1&amp;" 4:15:00 PM",$N$1&amp;" 5:15:00 PM","BarSz=60","BarTp=T","RecurDaily=True","TZ=London","DTS=H")</f>
        <v>113.239</v>
      </c>
      <c r="O151" s="36" t="e">
        <f ca="1">[1]!BError(_xll.BDH($C151&amp;"@CBBT Corp","OPEN",$O$1&amp;" 4:15:00 PM",$O$1&amp;" 5:15:00 PM","BarSz=60","BarTp=T","RecurDaily=True","TZ=London","DTS=H"))</f>
        <v>#NAME?</v>
      </c>
      <c r="P151" s="36">
        <f>_xll.BDH($C151&amp;"@CBBT Corp","OPEN",P$1&amp;" 4:15:00 PM",P$1&amp;" 5:15:00 PM","BarSz=60","BarTp=T","RecurDaily=True","TZ=London","DTS=H")</f>
        <v>113.479</v>
      </c>
      <c r="Q151" s="44">
        <f>_xll.BDP($C151&amp;"@CBBT Corp","YAS_BOND_YLD", "SETTLE_DT="&amp;Q$1, "YAS_BOND_PX="&amp;$N151)</f>
        <v>-0.57999999999999996</v>
      </c>
      <c r="R151" s="44" t="e">
        <f ca="1">_xll.BDP($C151&amp;"@CBBT Corp","YAS_BOND_YLD", "SETTLE_DT="&amp;R$1, "YAS_BOND_PX="&amp;$O151)</f>
        <v>#NAME?</v>
      </c>
      <c r="S151" s="44">
        <f>_xll.BDP($C151&amp;"@CBBT Corp","YAS_BOND_YLD", "SETTLE_DT="&amp;S$1, "YAS_BOND_PX="&amp;$P151)</f>
        <v>-0.57299999999999995</v>
      </c>
    </row>
    <row r="152" spans="1:19">
      <c r="A152" s="46" t="str">
        <f t="shared" si="50"/>
        <v>EUR.CM_DEPTH.XLS_ANDREA.DE0001141737</v>
      </c>
      <c r="B152" s="51" t="str">
        <f>_xll.MKV("EUR.CM_INSTRUMENT.PXE."&amp;C152,B$3)</f>
        <v>OBL</v>
      </c>
      <c r="C152" s="61" t="s">
        <v>680</v>
      </c>
      <c r="D152" s="125">
        <f>_xll.MKV("EUR.CM_INSTRUMENT.PXE."&amp;C152,D$3)</f>
        <v>44295</v>
      </c>
      <c r="E152" s="58">
        <f t="shared" si="46"/>
        <v>0.10000000000000009</v>
      </c>
      <c r="F152" s="58" t="str">
        <f t="shared" ca="1" si="47"/>
        <v>99</v>
      </c>
      <c r="G152" s="58">
        <f t="shared" si="48"/>
        <v>-1.100000000000001</v>
      </c>
      <c r="H152" s="46" t="str">
        <f>_xll.MKV_PUBLISHRECORD(A152, $H$4)</f>
        <v>OK</v>
      </c>
      <c r="I152" s="46" t="str">
        <f ca="1">_xll.MKV_SUPPLYRECORD_RANGE(A152,$B$3:$G$3,B152:G152)</f>
        <v>OK</v>
      </c>
      <c r="J152" s="34">
        <f>_xll.MKV($J$1&amp;$C152, J$3)</f>
        <v>-0.543771</v>
      </c>
      <c r="K152" s="32">
        <f>_xll.MKV($L$2&amp;$C152, K$3)</f>
        <v>-0.54200000000000004</v>
      </c>
      <c r="L152" s="35">
        <f>_xll.MKV($L$2&amp;$C152, L$3)</f>
        <v>102.477108</v>
      </c>
      <c r="M152" s="32">
        <f t="shared" si="49"/>
        <v>1.1080000000021073E-3</v>
      </c>
      <c r="N152" s="36">
        <f>_xll.BDH(C152&amp;"@CBBT Corp","OPEN",$N$1&amp;" 4:15:00 PM",$N$1&amp;" 5:15:00 PM","BarSz=60","BarTp=T","RecurDaily=True","TZ=London","DTS=H")</f>
        <v>102.476</v>
      </c>
      <c r="O152" s="36" t="e">
        <f ca="1">[1]!BError(_xll.BDH($C152&amp;"@CBBT Corp","OPEN",$O$1&amp;" 4:15:00 PM",$O$1&amp;" 5:15:00 PM","BarSz=60","BarTp=T","RecurDaily=True","TZ=London","DTS=H"))</f>
        <v>#NAME?</v>
      </c>
      <c r="P152" s="36">
        <f>_xll.BDH($C152&amp;"@CBBT Corp","OPEN",P$1&amp;" 4:15:00 PM",P$1&amp;" 5:15:00 PM","BarSz=60","BarTp=T","RecurDaily=True","TZ=London","DTS=H")</f>
        <v>102.46899999999999</v>
      </c>
      <c r="Q152" s="44">
        <f>_xll.BDP($C152&amp;"@CBBT Corp","YAS_BOND_YLD", "SETTLE_DT="&amp;Q$1, "YAS_BOND_PX="&amp;$N152)</f>
        <v>-0.54300000000000004</v>
      </c>
      <c r="R152" s="44" t="e">
        <f ca="1">_xll.BDP($C152&amp;"@CBBT Corp","YAS_BOND_YLD", "SETTLE_DT="&amp;R$1, "YAS_BOND_PX="&amp;$O152)</f>
        <v>#NAME?</v>
      </c>
      <c r="S152" s="44">
        <f>_xll.BDP($C152&amp;"@CBBT Corp","YAS_BOND_YLD", "SETTLE_DT="&amp;S$1, "YAS_BOND_PX="&amp;$P152)</f>
        <v>-0.53100000000000003</v>
      </c>
    </row>
    <row r="153" spans="1:19">
      <c r="A153" s="46" t="str">
        <f t="shared" si="50"/>
        <v>EUR.CM_DEPTH.XLS_ANDREA.DE0001135440</v>
      </c>
      <c r="B153" s="51" t="str">
        <f>_xll.MKV("EUR.CM_INSTRUMENT.PXE."&amp;C153,B$3)</f>
        <v>DBR</v>
      </c>
      <c r="C153" s="61" t="s">
        <v>566</v>
      </c>
      <c r="D153" s="125">
        <f>_xll.MKV("EUR.CM_INSTRUMENT.PXE."&amp;C153,D$3)</f>
        <v>44381</v>
      </c>
      <c r="E153" s="58">
        <f t="shared" si="46"/>
        <v>-0.10000000000000009</v>
      </c>
      <c r="F153" s="58" t="str">
        <f t="shared" ca="1" si="47"/>
        <v>99</v>
      </c>
      <c r="G153" s="58">
        <f t="shared" si="48"/>
        <v>-1.7000000000000015</v>
      </c>
      <c r="H153" s="46" t="str">
        <f>_xll.MKV_PUBLISHRECORD(A153, $H$4)</f>
        <v>OK</v>
      </c>
      <c r="I153" s="46" t="str">
        <f ca="1">_xll.MKV_SUPPLYRECORD_RANGE(A153,$B$3:$G$3,B153:G153)</f>
        <v>OK</v>
      </c>
      <c r="J153" s="34">
        <f>_xll.MKV($J$1&amp;$C153, J$3)</f>
        <v>-0.55296999999999996</v>
      </c>
      <c r="K153" s="32">
        <f>_xll.MKV($L$2&amp;$C153, K$3)</f>
        <v>-0.55100000000000005</v>
      </c>
      <c r="L153" s="35">
        <f>_xll.MKV($L$2&amp;$C153, L$3)</f>
        <v>118.252127</v>
      </c>
      <c r="M153" s="32">
        <f t="shared" si="49"/>
        <v>-3.8729999999986831E-3</v>
      </c>
      <c r="N153" s="36">
        <f>_xll.BDH(C153&amp;"@CBBT Corp","OPEN",$N$1&amp;" 4:15:00 PM",$N$1&amp;" 5:15:00 PM","BarSz=60","BarTp=T","RecurDaily=True","TZ=London","DTS=H")</f>
        <v>118.256</v>
      </c>
      <c r="O153" s="36" t="e">
        <f ca="1">[1]!BError(_xll.BDH($C153&amp;"@CBBT Corp","OPEN",$O$1&amp;" 4:15:00 PM",$O$1&amp;" 5:15:00 PM","BarSz=60","BarTp=T","RecurDaily=True","TZ=London","DTS=H"))</f>
        <v>#NAME?</v>
      </c>
      <c r="P153" s="36">
        <f>_xll.BDH($C153&amp;"@CBBT Corp","OPEN",P$1&amp;" 4:15:00 PM",P$1&amp;" 5:15:00 PM","BarSz=60","BarTp=T","RecurDaily=True","TZ=London","DTS=H")</f>
        <v>118.51300000000001</v>
      </c>
      <c r="Q153" s="44">
        <f>_xll.BDP($C153&amp;"@CBBT Corp","YAS_BOND_YLD", "SETTLE_DT="&amp;Q$1, "YAS_BOND_PX="&amp;$N153)</f>
        <v>-0.55000000000000004</v>
      </c>
      <c r="R153" s="44" t="e">
        <f ca="1">_xll.BDP($C153&amp;"@CBBT Corp","YAS_BOND_YLD", "SETTLE_DT="&amp;R$1, "YAS_BOND_PX="&amp;$O153)</f>
        <v>#NAME?</v>
      </c>
      <c r="S153" s="44">
        <f>_xll.BDP($C153&amp;"@CBBT Corp","YAS_BOND_YLD", "SETTLE_DT="&amp;S$1, "YAS_BOND_PX="&amp;$P153)</f>
        <v>-0.53400000000000003</v>
      </c>
    </row>
    <row r="154" spans="1:19">
      <c r="A154" s="46" t="str">
        <f t="shared" si="50"/>
        <v>EUR.CM_DEPTH.XLS_ANDREA.DE0001135457</v>
      </c>
      <c r="B154" s="51" t="str">
        <f>_xll.MKV("EUR.CM_INSTRUMENT.PXE."&amp;C154,B$3)</f>
        <v>DBR</v>
      </c>
      <c r="C154" s="61" t="s">
        <v>567</v>
      </c>
      <c r="D154" s="125">
        <f>_xll.MKV("EUR.CM_INSTRUMENT.PXE."&amp;C154,D$3)</f>
        <v>44443</v>
      </c>
      <c r="E154" s="58">
        <f t="shared" si="46"/>
        <v>-0.10000000000000009</v>
      </c>
      <c r="F154" s="58" t="str">
        <f t="shared" ca="1" si="47"/>
        <v>99</v>
      </c>
      <c r="G154" s="58">
        <f t="shared" si="48"/>
        <v>-0.50000000000000044</v>
      </c>
      <c r="H154" s="46" t="str">
        <f>_xll.MKV_PUBLISHRECORD(A154, $H$4)</f>
        <v>OK</v>
      </c>
      <c r="I154" s="46" t="str">
        <f ca="1">_xll.MKV_SUPPLYRECORD_RANGE(A154,$B$3:$G$3,B154:G154)</f>
        <v>OK</v>
      </c>
      <c r="J154" s="34">
        <f>_xll.MKV($J$1&amp;$C154, J$3)</f>
        <v>-0.51997499999999997</v>
      </c>
      <c r="K154" s="32">
        <f>_xll.MKV($L$2&amp;$C154, K$3)</f>
        <v>-0.51800000000000002</v>
      </c>
      <c r="L154" s="35">
        <f>_xll.MKV($L$2&amp;$C154, L$3)</f>
        <v>113.764636</v>
      </c>
      <c r="M154" s="32">
        <f t="shared" si="49"/>
        <v>1.6359999999906449E-3</v>
      </c>
      <c r="N154" s="36">
        <f>_xll.BDH(C154&amp;"@CBBT Corp","OPEN",$N$1&amp;" 4:15:00 PM",$N$1&amp;" 5:15:00 PM","BarSz=60","BarTp=T","RecurDaily=True","TZ=London","DTS=H")</f>
        <v>113.76300000000001</v>
      </c>
      <c r="O154" s="36" t="e">
        <f ca="1">[1]!BError(_xll.BDH($C154&amp;"@CBBT Corp","OPEN",$O$1&amp;" 4:15:00 PM",$O$1&amp;" 5:15:00 PM","BarSz=60","BarTp=T","RecurDaily=True","TZ=London","DTS=H"))</f>
        <v>#NAME?</v>
      </c>
      <c r="P154" s="36">
        <f>_xll.BDH($C154&amp;"@CBBT Corp","OPEN",P$1&amp;" 4:15:00 PM",P$1&amp;" 5:15:00 PM","BarSz=60","BarTp=T","RecurDaily=True","TZ=London","DTS=H")</f>
        <v>113.991</v>
      </c>
      <c r="Q154" s="44">
        <f>_xll.BDP($C154&amp;"@CBBT Corp","YAS_BOND_YLD", "SETTLE_DT="&amp;Q$1, "YAS_BOND_PX="&amp;$N154)</f>
        <v>-0.51700000000000002</v>
      </c>
      <c r="R154" s="44" t="e">
        <f ca="1">_xll.BDP($C154&amp;"@CBBT Corp","YAS_BOND_YLD", "SETTLE_DT="&amp;R$1, "YAS_BOND_PX="&amp;$O154)</f>
        <v>#NAME?</v>
      </c>
      <c r="S154" s="44">
        <f>_xll.BDP($C154&amp;"@CBBT Corp","YAS_BOND_YLD", "SETTLE_DT="&amp;S$1, "YAS_BOND_PX="&amp;$P154)</f>
        <v>-0.51300000000000001</v>
      </c>
    </row>
    <row r="155" spans="1:19">
      <c r="A155" s="46" t="str">
        <f t="shared" ref="A155" si="51">$A$4 &amp; ".CM_DEPTH."&amp; $H$4 &amp; "." &amp; C155</f>
        <v>EUR.CM_DEPTH.XLS_ANDREA.DE0001141745</v>
      </c>
      <c r="B155" s="51" t="str">
        <f>_xll.MKV("EUR.CM_INSTRUMENT.PXE."&amp;C155,B$3)</f>
        <v>OBL</v>
      </c>
      <c r="C155" s="61" t="s">
        <v>752</v>
      </c>
      <c r="D155" s="125">
        <f>_xll.MKV("EUR.CM_INSTRUMENT.PXE."&amp;C155,D$3)</f>
        <v>44477</v>
      </c>
      <c r="E155" s="58">
        <f t="shared" ref="E155" si="52">IFERROR(($K155-Q155)*100,"99")</f>
        <v>0</v>
      </c>
      <c r="F155" s="58" t="str">
        <f t="shared" ref="F155" ca="1" si="53">IFERROR(($K155-R155)*100,"99")</f>
        <v>99</v>
      </c>
      <c r="G155" s="58">
        <f t="shared" ref="G155" si="54">IFERROR(($K155-S155)*100,"99")</f>
        <v>0.10000000000000009</v>
      </c>
      <c r="H155" s="46" t="str">
        <f>_xll.MKV_PUBLISHRECORD(A155, $H$4)</f>
        <v>OK</v>
      </c>
      <c r="I155" s="46" t="str">
        <f ca="1">_xll.MKV_SUPPLYRECORD_RANGE(A155,$B$3:$G$3,B155:G155)</f>
        <v>OK</v>
      </c>
      <c r="J155" s="34">
        <f>_xll.MKV($J$1&amp;$C155, J$3)</f>
        <v>-0.486954</v>
      </c>
      <c r="K155" s="32">
        <f>_xll.MKV($L$2&amp;$C155, K$3)</f>
        <v>-0.48499999999999999</v>
      </c>
      <c r="L155" s="35">
        <f>_xll.MKV($L$2&amp;$C155, L$3)</f>
        <v>102.46389499999999</v>
      </c>
      <c r="M155" s="32">
        <f t="shared" ref="M155" si="55">L155-N155</f>
        <v>6.8950000000000955E-3</v>
      </c>
      <c r="N155" s="36">
        <f>_xll.BDH(C155&amp;"@CBBT Corp","OPEN",$N$1&amp;" 4:15:00 PM",$N$1&amp;" 5:15:00 PM","BarSz=60","BarTp=T","RecurDaily=True","TZ=London","DTS=H")</f>
        <v>102.45699999999999</v>
      </c>
      <c r="O155" s="36" t="e">
        <f ca="1">[1]!BError(_xll.BDH($C155&amp;"@CBBT Corp","OPEN",$O$1&amp;" 4:15:00 PM",$O$1&amp;" 5:15:00 PM","BarSz=60","BarTp=T","RecurDaily=True","TZ=London","DTS=H"))</f>
        <v>#NAME?</v>
      </c>
      <c r="P155" s="36">
        <f>_xll.BDH($C155&amp;"@CBBT Corp","OPEN",P$1&amp;" 4:15:00 PM",P$1&amp;" 5:15:00 PM","BarSz=60","BarTp=T","RecurDaily=True","TZ=London","DTS=H")</f>
        <v>102.50700000000001</v>
      </c>
      <c r="Q155" s="44">
        <f>_xll.BDP($C155&amp;"@CBBT Corp","YAS_BOND_YLD", "SETTLE_DT="&amp;Q$1, "YAS_BOND_PX="&amp;$N155)</f>
        <v>-0.48499999999999999</v>
      </c>
      <c r="R155" s="44" t="e">
        <f ca="1">_xll.BDP($C155&amp;"@CBBT Corp","YAS_BOND_YLD", "SETTLE_DT="&amp;R$1, "YAS_BOND_PX="&amp;$O155)</f>
        <v>#NAME?</v>
      </c>
      <c r="S155" s="44">
        <f>_xll.BDP($C155&amp;"@CBBT Corp","YAS_BOND_YLD", "SETTLE_DT="&amp;S$1, "YAS_BOND_PX="&amp;$P155)</f>
        <v>-0.48599999999999999</v>
      </c>
    </row>
    <row r="156" spans="1:19">
      <c r="A156" s="46" t="str">
        <f t="shared" si="50"/>
        <v>EUR.CM_DEPTH.XLS_ANDREA.DE0001135465</v>
      </c>
      <c r="B156" s="51" t="str">
        <f>_xll.MKV("EUR.CM_INSTRUMENT.PXE."&amp;C156,B$3)</f>
        <v>DBR</v>
      </c>
      <c r="C156" s="61" t="s">
        <v>569</v>
      </c>
      <c r="D156" s="125">
        <f>_xll.MKV("EUR.CM_INSTRUMENT.PXE."&amp;C156,D$3)</f>
        <v>44565</v>
      </c>
      <c r="E156" s="58">
        <f t="shared" si="46"/>
        <v>-0.10000000000000564</v>
      </c>
      <c r="F156" s="58" t="str">
        <f t="shared" ca="1" si="47"/>
        <v>99</v>
      </c>
      <c r="G156" s="58">
        <f t="shared" si="48"/>
        <v>0.69999999999999507</v>
      </c>
      <c r="H156" s="46" t="str">
        <f>_xll.MKV_PUBLISHRECORD(A156, $H$4)</f>
        <v>OK</v>
      </c>
      <c r="I156" s="46" t="str">
        <f ca="1">_xll.MKV_SUPPLYRECORD_RANGE(A156,$B$3:$G$3,B156:G156)</f>
        <v>OK</v>
      </c>
      <c r="J156" s="34">
        <f>_xll.MKV($J$1&amp;$C156, J$3)</f>
        <v>-0.47478599999999999</v>
      </c>
      <c r="K156" s="32">
        <f>_xll.MKV($L$2&amp;$C156, K$3)</f>
        <v>-0.47300000000000003</v>
      </c>
      <c r="L156" s="35">
        <f>_xll.MKV($L$2&amp;$C156, L$3)</f>
        <v>113.1294</v>
      </c>
      <c r="M156" s="32">
        <f t="shared" si="49"/>
        <v>3.3999999999991815E-3</v>
      </c>
      <c r="N156" s="36">
        <f>_xll.BDH(C156&amp;"@CBBT Corp","OPEN",$N$1&amp;" 4:15:00 PM",$N$1&amp;" 5:15:00 PM","BarSz=60","BarTp=T","RecurDaily=True","TZ=London","DTS=H")</f>
        <v>113.126</v>
      </c>
      <c r="O156" s="36" t="e">
        <f ca="1">[1]!BError(_xll.BDH($C156&amp;"@CBBT Corp","OPEN",$O$1&amp;" 4:15:00 PM",$O$1&amp;" 5:15:00 PM","BarSz=60","BarTp=T","RecurDaily=True","TZ=London","DTS=H"))</f>
        <v>#NAME?</v>
      </c>
      <c r="P156" s="36">
        <f>_xll.BDH($C156&amp;"@CBBT Corp","OPEN",P$1&amp;" 4:15:00 PM",P$1&amp;" 5:15:00 PM","BarSz=60","BarTp=T","RecurDaily=True","TZ=London","DTS=H")</f>
        <v>113.395</v>
      </c>
      <c r="Q156" s="44">
        <f>_xll.BDP($C156&amp;"@CBBT Corp","YAS_BOND_YLD", "SETTLE_DT="&amp;Q$1, "YAS_BOND_PX="&amp;$N156)</f>
        <v>-0.47199999999999998</v>
      </c>
      <c r="R156" s="44" t="e">
        <f ca="1">_xll.BDP($C156&amp;"@CBBT Corp","YAS_BOND_YLD", "SETTLE_DT="&amp;R$1, "YAS_BOND_PX="&amp;$O156)</f>
        <v>#NAME?</v>
      </c>
      <c r="S156" s="44">
        <f>_xll.BDP($C156&amp;"@CBBT Corp","YAS_BOND_YLD", "SETTLE_DT="&amp;S$1, "YAS_BOND_PX="&amp;$P156)</f>
        <v>-0.48</v>
      </c>
    </row>
    <row r="157" spans="1:19">
      <c r="A157" s="46" t="str">
        <f t="shared" si="50"/>
        <v>EUR.CM_DEPTH.XLS_ANDREA.DE0001135473</v>
      </c>
      <c r="B157" s="51" t="str">
        <f>_xll.MKV("EUR.CM_INSTRUMENT.PXE."&amp;C157,B$3)</f>
        <v>DBR</v>
      </c>
      <c r="C157" s="61" t="s">
        <v>572</v>
      </c>
      <c r="D157" s="125">
        <f>_xll.MKV("EUR.CM_INSTRUMENT.PXE."&amp;C157,D$3)</f>
        <v>44746</v>
      </c>
      <c r="E157" s="58">
        <f t="shared" si="46"/>
        <v>-0.10000000000000009</v>
      </c>
      <c r="F157" s="58" t="str">
        <f t="shared" ca="1" si="47"/>
        <v>99</v>
      </c>
      <c r="G157" s="58">
        <f t="shared" si="48"/>
        <v>1.3000000000000012</v>
      </c>
      <c r="H157" s="46" t="str">
        <f>_xll.MKV_PUBLISHRECORD(A157, $H$4)</f>
        <v>OK</v>
      </c>
      <c r="I157" s="46" t="str">
        <f ca="1">_xll.MKV_SUPPLYRECORD_RANGE(A157,$B$3:$G$3,B157:G157)</f>
        <v>OK</v>
      </c>
      <c r="J157" s="34">
        <f>_xll.MKV($J$1&amp;$C157, J$3)</f>
        <v>-0.449932</v>
      </c>
      <c r="K157" s="32">
        <f>_xll.MKV($L$2&amp;$C157, K$3)</f>
        <v>-0.44600000000000001</v>
      </c>
      <c r="L157" s="35">
        <f>_xll.MKV($L$2&amp;$C157, L$3)</f>
        <v>112.784296</v>
      </c>
      <c r="M157" s="32">
        <f t="shared" si="49"/>
        <v>2.0296000000001868E-2</v>
      </c>
      <c r="N157" s="36">
        <f>_xll.BDH(C157&amp;"@CBBT Corp","OPEN",$N$1&amp;" 4:15:00 PM",$N$1&amp;" 5:15:00 PM","BarSz=60","BarTp=T","RecurDaily=True","TZ=London","DTS=H")</f>
        <v>112.764</v>
      </c>
      <c r="O157" s="36" t="e">
        <f ca="1">[1]!BError(_xll.BDH($C157&amp;"@CBBT Corp","OPEN",$O$1&amp;" 4:15:00 PM",$O$1&amp;" 5:15:00 PM","BarSz=60","BarTp=T","RecurDaily=True","TZ=London","DTS=H"))</f>
        <v>#NAME?</v>
      </c>
      <c r="P157" s="36">
        <f>_xll.BDH($C157&amp;"@CBBT Corp","OPEN",P$1&amp;" 4:15:00 PM",P$1&amp;" 5:15:00 PM","BarSz=60","BarTp=T","RecurDaily=True","TZ=London","DTS=H")</f>
        <v>113.053</v>
      </c>
      <c r="Q157" s="44">
        <f>_xll.BDP($C157&amp;"@CBBT Corp","YAS_BOND_YLD", "SETTLE_DT="&amp;Q$1, "YAS_BOND_PX="&amp;$N157)</f>
        <v>-0.44500000000000001</v>
      </c>
      <c r="R157" s="44" t="e">
        <f ca="1">_xll.BDP($C157&amp;"@CBBT Corp","YAS_BOND_YLD", "SETTLE_DT="&amp;R$1, "YAS_BOND_PX="&amp;$O157)</f>
        <v>#NAME?</v>
      </c>
      <c r="S157" s="44">
        <f>_xll.BDP($C157&amp;"@CBBT Corp","YAS_BOND_YLD", "SETTLE_DT="&amp;S$1, "YAS_BOND_PX="&amp;$P157)</f>
        <v>-0.45900000000000002</v>
      </c>
    </row>
    <row r="158" spans="1:19">
      <c r="A158" s="46" t="str">
        <f t="shared" si="50"/>
        <v>EUR.CM_DEPTH.XLS_ANDREA.DE0001135499</v>
      </c>
      <c r="B158" s="51" t="str">
        <f>_xll.MKV("EUR.CM_INSTRUMENT.PXE."&amp;C158,B$3)</f>
        <v>DBR</v>
      </c>
      <c r="C158" s="61" t="s">
        <v>573</v>
      </c>
      <c r="D158" s="125">
        <f>_xll.MKV("EUR.CM_INSTRUMENT.PXE."&amp;C158,D$3)</f>
        <v>44808</v>
      </c>
      <c r="E158" s="58">
        <f t="shared" si="46"/>
        <v>0</v>
      </c>
      <c r="F158" s="58" t="str">
        <f t="shared" ca="1" si="47"/>
        <v>99</v>
      </c>
      <c r="G158" s="58">
        <f t="shared" si="48"/>
        <v>1.2000000000000011</v>
      </c>
      <c r="H158" s="46" t="str">
        <f>_xll.MKV_PUBLISHRECORD(A158, $H$4)</f>
        <v>OK</v>
      </c>
      <c r="I158" s="46" t="str">
        <f ca="1">_xll.MKV_SUPPLYRECORD_RANGE(A158,$B$3:$G$3,B158:G158)</f>
        <v>OK</v>
      </c>
      <c r="J158" s="34">
        <f>_xll.MKV($J$1&amp;$C158, J$3)</f>
        <v>-0.43522</v>
      </c>
      <c r="K158" s="32">
        <f>_xll.MKV($L$2&amp;$C158, K$3)</f>
        <v>-0.43099999999999999</v>
      </c>
      <c r="L158" s="35">
        <f>_xll.MKV($L$2&amp;$C158, L$3)</f>
        <v>111.577901</v>
      </c>
      <c r="M158" s="32">
        <f t="shared" si="49"/>
        <v>1.5900999999999499E-2</v>
      </c>
      <c r="N158" s="36">
        <f>_xll.BDH(C158&amp;"@CBBT Corp","OPEN",$N$1&amp;" 4:15:00 PM",$N$1&amp;" 5:15:00 PM","BarSz=60","BarTp=T","RecurDaily=True","TZ=London","DTS=H")</f>
        <v>111.562</v>
      </c>
      <c r="O158" s="36" t="e">
        <f ca="1">[1]!BError(_xll.BDH($C158&amp;"@CBBT Corp","OPEN",$O$1&amp;" 4:15:00 PM",$O$1&amp;" 5:15:00 PM","BarSz=60","BarTp=T","RecurDaily=True","TZ=London","DTS=H"))</f>
        <v>#NAME?</v>
      </c>
      <c r="P158" s="36">
        <f>_xll.BDH($C158&amp;"@CBBT Corp","OPEN",P$1&amp;" 4:15:00 PM",P$1&amp;" 5:15:00 PM","BarSz=60","BarTp=T","RecurDaily=True","TZ=London","DTS=H")</f>
        <v>111.81100000000001</v>
      </c>
      <c r="Q158" s="44">
        <f>_xll.BDP($C158&amp;"@CBBT Corp","YAS_BOND_YLD", "SETTLE_DT="&amp;Q$1, "YAS_BOND_PX="&amp;$N158)</f>
        <v>-0.43099999999999999</v>
      </c>
      <c r="R158" s="44" t="e">
        <f ca="1">_xll.BDP($C158&amp;"@CBBT Corp","YAS_BOND_YLD", "SETTLE_DT="&amp;R$1, "YAS_BOND_PX="&amp;$O158)</f>
        <v>#NAME?</v>
      </c>
      <c r="S158" s="44">
        <f>_xll.BDP($C158&amp;"@CBBT Corp","YAS_BOND_YLD", "SETTLE_DT="&amp;S$1, "YAS_BOND_PX="&amp;$P158)</f>
        <v>-0.443</v>
      </c>
    </row>
    <row r="159" spans="1:19">
      <c r="A159" s="46" t="str">
        <f t="shared" si="50"/>
        <v>EUR.CM_DEPTH.XLS_ANDREA.DE0001102309</v>
      </c>
      <c r="B159" s="51" t="str">
        <f>_xll.MKV("EUR.CM_INSTRUMENT.PXE."&amp;C159,B$3)</f>
        <v>DBR</v>
      </c>
      <c r="C159" s="61" t="s">
        <v>576</v>
      </c>
      <c r="D159" s="125">
        <f>_xll.MKV("EUR.CM_INSTRUMENT.PXE."&amp;C159,D$3)</f>
        <v>44972</v>
      </c>
      <c r="E159" s="58">
        <f t="shared" si="46"/>
        <v>0</v>
      </c>
      <c r="F159" s="58" t="str">
        <f t="shared" ca="1" si="47"/>
        <v>99</v>
      </c>
      <c r="G159" s="58">
        <f t="shared" si="48"/>
        <v>0</v>
      </c>
      <c r="H159" s="46" t="str">
        <f>_xll.MKV_PUBLISHRECORD(A159, $H$4)</f>
        <v>OK</v>
      </c>
      <c r="I159" s="46" t="str">
        <f ca="1">_xll.MKV_SUPPLYRECORD_RANGE(A159,$B$3:$G$3,B159:G159)</f>
        <v>OK</v>
      </c>
      <c r="J159" s="34">
        <f>_xll.MKV($J$1&amp;$C159, J$3)</f>
        <v>-0.40250599999999997</v>
      </c>
      <c r="K159" s="32">
        <f>_xll.MKV($L$2&amp;$C159, K$3)</f>
        <v>-0.4</v>
      </c>
      <c r="L159" s="35">
        <f>_xll.MKV($L$2&amp;$C159, L$3)</f>
        <v>112.245752</v>
      </c>
      <c r="M159" s="32">
        <f t="shared" si="49"/>
        <v>6.7519999999916536E-3</v>
      </c>
      <c r="N159" s="36">
        <f>_xll.BDH(C159&amp;"@CBBT Corp","OPEN",$N$1&amp;" 4:15:00 PM",$N$1&amp;" 5:15:00 PM","BarSz=60","BarTp=T","RecurDaily=True","TZ=London","DTS=H")</f>
        <v>112.239</v>
      </c>
      <c r="O159" s="36" t="e">
        <f ca="1">[1]!BError(_xll.BDH($C159&amp;"@CBBT Corp","OPEN",$O$1&amp;" 4:15:00 PM",$O$1&amp;" 5:15:00 PM","BarSz=60","BarTp=T","RecurDaily=True","TZ=London","DTS=H"))</f>
        <v>#NAME?</v>
      </c>
      <c r="P159" s="36">
        <f>_xll.BDH($C159&amp;"@CBBT Corp","OPEN",P$1&amp;" 4:15:00 PM",P$1&amp;" 5:15:00 PM","BarSz=60","BarTp=T","RecurDaily=True","TZ=London","DTS=H")</f>
        <v>112.408</v>
      </c>
      <c r="Q159" s="44">
        <f>_xll.BDP($C159&amp;"@CBBT Corp","YAS_BOND_YLD", "SETTLE_DT="&amp;Q$1, "YAS_BOND_PX="&amp;$N159)</f>
        <v>-0.4</v>
      </c>
      <c r="R159" s="44" t="e">
        <f ca="1">_xll.BDP($C159&amp;"@CBBT Corp","YAS_BOND_YLD", "SETTLE_DT="&amp;R$1, "YAS_BOND_PX="&amp;$O159)</f>
        <v>#NAME?</v>
      </c>
      <c r="S159" s="44">
        <f>_xll.BDP($C159&amp;"@CBBT Corp","YAS_BOND_YLD", "SETTLE_DT="&amp;S$1, "YAS_BOND_PX="&amp;$P159)</f>
        <v>-0.4</v>
      </c>
    </row>
    <row r="160" spans="1:19">
      <c r="A160" s="46" t="str">
        <f t="shared" si="50"/>
        <v>EUR.CM_DEPTH.XLS_ANDREA.DE0001102317</v>
      </c>
      <c r="B160" s="51" t="str">
        <f>_xll.MKV("EUR.CM_INSTRUMENT.PXE."&amp;C160,B$3)</f>
        <v>DBR</v>
      </c>
      <c r="C160" s="61" t="s">
        <v>577</v>
      </c>
      <c r="D160" s="125">
        <f>_xll.MKV("EUR.CM_INSTRUMENT.PXE."&amp;C160,D$3)</f>
        <v>45061</v>
      </c>
      <c r="E160" s="58">
        <f t="shared" si="46"/>
        <v>0</v>
      </c>
      <c r="F160" s="58" t="str">
        <f t="shared" ca="1" si="47"/>
        <v>99</v>
      </c>
      <c r="G160" s="58">
        <f t="shared" si="48"/>
        <v>-0.10000000000000009</v>
      </c>
      <c r="H160" s="46" t="str">
        <f>_xll.MKV_PUBLISHRECORD(A160, $H$4)</f>
        <v>OK</v>
      </c>
      <c r="I160" s="46" t="str">
        <f ca="1">_xll.MKV_SUPPLYRECORD_RANGE(A160,$B$3:$G$3,B160:G160)</f>
        <v>OK</v>
      </c>
      <c r="J160" s="34">
        <f>_xll.MKV($J$1&amp;$C160, J$3)</f>
        <v>-0.38695499999999999</v>
      </c>
      <c r="K160" s="32">
        <f>_xll.MKV($L$2&amp;$C160, K$3)</f>
        <v>-0.38500000000000001</v>
      </c>
      <c r="L160" s="35">
        <f>_xll.MKV($L$2&amp;$C160, L$3)</f>
        <v>112.613215</v>
      </c>
      <c r="M160" s="32">
        <f t="shared" si="49"/>
        <v>2.1499999999718966E-4</v>
      </c>
      <c r="N160" s="36">
        <f>_xll.BDH(C160&amp;"@CBBT Corp","OPEN",$N$1&amp;" 4:15:00 PM",$N$1&amp;" 5:15:00 PM","BarSz=60","BarTp=T","RecurDaily=True","TZ=London","DTS=H")</f>
        <v>112.613</v>
      </c>
      <c r="O160" s="36" t="e">
        <f ca="1">[1]!BError(_xll.BDH($C160&amp;"@CBBT Corp","OPEN",$O$1&amp;" 4:15:00 PM",$O$1&amp;" 5:15:00 PM","BarSz=60","BarTp=T","RecurDaily=True","TZ=London","DTS=H"))</f>
        <v>#NAME?</v>
      </c>
      <c r="P160" s="36">
        <f>_xll.BDH($C160&amp;"@CBBT Corp","OPEN",P$1&amp;" 4:15:00 PM",P$1&amp;" 5:15:00 PM","BarSz=60","BarTp=T","RecurDaily=True","TZ=London","DTS=H")</f>
        <v>112.773</v>
      </c>
      <c r="Q160" s="44">
        <f>_xll.BDP($C160&amp;"@CBBT Corp","YAS_BOND_YLD", "SETTLE_DT="&amp;Q$1, "YAS_BOND_PX="&amp;$N160)</f>
        <v>-0.38500000000000001</v>
      </c>
      <c r="R160" s="44" t="e">
        <f ca="1">_xll.BDP($C160&amp;"@CBBT Corp","YAS_BOND_YLD", "SETTLE_DT="&amp;R$1, "YAS_BOND_PX="&amp;$O160)</f>
        <v>#NAME?</v>
      </c>
      <c r="S160" s="44">
        <f>_xll.BDP($C160&amp;"@CBBT Corp","YAS_BOND_YLD", "SETTLE_DT="&amp;S$1, "YAS_BOND_PX="&amp;$P160)</f>
        <v>-0.38400000000000001</v>
      </c>
    </row>
    <row r="161" spans="1:28">
      <c r="A161" s="46" t="str">
        <f t="shared" si="50"/>
        <v>EUR.CM_DEPTH.XLS_ANDREA.DE0001102325</v>
      </c>
      <c r="B161" s="51" t="str">
        <f>_xll.MKV("EUR.CM_INSTRUMENT.PXE."&amp;C161,B$3)</f>
        <v>DBR</v>
      </c>
      <c r="C161" s="61" t="s">
        <v>579</v>
      </c>
      <c r="D161" s="125">
        <f>_xll.MKV("EUR.CM_INSTRUMENT.PXE."&amp;C161,D$3)</f>
        <v>45153</v>
      </c>
      <c r="E161" s="58">
        <f t="shared" si="46"/>
        <v>-0.10000000000000009</v>
      </c>
      <c r="F161" s="58" t="str">
        <f t="shared" ca="1" si="47"/>
        <v>99</v>
      </c>
      <c r="G161" s="58">
        <f t="shared" si="48"/>
        <v>0.10000000000000009</v>
      </c>
      <c r="H161" s="46" t="str">
        <f>_xll.MKV_PUBLISHRECORD(A161, $H$4)</f>
        <v>OK</v>
      </c>
      <c r="I161" s="46" t="str">
        <f ca="1">_xll.MKV_SUPPLYRECORD_RANGE(A161,$B$3:$G$3,B161:G161)</f>
        <v>OK</v>
      </c>
      <c r="J161" s="34">
        <f>_xll.MKV($J$1&amp;$C161, J$3)</f>
        <v>-0.36936000000000002</v>
      </c>
      <c r="K161" s="32">
        <f>_xll.MKV($L$2&amp;$C161, K$3)</f>
        <v>-0.36799999999999999</v>
      </c>
      <c r="L161" s="35">
        <f>_xll.MKV($L$2&amp;$C161, L$3)</f>
        <v>116.44015</v>
      </c>
      <c r="M161" s="32">
        <f t="shared" si="49"/>
        <v>1.1500000000097543E-3</v>
      </c>
      <c r="N161" s="36">
        <f>_xll.BDH(C161&amp;"@CBBT Corp","OPEN",$N$1&amp;" 4:15:00 PM",$N$1&amp;" 5:15:00 PM","BarSz=60","BarTp=T","RecurDaily=True","TZ=London","DTS=H")</f>
        <v>116.43899999999999</v>
      </c>
      <c r="O161" s="36" t="e">
        <f ca="1">[1]!BError(_xll.BDH($C161&amp;"@CBBT Corp","OPEN",$O$1&amp;" 4:15:00 PM",$O$1&amp;" 5:15:00 PM","BarSz=60","BarTp=T","RecurDaily=True","TZ=London","DTS=H"))</f>
        <v>#NAME?</v>
      </c>
      <c r="P161" s="36">
        <f>_xll.BDH($C161&amp;"@CBBT Corp","OPEN",P$1&amp;" 4:15:00 PM",P$1&amp;" 5:15:00 PM","BarSz=60","BarTp=T","RecurDaily=True","TZ=London","DTS=H")</f>
        <v>116.66200000000001</v>
      </c>
      <c r="Q161" s="44">
        <f>_xll.BDP($C161&amp;"@CBBT Corp","YAS_BOND_YLD", "SETTLE_DT="&amp;Q$1, "YAS_BOND_PX="&amp;$N161)</f>
        <v>-0.36699999999999999</v>
      </c>
      <c r="R161" s="44" t="e">
        <f ca="1">_xll.BDP($C161&amp;"@CBBT Corp","YAS_BOND_YLD", "SETTLE_DT="&amp;R$1, "YAS_BOND_PX="&amp;$O161)</f>
        <v>#NAME?</v>
      </c>
      <c r="S161" s="44">
        <f>_xll.BDP($C161&amp;"@CBBT Corp","YAS_BOND_YLD", "SETTLE_DT="&amp;S$1, "YAS_BOND_PX="&amp;$P161)</f>
        <v>-0.36899999999999999</v>
      </c>
    </row>
    <row r="162" spans="1:28">
      <c r="A162" s="46" t="str">
        <f t="shared" si="50"/>
        <v>EUR.CM_DEPTH.XLS_ANDREA.DE0001134922</v>
      </c>
      <c r="B162" s="51" t="str">
        <f>_xll.MKV("EUR.CM_INSTRUMENT.PXE."&amp;C162,B$3)</f>
        <v>DBR</v>
      </c>
      <c r="C162" s="61" t="s">
        <v>583</v>
      </c>
      <c r="D162" s="125">
        <f>_xll.MKV("EUR.CM_INSTRUMENT.PXE."&amp;C162,D$3)</f>
        <v>45295</v>
      </c>
      <c r="E162" s="58">
        <f t="shared" si="46"/>
        <v>-0.30000000000000582</v>
      </c>
      <c r="F162" s="58" t="str">
        <f t="shared" ca="1" si="47"/>
        <v>99</v>
      </c>
      <c r="G162" s="58">
        <f t="shared" si="48"/>
        <v>1.2999999999999956</v>
      </c>
      <c r="H162" s="46" t="str">
        <f>_xll.MKV_PUBLISHRECORD(A162, $H$4)</f>
        <v>OK</v>
      </c>
      <c r="I162" s="46" t="str">
        <f ca="1">_xll.MKV_SUPPLYRECORD_RANGE(A162,$B$3:$G$3,B162:G162)</f>
        <v>OK</v>
      </c>
      <c r="J162" s="34">
        <f>_xll.MKV($J$1&amp;$C162, J$3)</f>
        <v>-0.34935300000000002</v>
      </c>
      <c r="K162" s="32">
        <f>_xll.MKV($L$2&amp;$C162, K$3)</f>
        <v>-0.34700000000000003</v>
      </c>
      <c r="L162" s="35">
        <f>_xll.MKV($L$2&amp;$C162, L$3)</f>
        <v>148.386741</v>
      </c>
      <c r="M162" s="32">
        <f t="shared" si="49"/>
        <v>1.1741000000000668E-2</v>
      </c>
      <c r="N162" s="36">
        <f>_xll.BDH(C162&amp;"@CBBT Corp","OPEN",$N$1&amp;" 4:15:00 PM",$N$1&amp;" 5:15:00 PM","BarSz=60","BarTp=T","RecurDaily=True","TZ=London","DTS=H")</f>
        <v>148.375</v>
      </c>
      <c r="O162" s="36" t="e">
        <f ca="1">[1]!BError(_xll.BDH($C162&amp;"@CBBT Corp","OPEN",$O$1&amp;" 4:15:00 PM",$O$1&amp;" 5:15:00 PM","BarSz=60","BarTp=T","RecurDaily=True","TZ=London","DTS=H"))</f>
        <v>#NAME?</v>
      </c>
      <c r="P162" s="36">
        <f>_xll.BDH($C162&amp;"@CBBT Corp","OPEN",P$1&amp;" 4:15:00 PM",P$1&amp;" 5:15:00 PM","BarSz=60","BarTp=T","RecurDaily=True","TZ=London","DTS=H")</f>
        <v>149.11600000000001</v>
      </c>
      <c r="Q162" s="44">
        <f>_xll.BDP($C162&amp;"@CBBT Corp","YAS_BOND_YLD", "SETTLE_DT="&amp;Q$1, "YAS_BOND_PX="&amp;$N162)</f>
        <v>-0.34399999999999997</v>
      </c>
      <c r="R162" s="44" t="e">
        <f ca="1">_xll.BDP($C162&amp;"@CBBT Corp","YAS_BOND_YLD", "SETTLE_DT="&amp;R$1, "YAS_BOND_PX="&amp;$O162)</f>
        <v>#NAME?</v>
      </c>
      <c r="S162" s="44">
        <f>_xll.BDP($C162&amp;"@CBBT Corp","YAS_BOND_YLD", "SETTLE_DT="&amp;S$1, "YAS_BOND_PX="&amp;$P162)</f>
        <v>-0.36</v>
      </c>
    </row>
    <row r="163" spans="1:28">
      <c r="A163" s="46" t="str">
        <f t="shared" si="50"/>
        <v>EUR.CM_DEPTH.XLS_ANDREA.DE0001102333</v>
      </c>
      <c r="B163" s="51" t="str">
        <f>_xll.MKV("EUR.CM_INSTRUMENT.PXE."&amp;C163,B$3)</f>
        <v>DBR</v>
      </c>
      <c r="C163" s="61" t="s">
        <v>586</v>
      </c>
      <c r="D163" s="125">
        <f>_xll.MKV("EUR.CM_INSTRUMENT.PXE."&amp;C163,D$3)</f>
        <v>45337</v>
      </c>
      <c r="E163" s="58">
        <f t="shared" si="46"/>
        <v>0</v>
      </c>
      <c r="F163" s="58" t="str">
        <f t="shared" ca="1" si="47"/>
        <v>99</v>
      </c>
      <c r="G163" s="58">
        <f t="shared" si="48"/>
        <v>0.60000000000000053</v>
      </c>
      <c r="H163" s="46" t="str">
        <f>_xll.MKV_PUBLISHRECORD(A163, $H$4)</f>
        <v>OK</v>
      </c>
      <c r="I163" s="46" t="str">
        <f ca="1">_xll.MKV_SUPPLYRECORD_RANGE(A163,$B$3:$G$3,B163:G163)</f>
        <v>OK</v>
      </c>
      <c r="J163" s="34">
        <f>_xll.MKV($J$1&amp;$C163, J$3)</f>
        <v>-0.31564500000000001</v>
      </c>
      <c r="K163" s="32">
        <f>_xll.MKV($L$2&amp;$C163, K$3)</f>
        <v>-0.313</v>
      </c>
      <c r="L163" s="35">
        <f>_xll.MKV($L$2&amp;$C163, L$3)</f>
        <v>115.36724100000001</v>
      </c>
      <c r="M163" s="32">
        <f t="shared" si="49"/>
        <v>6.2410000000028276E-3</v>
      </c>
      <c r="N163" s="36">
        <f>_xll.BDH(C163&amp;"@CBBT Corp","OPEN",$N$1&amp;" 4:15:00 PM",$N$1&amp;" 5:15:00 PM","BarSz=60","BarTp=T","RecurDaily=True","TZ=London","DTS=H")</f>
        <v>115.361</v>
      </c>
      <c r="O163" s="36" t="e">
        <f ca="1">[1]!BError(_xll.BDH($C163&amp;"@CBBT Corp","OPEN",$O$1&amp;" 4:15:00 PM",$O$1&amp;" 5:15:00 PM","BarSz=60","BarTp=T","RecurDaily=True","TZ=London","DTS=H"))</f>
        <v>#NAME?</v>
      </c>
      <c r="P163" s="36">
        <f>_xll.BDH($C163&amp;"@CBBT Corp","OPEN",P$1&amp;" 4:15:00 PM",P$1&amp;" 5:15:00 PM","BarSz=60","BarTp=T","RecurDaily=True","TZ=London","DTS=H")</f>
        <v>115.592</v>
      </c>
      <c r="Q163" s="44">
        <f>_xll.BDP($C163&amp;"@CBBT Corp","YAS_BOND_YLD", "SETTLE_DT="&amp;Q$1, "YAS_BOND_PX="&amp;$N163)</f>
        <v>-0.313</v>
      </c>
      <c r="R163" s="44" t="e">
        <f ca="1">_xll.BDP($C163&amp;"@CBBT Corp","YAS_BOND_YLD", "SETTLE_DT="&amp;R$1, "YAS_BOND_PX="&amp;$O163)</f>
        <v>#NAME?</v>
      </c>
      <c r="S163" s="44">
        <f>_xll.BDP($C163&amp;"@CBBT Corp","YAS_BOND_YLD", "SETTLE_DT="&amp;S$1, "YAS_BOND_PX="&amp;$P163)</f>
        <v>-0.31900000000000001</v>
      </c>
    </row>
    <row r="164" spans="1:28">
      <c r="A164" s="46" t="str">
        <f t="shared" si="50"/>
        <v>EUR.CM_DEPTH.XLS_ANDREA.DE0001102358</v>
      </c>
      <c r="B164" s="51" t="str">
        <f>_xll.MKV("EUR.CM_INSTRUMENT.PXE."&amp;C164,B$3)</f>
        <v>DBR</v>
      </c>
      <c r="C164" s="61" t="s">
        <v>588</v>
      </c>
      <c r="D164" s="125">
        <f>_xll.MKV("EUR.CM_INSTRUMENT.PXE."&amp;C164,D$3)</f>
        <v>45427</v>
      </c>
      <c r="E164" s="58">
        <f t="shared" si="46"/>
        <v>9.9999999999994538E-2</v>
      </c>
      <c r="F164" s="58" t="str">
        <f t="shared" ca="1" si="47"/>
        <v>99</v>
      </c>
      <c r="G164" s="58">
        <f t="shared" si="48"/>
        <v>1.699999999999996</v>
      </c>
      <c r="H164" s="46" t="str">
        <f>_xll.MKV_PUBLISHRECORD(A164, $H$4)</f>
        <v>OK</v>
      </c>
      <c r="I164" s="46" t="str">
        <f ca="1">_xll.MKV_SUPPLYRECORD_RANGE(A164,$B$3:$G$3,B164:G164)</f>
        <v>OK</v>
      </c>
      <c r="J164" s="34">
        <f>_xll.MKV($J$1&amp;$C164, J$3)</f>
        <v>-0.28662300000000002</v>
      </c>
      <c r="K164" s="32">
        <f>_xll.MKV($L$2&amp;$C164, K$3)</f>
        <v>-0.28300000000000003</v>
      </c>
      <c r="L164" s="35">
        <f>_xll.MKV($L$2&amp;$C164, L$3)</f>
        <v>113.722701</v>
      </c>
      <c r="M164" s="32">
        <f t="shared" si="49"/>
        <v>9.701000000006843E-3</v>
      </c>
      <c r="N164" s="36">
        <f>_xll.BDH(C164&amp;"@CBBT Corp","OPEN",$N$1&amp;" 4:15:00 PM",$N$1&amp;" 5:15:00 PM","BarSz=60","BarTp=T","RecurDaily=True","TZ=London","DTS=H")</f>
        <v>113.71299999999999</v>
      </c>
      <c r="O164" s="36" t="e">
        <f ca="1">[1]!BError(_xll.BDH($C164&amp;"@CBBT Corp","OPEN",$O$1&amp;" 4:15:00 PM",$O$1&amp;" 5:15:00 PM","BarSz=60","BarTp=T","RecurDaily=True","TZ=London","DTS=H"))</f>
        <v>#NAME?</v>
      </c>
      <c r="P164" s="36">
        <f>_xll.BDH($C164&amp;"@CBBT Corp","OPEN",P$1&amp;" 4:15:00 PM",P$1&amp;" 5:15:00 PM","BarSz=60","BarTp=T","RecurDaily=True","TZ=London","DTS=H")</f>
        <v>114.006</v>
      </c>
      <c r="Q164" s="44">
        <f>_xll.BDP($C164&amp;"@CBBT Corp","YAS_BOND_YLD", "SETTLE_DT="&amp;Q$1, "YAS_BOND_PX="&amp;$N164)</f>
        <v>-0.28399999999999997</v>
      </c>
      <c r="R164" s="44" t="e">
        <f ca="1">_xll.BDP($C164&amp;"@CBBT Corp","YAS_BOND_YLD", "SETTLE_DT="&amp;R$1, "YAS_BOND_PX="&amp;$O164)</f>
        <v>#NAME?</v>
      </c>
      <c r="S164" s="44">
        <f>_xll.BDP($C164&amp;"@CBBT Corp","YAS_BOND_YLD", "SETTLE_DT="&amp;S$1, "YAS_BOND_PX="&amp;$P164)</f>
        <v>-0.3</v>
      </c>
    </row>
    <row r="165" spans="1:28">
      <c r="A165" s="46" t="str">
        <f t="shared" si="50"/>
        <v>EUR.CM_DEPTH.XLS_ANDREA.DE0001102366</v>
      </c>
      <c r="B165" s="51" t="str">
        <f>_xll.MKV("EUR.CM_INSTRUMENT.PXE."&amp;C165,B$3)</f>
        <v>DBR</v>
      </c>
      <c r="C165" s="61" t="s">
        <v>590</v>
      </c>
      <c r="D165" s="125">
        <f>_xll.MKV("EUR.CM_INSTRUMENT.PXE."&amp;C165,D$3)</f>
        <v>45519</v>
      </c>
      <c r="E165" s="58">
        <f t="shared" si="46"/>
        <v>0.20000000000000018</v>
      </c>
      <c r="F165" s="58" t="str">
        <f t="shared" ca="1" si="47"/>
        <v>99</v>
      </c>
      <c r="G165" s="58">
        <f t="shared" si="48"/>
        <v>1.0000000000000009</v>
      </c>
      <c r="H165" s="46" t="str">
        <f>_xll.MKV_PUBLISHRECORD(A165, $H$4)</f>
        <v>OK</v>
      </c>
      <c r="I165" s="46" t="str">
        <f ca="1">_xll.MKV_SUPPLYRECORD_RANGE(A165,$B$3:$G$3,B165:G165)</f>
        <v>OK</v>
      </c>
      <c r="J165" s="34">
        <f>_xll.MKV($J$1&amp;$C165, J$3)</f>
        <v>-0.25471500000000002</v>
      </c>
      <c r="K165" s="32">
        <f>_xll.MKV($L$2&amp;$C165, K$3)</f>
        <v>-0.25</v>
      </c>
      <c r="L165" s="35">
        <f>_xll.MKV($L$2&amp;$C165, L$3)</f>
        <v>109.946709</v>
      </c>
      <c r="M165" s="32">
        <f t="shared" si="49"/>
        <v>1.5709000000001083E-2</v>
      </c>
      <c r="N165" s="36">
        <f>_xll.BDH(C165&amp;"@CBBT Corp","OPEN",$N$1&amp;" 4:15:00 PM",$N$1&amp;" 5:15:00 PM","BarSz=60","BarTp=T","RecurDaily=True","TZ=London","DTS=H")</f>
        <v>109.931</v>
      </c>
      <c r="O165" s="36" t="e">
        <f ca="1">[1]!BError(_xll.BDH($C165&amp;"@CBBT Corp","OPEN",$O$1&amp;" 4:15:00 PM",$O$1&amp;" 5:15:00 PM","BarSz=60","BarTp=T","RecurDaily=True","TZ=London","DTS=H"))</f>
        <v>#NAME?</v>
      </c>
      <c r="P165" s="36">
        <f>_xll.BDH($C165&amp;"@CBBT Corp","OPEN",P$1&amp;" 4:15:00 PM",P$1&amp;" 5:15:00 PM","BarSz=60","BarTp=T","RecurDaily=True","TZ=London","DTS=H")</f>
        <v>110.111</v>
      </c>
      <c r="Q165" s="44">
        <f>_xll.BDP($C165&amp;"@CBBT Corp","YAS_BOND_YLD", "SETTLE_DT="&amp;Q$1, "YAS_BOND_PX="&amp;$N165)</f>
        <v>-0.252</v>
      </c>
      <c r="R165" s="44" t="e">
        <f ca="1">_xll.BDP($C165&amp;"@CBBT Corp","YAS_BOND_YLD", "SETTLE_DT="&amp;R$1, "YAS_BOND_PX="&amp;$O165)</f>
        <v>#NAME?</v>
      </c>
      <c r="S165" s="44">
        <f>_xll.BDP($C165&amp;"@CBBT Corp","YAS_BOND_YLD", "SETTLE_DT="&amp;S$1, "YAS_BOND_PX="&amp;$P165)</f>
        <v>-0.26</v>
      </c>
    </row>
    <row r="166" spans="1:28">
      <c r="A166" s="46" t="str">
        <f t="shared" si="50"/>
        <v>EUR.CM_DEPTH.XLS_ANDREA.DE0001102374</v>
      </c>
      <c r="B166" s="51" t="str">
        <f>_xll.MKV("EUR.CM_INSTRUMENT.PXE."&amp;C166,B$3)</f>
        <v>DBR</v>
      </c>
      <c r="C166" s="61" t="s">
        <v>593</v>
      </c>
      <c r="D166" s="125">
        <f>_xll.MKV("EUR.CM_INSTRUMENT.PXE."&amp;C166,D$3)</f>
        <v>45703</v>
      </c>
      <c r="E166" s="58">
        <f t="shared" si="46"/>
        <v>0.20000000000000018</v>
      </c>
      <c r="F166" s="58" t="str">
        <f t="shared" ca="1" si="47"/>
        <v>99</v>
      </c>
      <c r="G166" s="58">
        <f t="shared" si="48"/>
        <v>0.70000000000000062</v>
      </c>
      <c r="H166" s="46" t="str">
        <f>_xll.MKV_PUBLISHRECORD(A166, $H$4)</f>
        <v>OK</v>
      </c>
      <c r="I166" s="46" t="str">
        <f ca="1">_xll.MKV_SUPPLYRECORD_RANGE(A166,$B$3:$G$3,B166:G166)</f>
        <v>OK</v>
      </c>
      <c r="J166" s="34">
        <f>_xll.MKV($J$1&amp;$C166, J$3)</f>
        <v>-0.196489</v>
      </c>
      <c r="K166" s="32">
        <f>_xll.MKV($L$2&amp;$C166, K$3)</f>
        <v>-0.192</v>
      </c>
      <c r="L166" s="35">
        <f>_xll.MKV($L$2&amp;$C166, L$3)</f>
        <v>105.863579</v>
      </c>
      <c r="M166" s="32">
        <f t="shared" si="49"/>
        <v>1.6579000000007227E-2</v>
      </c>
      <c r="N166" s="36">
        <f>_xll.BDH(C166&amp;"@CBBT Corp","OPEN",$N$1&amp;" 4:15:00 PM",$N$1&amp;" 5:15:00 PM","BarSz=60","BarTp=T","RecurDaily=True","TZ=London","DTS=H")</f>
        <v>105.84699999999999</v>
      </c>
      <c r="O166" s="36" t="e">
        <f ca="1">[1]!BError(_xll.BDH($C166&amp;"@CBBT Corp","OPEN",$O$1&amp;" 4:15:00 PM",$O$1&amp;" 5:15:00 PM","BarSz=60","BarTp=T","RecurDaily=True","TZ=London","DTS=H"))</f>
        <v>#NAME?</v>
      </c>
      <c r="P166" s="36">
        <f>_xll.BDH($C166&amp;"@CBBT Corp","OPEN",P$1&amp;" 4:15:00 PM",P$1&amp;" 5:15:00 PM","BarSz=60","BarTp=T","RecurDaily=True","TZ=London","DTS=H")</f>
        <v>105.95</v>
      </c>
      <c r="Q166" s="44">
        <f>_xll.BDP($C166&amp;"@CBBT Corp","YAS_BOND_YLD", "SETTLE_DT="&amp;Q$1, "YAS_BOND_PX="&amp;$N166)</f>
        <v>-0.19400000000000001</v>
      </c>
      <c r="R166" s="44" t="e">
        <f ca="1">_xll.BDP($C166&amp;"@CBBT Corp","YAS_BOND_YLD", "SETTLE_DT="&amp;R$1, "YAS_BOND_PX="&amp;$O166)</f>
        <v>#NAME?</v>
      </c>
      <c r="S166" s="44">
        <f>_xll.BDP($C166&amp;"@CBBT Corp","YAS_BOND_YLD", "SETTLE_DT="&amp;S$1, "YAS_BOND_PX="&amp;$P166)</f>
        <v>-0.19900000000000001</v>
      </c>
      <c r="T166" s="123"/>
      <c r="U166" s="123"/>
      <c r="V166" s="123"/>
      <c r="W166" s="123">
        <v>164.17</v>
      </c>
      <c r="X166" s="123"/>
      <c r="Y166" s="123">
        <v>0.63598900000000003</v>
      </c>
      <c r="Z166" s="123">
        <f>Y166*W166</f>
        <v>104.41031413</v>
      </c>
      <c r="AA166" s="122">
        <f>_xll.BDP($C166&amp;"@CBBT Corp","YAS_BOND_YLD", "SETTLE_DT="&amp;AA$1, "YAS_BOND_PX="&amp;$Z166)</f>
        <v>-8.0000000000000002E-3</v>
      </c>
      <c r="AB166" s="181">
        <f>AA167-AA166</f>
        <v>0.40529999999999999</v>
      </c>
    </row>
    <row r="167" spans="1:28">
      <c r="A167" s="46" t="str">
        <f t="shared" si="50"/>
        <v>EUR.CM_DEPTH.XLS_ANDREA.DE0001102382</v>
      </c>
      <c r="B167" s="51" t="str">
        <f>_xll.MKV("EUR.CM_INSTRUMENT.PXE."&amp;C167,B$3)</f>
        <v>DBR</v>
      </c>
      <c r="C167" s="61" t="s">
        <v>645</v>
      </c>
      <c r="D167" s="125">
        <f>_xll.MKV("EUR.CM_INSTRUMENT.PXE."&amp;C167,D$3)</f>
        <v>45884</v>
      </c>
      <c r="E167" s="58">
        <f t="shared" si="46"/>
        <v>0.20000000000000018</v>
      </c>
      <c r="F167" s="58" t="str">
        <f t="shared" ca="1" si="47"/>
        <v>99</v>
      </c>
      <c r="G167" s="58">
        <f t="shared" si="48"/>
        <v>0.50000000000000044</v>
      </c>
      <c r="H167" s="46" t="str">
        <f>_xll.MKV_PUBLISHRECORD(A167, $H$4)</f>
        <v>OK</v>
      </c>
      <c r="I167" s="46" t="str">
        <f ca="1">_xll.MKV_SUPPLYRECORD_RANGE(A167,$B$3:$G$3,B167:G167)</f>
        <v>OK</v>
      </c>
      <c r="J167" s="34">
        <f>_xll.MKV($J$1&amp;$C167, J$3)</f>
        <v>-0.123053</v>
      </c>
      <c r="K167" s="32">
        <f>_xll.MKV($L$2&amp;$C167, K$3)</f>
        <v>-0.12</v>
      </c>
      <c r="L167" s="35">
        <f>_xll.MKV($L$2&amp;$C167, L$3)</f>
        <v>109.986374</v>
      </c>
      <c r="M167" s="32">
        <f t="shared" si="49"/>
        <v>3.3739999999937709E-3</v>
      </c>
      <c r="N167" s="36">
        <f>_xll.BDH(C167&amp;"@CBBT Corp","OPEN",$N$1&amp;" 4:15:00 PM",$N$1&amp;" 5:15:00 PM","BarSz=60","BarTp=T","RecurDaily=True","TZ=London","DTS=H")</f>
        <v>109.983</v>
      </c>
      <c r="O167" s="36" t="e">
        <f ca="1">[1]!BError(_xll.BDH($C167&amp;"@CBBT Corp","OPEN",$O$1&amp;" 4:15:00 PM",$O$1&amp;" 5:15:00 PM","BarSz=60","BarTp=T","RecurDaily=True","TZ=London","DTS=H"))</f>
        <v>#NAME?</v>
      </c>
      <c r="P167" s="36">
        <f>_xll.BDH($C167&amp;"@CBBT Corp","OPEN",P$1&amp;" 4:15:00 PM",P$1&amp;" 5:15:00 PM","BarSz=60","BarTp=T","RecurDaily=True","TZ=London","DTS=H")</f>
        <v>110.10899999999999</v>
      </c>
      <c r="Q167" s="44">
        <f>_xll.BDP($C167&amp;"@CBBT Corp","YAS_BOND_YLD", "SETTLE_DT="&amp;Q$1, "YAS_BOND_PX="&amp;$N167)</f>
        <v>-0.122</v>
      </c>
      <c r="R167" s="44" t="e">
        <f ca="1">_xll.BDP($C167&amp;"@CBBT Corp","YAS_BOND_YLD", "SETTLE_DT="&amp;R$1, "YAS_BOND_PX="&amp;$O167)</f>
        <v>#NAME?</v>
      </c>
      <c r="S167" s="44">
        <f>_xll.BDP($C167&amp;"@CBBT Corp","YAS_BOND_YLD", "SETTLE_DT="&amp;S$1, "YAS_BOND_PX="&amp;$P167)</f>
        <v>-0.125</v>
      </c>
      <c r="AA167" s="47">
        <v>0.39729999999999999</v>
      </c>
      <c r="AB167" s="181"/>
    </row>
    <row r="168" spans="1:28">
      <c r="A168" s="46" t="str">
        <f t="shared" si="50"/>
        <v>EUR.CM_DEPTH.XLS_ANDREA.DE0001102390</v>
      </c>
      <c r="B168" s="51" t="str">
        <f>_xll.MKV("EUR.CM_INSTRUMENT.PXE."&amp;C168,B$3)</f>
        <v>DBR</v>
      </c>
      <c r="C168" s="61" t="s">
        <v>672</v>
      </c>
      <c r="D168" s="125">
        <f>_xll.MKV("EUR.CM_INSTRUMENT.PXE."&amp;C168,D$3)</f>
        <v>46068</v>
      </c>
      <c r="E168" s="58">
        <f t="shared" si="46"/>
        <v>0.2999999999999996</v>
      </c>
      <c r="F168" s="58" t="str">
        <f t="shared" ca="1" si="47"/>
        <v>99</v>
      </c>
      <c r="G168" s="58">
        <f t="shared" si="48"/>
        <v>1.6999999999999995</v>
      </c>
      <c r="H168" s="46" t="str">
        <f>_xll.MKV_PUBLISHRECORD(A168, $H$4)</f>
        <v>OK</v>
      </c>
      <c r="I168" s="46" t="str">
        <f ca="1">_xll.MKV_SUPPLYRECORD_RANGE(A168,$B$3:$G$3,B168:G168)</f>
        <v>OK</v>
      </c>
      <c r="J168" s="34">
        <f>_xll.MKV($J$1&amp;$C168, J$3)</f>
        <v>-3.8346999999999999E-2</v>
      </c>
      <c r="K168" s="32">
        <f>_xll.MKV($L$2&amp;$C168, K$3)</f>
        <v>-3.5000000000000003E-2</v>
      </c>
      <c r="L168" s="35">
        <f>_xll.MKV($L$2&amp;$C168, L$3)</f>
        <v>105.039</v>
      </c>
      <c r="M168" s="32">
        <f t="shared" si="49"/>
        <v>0</v>
      </c>
      <c r="N168" s="36">
        <f>_xll.BDH(C168&amp;"@CBBT Corp","OPEN",$N$1&amp;" 4:15:00 PM",$N$1&amp;" 5:15:00 PM","BarSz=60","BarTp=T","RecurDaily=True","TZ=London","DTS=H")</f>
        <v>105.039</v>
      </c>
      <c r="O168" s="36" t="e">
        <f ca="1">[1]!BError(_xll.BDH($C168&amp;"@CBBT Corp","OPEN",$O$1&amp;" 4:15:00 PM",$O$1&amp;" 5:15:00 PM","BarSz=60","BarTp=T","RecurDaily=True","TZ=London","DTS=H"))</f>
        <v>#NAME?</v>
      </c>
      <c r="P168" s="36">
        <f>_xll.BDH($C168&amp;"@CBBT Corp","OPEN",P$1&amp;" 4:15:00 PM",P$1&amp;" 5:15:00 PM","BarSz=60","BarTp=T","RecurDaily=True","TZ=London","DTS=H")</f>
        <v>105.223</v>
      </c>
      <c r="Q168" s="44">
        <f>_xll.BDP($C168&amp;"@CBBT Corp","YAS_BOND_YLD", "SETTLE_DT="&amp;Q$1, "YAS_BOND_PX="&amp;$N168)</f>
        <v>-3.7999999999999999E-2</v>
      </c>
      <c r="R168" s="44" t="e">
        <f ca="1">_xll.BDP($C168&amp;"@CBBT Corp","YAS_BOND_YLD", "SETTLE_DT="&amp;R$1, "YAS_BOND_PX="&amp;$O168)</f>
        <v>#NAME?</v>
      </c>
      <c r="S168" s="44">
        <f>_xll.BDP($C168&amp;"@CBBT Corp","YAS_BOND_YLD", "SETTLE_DT="&amp;S$1, "YAS_BOND_PX="&amp;$P168)</f>
        <v>-5.1999999999999998E-2</v>
      </c>
    </row>
    <row r="169" spans="1:28">
      <c r="A169" s="46" t="str">
        <f>$A$4 &amp; ".CM_DEPTH."&amp; $H$4 &amp; "." &amp; C169</f>
        <v>EUR.CM_DEPTH.XLS_ANDREA.DE0001102408</v>
      </c>
      <c r="B169" s="51" t="str">
        <f>_xll.MKV("EUR.CM_INSTRUMENT.PXE."&amp;C169,B$3)</f>
        <v>DBR</v>
      </c>
      <c r="C169" s="61" t="s">
        <v>734</v>
      </c>
      <c r="D169" s="125">
        <f>_xll.MKV("EUR.CM_INSTRUMENT.PXE."&amp;C169,D$3)</f>
        <v>46249</v>
      </c>
      <c r="E169" s="58">
        <f>IFERROR(($K169-Q169)*100,"99")</f>
        <v>0.2999999999999996</v>
      </c>
      <c r="F169" s="58" t="str">
        <f ca="1">IFERROR(($K169-R169)*100,"99")</f>
        <v>99</v>
      </c>
      <c r="G169" s="58">
        <f>IFERROR(($K169-S169)*100,"99")</f>
        <v>2.2999999999999998</v>
      </c>
      <c r="H169" s="46" t="str">
        <f>_xll.MKV_PUBLISHRECORD(A169, $H$4)</f>
        <v>OK</v>
      </c>
      <c r="I169" s="46" t="str">
        <f ca="1">_xll.MKV_SUPPLYRECORD_RANGE(A169,$B$3:$G$3,B169:G169)</f>
        <v>OK</v>
      </c>
      <c r="J169" s="34">
        <f>_xll.MKV($J$1&amp;$C169, J$3)</f>
        <v>3.5133999999999999E-2</v>
      </c>
      <c r="K169" s="32">
        <f>_xll.MKV($L$2&amp;$C169, K$3)</f>
        <v>3.7999999999999999E-2</v>
      </c>
      <c r="L169" s="35">
        <f>_xll.MKV($L$2&amp;$C169, L$3)</f>
        <v>99.655000000000001</v>
      </c>
      <c r="M169" s="32">
        <f>L169-N169</f>
        <v>1.9999999999953388E-3</v>
      </c>
      <c r="N169" s="36">
        <f>_xll.BDH(C169&amp;"@CBBT Corp","OPEN",$N$1&amp;" 4:15:00 PM",$N$1&amp;" 5:15:00 PM","BarSz=60","BarTp=T","RecurDaily=True","TZ=London","DTS=H")</f>
        <v>99.653000000000006</v>
      </c>
      <c r="O169" s="36" t="e">
        <f ca="1">[1]!BError(_xll.BDH($C169&amp;"@CBBT Corp","OPEN",$O$1&amp;" 4:15:00 PM",$O$1&amp;" 5:15:00 PM","BarSz=60","BarTp=T","RecurDaily=True","TZ=London","DTS=H"))</f>
        <v>#NAME?</v>
      </c>
      <c r="P169" s="36">
        <f>_xll.BDH($C169&amp;"@CBBT Corp","OPEN",P$1&amp;" 4:15:00 PM",P$1&amp;" 5:15:00 PM","BarSz=60","BarTp=T","RecurDaily=True","TZ=London","DTS=H")</f>
        <v>99.852000000000004</v>
      </c>
      <c r="Q169" s="44">
        <f>_xll.BDP($C169&amp;"@CBBT Corp","YAS_BOND_YLD", "SETTLE_DT="&amp;Q$1, "YAS_BOND_PX="&amp;$N169)</f>
        <v>3.5000000000000003E-2</v>
      </c>
      <c r="R169" s="44" t="e">
        <f ca="1">_xll.BDP($C169&amp;"@CBBT Corp","YAS_BOND_YLD", "SETTLE_DT="&amp;R$1, "YAS_BOND_PX="&amp;$O169)</f>
        <v>#NAME?</v>
      </c>
      <c r="S169" s="44">
        <f>_xll.BDP($C169&amp;"@CBBT Corp","YAS_BOND_YLD", "SETTLE_DT="&amp;S$1, "YAS_BOND_PX="&amp;$P169)</f>
        <v>1.4999999999999999E-2</v>
      </c>
    </row>
    <row r="170" spans="1:28">
      <c r="A170" s="46" t="str">
        <f t="shared" si="50"/>
        <v>EUR.CM_DEPTH.XLS_ANDREA.DE0001135044</v>
      </c>
      <c r="B170" s="51" t="str">
        <f>_xll.MKV("EUR.CM_INSTRUMENT.PXE."&amp;C170,B$3)</f>
        <v>DBR</v>
      </c>
      <c r="C170" s="61" t="s">
        <v>601</v>
      </c>
      <c r="D170" s="125">
        <f>_xll.MKV("EUR.CM_INSTRUMENT.PXE."&amp;C170,D$3)</f>
        <v>46572</v>
      </c>
      <c r="E170" s="58">
        <f t="shared" si="46"/>
        <v>-0.20000000000000018</v>
      </c>
      <c r="F170" s="58" t="str">
        <f t="shared" ca="1" si="47"/>
        <v>99</v>
      </c>
      <c r="G170" s="58">
        <f t="shared" si="48"/>
        <v>0.29999999999999993</v>
      </c>
      <c r="H170" s="46" t="str">
        <f>_xll.MKV_PUBLISHRECORD(A170, $H$4)</f>
        <v>OK</v>
      </c>
      <c r="I170" s="46" t="str">
        <f ca="1">_xll.MKV_SUPPLYRECORD_RANGE(A170,$B$3:$G$3,B170:G170)</f>
        <v>OK</v>
      </c>
      <c r="J170" s="34">
        <f>_xll.MKV($J$1&amp;$C170, J$3)</f>
        <v>-2.2221999999999999E-2</v>
      </c>
      <c r="K170" s="32">
        <f>_xll.MKV($L$2&amp;$C170, K$3)</f>
        <v>-2.1000000000000001E-2</v>
      </c>
      <c r="L170" s="35">
        <f>_xll.MKV($L$2&amp;$C170, L$3)</f>
        <v>170.03100000000001</v>
      </c>
      <c r="M170" s="32">
        <f t="shared" si="49"/>
        <v>4.9999999999954525E-3</v>
      </c>
      <c r="N170" s="36">
        <f>_xll.BDH(C170&amp;"@CBBT Corp","OPEN",$N$1&amp;" 4:15:00 PM",$N$1&amp;" 5:15:00 PM","BarSz=60","BarTp=T","RecurDaily=True","TZ=London","DTS=H")</f>
        <v>170.02600000000001</v>
      </c>
      <c r="O170" s="36" t="e">
        <f ca="1">[1]!BError(_xll.BDH($C170&amp;"@CBBT Corp","OPEN",$O$1&amp;" 4:15:00 PM",$O$1&amp;" 5:15:00 PM","BarSz=60","BarTp=T","RecurDaily=True","TZ=London","DTS=H"))</f>
        <v>#NAME?</v>
      </c>
      <c r="P170" s="36">
        <f>_xll.BDH($C170&amp;"@CBBT Corp","OPEN",P$1&amp;" 4:15:00 PM",P$1&amp;" 5:15:00 PM","BarSz=60","BarTp=T","RecurDaily=True","TZ=London","DTS=H")</f>
        <v>170.672</v>
      </c>
      <c r="Q170" s="44">
        <f>_xll.BDP($C170&amp;"@CBBT Corp","YAS_BOND_YLD", "SETTLE_DT="&amp;Q$1, "YAS_BOND_PX="&amp;$N170)</f>
        <v>-1.9E-2</v>
      </c>
      <c r="R170" s="44" t="e">
        <f ca="1">_xll.BDP($C170&amp;"@CBBT Corp","YAS_BOND_YLD", "SETTLE_DT="&amp;R$1, "YAS_BOND_PX="&amp;$O170)</f>
        <v>#NAME?</v>
      </c>
      <c r="S170" s="44">
        <f>_xll.BDP($C170&amp;"@CBBT Corp","YAS_BOND_YLD", "SETTLE_DT="&amp;S$1, "YAS_BOND_PX="&amp;$P170)</f>
        <v>-2.4E-2</v>
      </c>
    </row>
    <row r="171" spans="1:28">
      <c r="A171" s="46" t="str">
        <f t="shared" si="50"/>
        <v>EUR.CM_DEPTH.XLS_ANDREA.DE0001135069</v>
      </c>
      <c r="B171" s="51" t="str">
        <f>_xll.MKV("EUR.CM_INSTRUMENT.PXE."&amp;C171,B$3)</f>
        <v>DBR</v>
      </c>
      <c r="C171" s="61" t="s">
        <v>603</v>
      </c>
      <c r="D171" s="125">
        <f>_xll.MKV("EUR.CM_INSTRUMENT.PXE."&amp;C171,D$3)</f>
        <v>46756</v>
      </c>
      <c r="E171" s="58">
        <f t="shared" si="46"/>
        <v>-9.9999999999999922E-2</v>
      </c>
      <c r="F171" s="58" t="str">
        <f t="shared" ca="1" si="47"/>
        <v>99</v>
      </c>
      <c r="G171" s="58">
        <f t="shared" si="48"/>
        <v>0.3</v>
      </c>
      <c r="H171" s="46" t="str">
        <f>_xll.MKV_PUBLISHRECORD(A171, $H$4)</f>
        <v>OK</v>
      </c>
      <c r="I171" s="46" t="str">
        <f ca="1">_xll.MKV_SUPPLYRECORD_RANGE(A171,$B$3:$G$3,B171:G171)</f>
        <v>OK</v>
      </c>
      <c r="J171" s="34">
        <f>_xll.MKV($J$1&amp;$C171, J$3)</f>
        <v>5.6750000000000004E-3</v>
      </c>
      <c r="K171" s="32">
        <f>_xll.MKV($L$2&amp;$C171, K$3)</f>
        <v>8.0000000000000002E-3</v>
      </c>
      <c r="L171" s="35">
        <f>_xll.MKV($L$2&amp;$C171, L$3)</f>
        <v>163.065</v>
      </c>
      <c r="M171" s="32">
        <f t="shared" si="49"/>
        <v>1.300000000000523E-2</v>
      </c>
      <c r="N171" s="36">
        <f>_xll.BDH(C171&amp;"@CBBT Corp","OPEN",$N$1&amp;" 4:15:00 PM",$N$1&amp;" 5:15:00 PM","BarSz=60","BarTp=T","RecurDaily=True","TZ=London","DTS=H")</f>
        <v>163.05199999999999</v>
      </c>
      <c r="O171" s="36" t="e">
        <f ca="1">[1]!BError(_xll.BDH($C171&amp;"@CBBT Corp","OPEN",$O$1&amp;" 4:15:00 PM",$O$1&amp;" 5:15:00 PM","BarSz=60","BarTp=T","RecurDaily=True","TZ=London","DTS=H"))</f>
        <v>#NAME?</v>
      </c>
      <c r="P171" s="36">
        <f>_xll.BDH($C171&amp;"@CBBT Corp","OPEN",P$1&amp;" 4:15:00 PM",P$1&amp;" 5:15:00 PM","BarSz=60","BarTp=T","RecurDaily=True","TZ=London","DTS=H")</f>
        <v>163.59200000000001</v>
      </c>
      <c r="Q171" s="44">
        <f>_xll.BDP($C171&amp;"@CBBT Corp","YAS_BOND_YLD", "SETTLE_DT="&amp;Q$1, "YAS_BOND_PX="&amp;$N171)</f>
        <v>8.9999999999999993E-3</v>
      </c>
      <c r="R171" s="44" t="e">
        <f ca="1">_xll.BDP($C171&amp;"@CBBT Corp","YAS_BOND_YLD", "SETTLE_DT="&amp;R$1, "YAS_BOND_PX="&amp;$O171)</f>
        <v>#NAME?</v>
      </c>
      <c r="S171" s="44">
        <f>_xll.BDP($C171&amp;"@CBBT Corp","YAS_BOND_YLD", "SETTLE_DT="&amp;S$1, "YAS_BOND_PX="&amp;$P171)</f>
        <v>5.0000000000000001E-3</v>
      </c>
    </row>
    <row r="172" spans="1:28">
      <c r="A172" s="46" t="str">
        <f t="shared" si="50"/>
        <v>EUR.CM_DEPTH.XLS_ANDREA.DE0001135085</v>
      </c>
      <c r="B172" s="51" t="str">
        <f>_xll.MKV("EUR.CM_INSTRUMENT.PXE."&amp;C172,B$3)</f>
        <v>DBR</v>
      </c>
      <c r="C172" s="61" t="s">
        <v>604</v>
      </c>
      <c r="D172" s="125">
        <f>_xll.MKV("EUR.CM_INSTRUMENT.PXE."&amp;C172,D$3)</f>
        <v>46938</v>
      </c>
      <c r="E172" s="58">
        <f t="shared" si="46"/>
        <v>-0.10000000000000009</v>
      </c>
      <c r="F172" s="58" t="str">
        <f t="shared" ca="1" si="47"/>
        <v>99</v>
      </c>
      <c r="G172" s="58">
        <f t="shared" si="48"/>
        <v>-0.10000000000000009</v>
      </c>
      <c r="H172" s="46" t="str">
        <f>_xll.MKV_PUBLISHRECORD(A172, $H$4)</f>
        <v>OK</v>
      </c>
      <c r="I172" s="46" t="str">
        <f ca="1">_xll.MKV_SUPPLYRECORD_RANGE(A172,$B$3:$G$3,B172:G172)</f>
        <v>OK</v>
      </c>
      <c r="J172" s="34">
        <f>_xll.MKV($J$1&amp;$C172, J$3)</f>
        <v>3.8962999999999998E-2</v>
      </c>
      <c r="K172" s="32">
        <f>_xll.MKV($L$2&amp;$C172, K$3)</f>
        <v>0.04</v>
      </c>
      <c r="L172" s="35">
        <f>_xll.MKV($L$2&amp;$C172, L$3)</f>
        <v>155.09200000000001</v>
      </c>
      <c r="M172" s="32">
        <f t="shared" si="49"/>
        <v>6.0000000000002274E-3</v>
      </c>
      <c r="N172" s="36">
        <f>_xll.BDH(C172&amp;"@CBBT Corp","OPEN",$N$1&amp;" 4:15:00 PM",$N$1&amp;" 5:15:00 PM","BarSz=60","BarTp=T","RecurDaily=True","TZ=London","DTS=H")</f>
        <v>155.08600000000001</v>
      </c>
      <c r="O172" s="36" t="e">
        <f ca="1">[1]!BError(_xll.BDH($C172&amp;"@CBBT Corp","OPEN",$O$1&amp;" 4:15:00 PM",$O$1&amp;" 5:15:00 PM","BarSz=60","BarTp=T","RecurDaily=True","TZ=London","DTS=H"))</f>
        <v>#NAME?</v>
      </c>
      <c r="P172" s="36">
        <f>_xll.BDH($C172&amp;"@CBBT Corp","OPEN",P$1&amp;" 4:15:00 PM",P$1&amp;" 5:15:00 PM","BarSz=60","BarTp=T","RecurDaily=True","TZ=London","DTS=H")</f>
        <v>155.5</v>
      </c>
      <c r="Q172" s="44">
        <f>_xll.BDP($C172&amp;"@CBBT Corp","YAS_BOND_YLD", "SETTLE_DT="&amp;Q$1, "YAS_BOND_PX="&amp;$N172)</f>
        <v>4.1000000000000002E-2</v>
      </c>
      <c r="R172" s="44" t="e">
        <f ca="1">_xll.BDP($C172&amp;"@CBBT Corp","YAS_BOND_YLD", "SETTLE_DT="&amp;R$1, "YAS_BOND_PX="&amp;$O172)</f>
        <v>#NAME?</v>
      </c>
      <c r="S172" s="44">
        <f>_xll.BDP($C172&amp;"@CBBT Corp","YAS_BOND_YLD", "SETTLE_DT="&amp;S$1, "YAS_BOND_PX="&amp;$P172)</f>
        <v>4.1000000000000002E-2</v>
      </c>
    </row>
    <row r="173" spans="1:28">
      <c r="A173" s="46" t="str">
        <f t="shared" si="50"/>
        <v>EUR.CM_DEPTH.XLS_ANDREA.DE0001135143</v>
      </c>
      <c r="B173" s="51" t="str">
        <f>_xll.MKV("EUR.CM_INSTRUMENT.PXE."&amp;C173,B$3)</f>
        <v>DBR</v>
      </c>
      <c r="C173" s="61" t="s">
        <v>607</v>
      </c>
      <c r="D173" s="125">
        <f>_xll.MKV("EUR.CM_INSTRUMENT.PXE."&amp;C173,D$3)</f>
        <v>47487</v>
      </c>
      <c r="E173" s="58">
        <f t="shared" si="46"/>
        <v>-0.30000000000000027</v>
      </c>
      <c r="F173" s="58" t="str">
        <f t="shared" ca="1" si="47"/>
        <v>99</v>
      </c>
      <c r="G173" s="58">
        <f t="shared" si="48"/>
        <v>-0.30000000000000027</v>
      </c>
      <c r="H173" s="46" t="str">
        <f>_xll.MKV_PUBLISHRECORD(A173, $H$4)</f>
        <v>OK</v>
      </c>
      <c r="I173" s="46" t="str">
        <f ca="1">_xll.MKV_SUPPLYRECORD_RANGE(A173,$B$3:$G$3,B173:G173)</f>
        <v>OK</v>
      </c>
      <c r="J173" s="34">
        <f>_xll.MKV($J$1&amp;$C173, J$3)</f>
        <v>7.3829000000000006E-2</v>
      </c>
      <c r="K173" s="32">
        <f>_xll.MKV($L$2&amp;$C173, K$3)</f>
        <v>7.2999999999999995E-2</v>
      </c>
      <c r="L173" s="35">
        <f>_xll.MKV($L$2&amp;$C173, L$3)</f>
        <v>181.26300000000001</v>
      </c>
      <c r="M173" s="32">
        <f t="shared" si="49"/>
        <v>3.0000000000143245E-3</v>
      </c>
      <c r="N173" s="36">
        <f>_xll.BDH(C173&amp;"@CBBT Corp","OPEN",$N$1&amp;" 4:15:00 PM",$N$1&amp;" 5:15:00 PM","BarSz=60","BarTp=T","RecurDaily=True","TZ=London","DTS=H")</f>
        <v>181.26</v>
      </c>
      <c r="O173" s="36" t="e">
        <f ca="1">[1]!BError(_xll.BDH($C173&amp;"@CBBT Corp","OPEN",$O$1&amp;" 4:15:00 PM",$O$1&amp;" 5:15:00 PM","BarSz=60","BarTp=T","RecurDaily=True","TZ=London","DTS=H"))</f>
        <v>#NAME?</v>
      </c>
      <c r="P173" s="36">
        <f>_xll.BDH($C173&amp;"@CBBT Corp","OPEN",P$1&amp;" 4:15:00 PM",P$1&amp;" 5:15:00 PM","BarSz=60","BarTp=T","RecurDaily=True","TZ=London","DTS=H")</f>
        <v>181.78800000000001</v>
      </c>
      <c r="Q173" s="44">
        <f>_xll.BDP($C173&amp;"@CBBT Corp","YAS_BOND_YLD", "SETTLE_DT="&amp;Q$1, "YAS_BOND_PX="&amp;$N173)</f>
        <v>7.5999999999999998E-2</v>
      </c>
      <c r="R173" s="44" t="e">
        <f ca="1">_xll.BDP($C173&amp;"@CBBT Corp","YAS_BOND_YLD", "SETTLE_DT="&amp;R$1, "YAS_BOND_PX="&amp;$O173)</f>
        <v>#NAME?</v>
      </c>
      <c r="S173" s="44">
        <f>_xll.BDP($C173&amp;"@CBBT Corp","YAS_BOND_YLD", "SETTLE_DT="&amp;S$1, "YAS_BOND_PX="&amp;$P173)</f>
        <v>7.5999999999999998E-2</v>
      </c>
    </row>
    <row r="174" spans="1:28">
      <c r="A174" s="46" t="str">
        <f t="shared" si="50"/>
        <v>EUR.CM_DEPTH.XLS_ANDREA.DE0001135176</v>
      </c>
      <c r="B174" s="51" t="str">
        <f>_xll.MKV("EUR.CM_INSTRUMENT.PXE."&amp;C174,B$3)</f>
        <v>DBR</v>
      </c>
      <c r="C174" s="61" t="s">
        <v>611</v>
      </c>
      <c r="D174" s="125">
        <f>_xll.MKV("EUR.CM_INSTRUMENT.PXE."&amp;C174,D$3)</f>
        <v>47852</v>
      </c>
      <c r="E174" s="58">
        <f t="shared" si="46"/>
        <v>-0.29999999999999749</v>
      </c>
      <c r="F174" s="58" t="str">
        <f t="shared" ca="1" si="47"/>
        <v>99</v>
      </c>
      <c r="G174" s="58">
        <f t="shared" si="48"/>
        <v>-0.59999999999999776</v>
      </c>
      <c r="H174" s="46" t="str">
        <f>_xll.MKV_PUBLISHRECORD(A174, $H$4)</f>
        <v>OK</v>
      </c>
      <c r="I174" s="46" t="str">
        <f ca="1">_xll.MKV_SUPPLYRECORD_RANGE(A174,$B$3:$G$3,B174:G174)</f>
        <v>OK</v>
      </c>
      <c r="J174" s="34">
        <f>_xll.MKV($J$1&amp;$C174, J$3)</f>
        <v>0.176872</v>
      </c>
      <c r="K174" s="32">
        <f>_xll.MKV($L$2&amp;$C174, K$3)</f>
        <v>0.17500000000000002</v>
      </c>
      <c r="L174" s="35">
        <f>_xll.MKV($L$2&amp;$C174, L$3)</f>
        <v>174.72</v>
      </c>
      <c r="M174" s="32">
        <f t="shared" si="49"/>
        <v>1.0000000000047748E-3</v>
      </c>
      <c r="N174" s="36">
        <f>_xll.BDH(C174&amp;"@CBBT Corp","OPEN",$N$1&amp;" 4:15:00 PM",$N$1&amp;" 5:15:00 PM","BarSz=60","BarTp=T","RecurDaily=True","TZ=London","DTS=H")</f>
        <v>174.71899999999999</v>
      </c>
      <c r="O174" s="36" t="e">
        <f ca="1">[1]!BError(_xll.BDH($C174&amp;"@CBBT Corp","OPEN",$O$1&amp;" 4:15:00 PM",$O$1&amp;" 5:15:00 PM","BarSz=60","BarTp=T","RecurDaily=True","TZ=London","DTS=H"))</f>
        <v>#NAME?</v>
      </c>
      <c r="P174" s="36">
        <f>_xll.BDH($C174&amp;"@CBBT Corp","OPEN",P$1&amp;" 4:15:00 PM",P$1&amp;" 5:15:00 PM","BarSz=60","BarTp=T","RecurDaily=True","TZ=London","DTS=H")</f>
        <v>175.12</v>
      </c>
      <c r="Q174" s="44">
        <f>_xll.BDP($C174&amp;"@CBBT Corp","YAS_BOND_YLD", "SETTLE_DT="&amp;Q$1, "YAS_BOND_PX="&amp;$N174)</f>
        <v>0.17799999999999999</v>
      </c>
      <c r="R174" s="44" t="e">
        <f ca="1">_xll.BDP($C174&amp;"@CBBT Corp","YAS_BOND_YLD", "SETTLE_DT="&amp;R$1, "YAS_BOND_PX="&amp;$O174)</f>
        <v>#NAME?</v>
      </c>
      <c r="S174" s="44">
        <f>_xll.BDP($C174&amp;"@CBBT Corp","YAS_BOND_YLD", "SETTLE_DT="&amp;S$1, "YAS_BOND_PX="&amp;$P174)</f>
        <v>0.18099999999999999</v>
      </c>
    </row>
    <row r="175" spans="1:28">
      <c r="A175" s="46" t="str">
        <f t="shared" si="50"/>
        <v>EUR.CM_DEPTH.XLS_ANDREA.DE0001135226</v>
      </c>
      <c r="B175" s="51" t="str">
        <f>_xll.MKV("EUR.CM_INSTRUMENT.PXE."&amp;C175,B$3)</f>
        <v>DBR</v>
      </c>
      <c r="C175" s="61" t="s">
        <v>614</v>
      </c>
      <c r="D175" s="125">
        <f>_xll.MKV("EUR.CM_INSTRUMENT.PXE."&amp;C175,D$3)</f>
        <v>49129</v>
      </c>
      <c r="E175" s="58">
        <f t="shared" si="46"/>
        <v>-0.50000000000000044</v>
      </c>
      <c r="F175" s="58" t="str">
        <f t="shared" ca="1" si="47"/>
        <v>99</v>
      </c>
      <c r="G175" s="58">
        <f t="shared" si="48"/>
        <v>0.40000000000000036</v>
      </c>
      <c r="H175" s="46" t="str">
        <f>_xll.MKV_PUBLISHRECORD(A175, $H$4)</f>
        <v>OK</v>
      </c>
      <c r="I175" s="46" t="str">
        <f ca="1">_xll.MKV_SUPPLYRECORD_RANGE(A175,$B$3:$G$3,B175:G175)</f>
        <v>OK</v>
      </c>
      <c r="J175" s="34">
        <f>_xll.MKV($J$1&amp;$C175, J$3)</f>
        <v>0.309589</v>
      </c>
      <c r="K175" s="32">
        <f>_xll.MKV($L$2&amp;$C175, K$3)</f>
        <v>0.307</v>
      </c>
      <c r="L175" s="35">
        <f>_xll.MKV($L$2&amp;$C175, L$3)</f>
        <v>176.46199999999999</v>
      </c>
      <c r="M175" s="32">
        <f t="shared" si="49"/>
        <v>2.7999999999991587E-2</v>
      </c>
      <c r="N175" s="36">
        <f>_xll.BDH(C175&amp;"@CBBT Corp","OPEN",$N$1&amp;" 4:15:00 PM",$N$1&amp;" 5:15:00 PM","BarSz=60","BarTp=T","RecurDaily=True","TZ=London","DTS=H")</f>
        <v>176.434</v>
      </c>
      <c r="O175" s="36" t="e">
        <f ca="1">[1]!BError(_xll.BDH($C175&amp;"@CBBT Corp","OPEN",$O$1&amp;" 4:15:00 PM",$O$1&amp;" 5:15:00 PM","BarSz=60","BarTp=T","RecurDaily=True","TZ=London","DTS=H"))</f>
        <v>#NAME?</v>
      </c>
      <c r="P175" s="36">
        <f>_xll.BDH($C175&amp;"@CBBT Corp","OPEN",P$1&amp;" 4:15:00 PM",P$1&amp;" 5:15:00 PM","BarSz=60","BarTp=T","RecurDaily=True","TZ=London","DTS=H")</f>
        <v>177.024</v>
      </c>
      <c r="Q175" s="44">
        <f>_xll.BDP($C175&amp;"@CBBT Corp","YAS_BOND_YLD", "SETTLE_DT="&amp;Q$1, "YAS_BOND_PX="&amp;$N175)</f>
        <v>0.312</v>
      </c>
      <c r="R175" s="44" t="e">
        <f ca="1">_xll.BDP($C175&amp;"@CBBT Corp","YAS_BOND_YLD", "SETTLE_DT="&amp;R$1, "YAS_BOND_PX="&amp;$O175)</f>
        <v>#NAME?</v>
      </c>
      <c r="S175" s="44">
        <f>_xll.BDP($C175&amp;"@CBBT Corp","YAS_BOND_YLD", "SETTLE_DT="&amp;S$1, "YAS_BOND_PX="&amp;$P175)</f>
        <v>0.30299999999999999</v>
      </c>
    </row>
    <row r="176" spans="1:28">
      <c r="A176" s="46" t="str">
        <f t="shared" si="50"/>
        <v>EUR.CM_DEPTH.XLS_ANDREA.DE0001135275</v>
      </c>
      <c r="B176" s="51" t="str">
        <f>_xll.MKV("EUR.CM_INSTRUMENT.PXE."&amp;C176,B$3)</f>
        <v>DBR</v>
      </c>
      <c r="C176" s="61" t="s">
        <v>616</v>
      </c>
      <c r="D176" s="125">
        <f>_xll.MKV("EUR.CM_INSTRUMENT.PXE."&amp;C176,D$3)</f>
        <v>50044</v>
      </c>
      <c r="E176" s="58">
        <f t="shared" si="46"/>
        <v>-0.60000000000000053</v>
      </c>
      <c r="F176" s="58" t="str">
        <f t="shared" ca="1" si="47"/>
        <v>99</v>
      </c>
      <c r="G176" s="58">
        <f t="shared" si="48"/>
        <v>1.799999999999996</v>
      </c>
      <c r="H176" s="46" t="str">
        <f>_xll.MKV_PUBLISHRECORD(A176, $H$4)</f>
        <v>OK</v>
      </c>
      <c r="I176" s="46" t="str">
        <f ca="1">_xll.MKV_SUPPLYRECORD_RANGE(A176,$B$3:$G$3,B176:G176)</f>
        <v>OK</v>
      </c>
      <c r="J176" s="34">
        <f>_xll.MKV($J$1&amp;$C176, J$3)</f>
        <v>0.42732599999999998</v>
      </c>
      <c r="K176" s="32">
        <f>_xll.MKV($L$2&amp;$C176, K$3)</f>
        <v>0.42299999999999999</v>
      </c>
      <c r="L176" s="35">
        <f>_xll.MKV($L$2&amp;$C176, L$3)</f>
        <v>169.08600000000001</v>
      </c>
      <c r="M176" s="32">
        <f t="shared" si="49"/>
        <v>1.4000000000010004E-2</v>
      </c>
      <c r="N176" s="36">
        <f>_xll.BDH(C176&amp;"@CBBT Corp","OPEN",$N$1&amp;" 4:15:00 PM",$N$1&amp;" 5:15:00 PM","BarSz=60","BarTp=T","RecurDaily=True","TZ=London","DTS=H")</f>
        <v>169.072</v>
      </c>
      <c r="O176" s="36" t="e">
        <f ca="1">[1]!BError(_xll.BDH($C176&amp;"@CBBT Corp","OPEN",$O$1&amp;" 4:15:00 PM",$O$1&amp;" 5:15:00 PM","BarSz=60","BarTp=T","RecurDaily=True","TZ=London","DTS=H"))</f>
        <v>#NAME?</v>
      </c>
      <c r="P176" s="36">
        <f>_xll.BDH($C176&amp;"@CBBT Corp","OPEN",P$1&amp;" 4:15:00 PM",P$1&amp;" 5:15:00 PM","BarSz=60","BarTp=T","RecurDaily=True","TZ=London","DTS=H")</f>
        <v>169.98500000000001</v>
      </c>
      <c r="Q176" s="44">
        <f>_xll.BDP($C176&amp;"@CBBT Corp","YAS_BOND_YLD", "SETTLE_DT="&amp;Q$1, "YAS_BOND_PX="&amp;$N176)</f>
        <v>0.42899999999999999</v>
      </c>
      <c r="R176" s="44" t="e">
        <f ca="1">_xll.BDP($C176&amp;"@CBBT Corp","YAS_BOND_YLD", "SETTLE_DT="&amp;R$1, "YAS_BOND_PX="&amp;$O176)</f>
        <v>#NAME?</v>
      </c>
      <c r="S176" s="44">
        <f>_xll.BDP($C176&amp;"@CBBT Corp","YAS_BOND_YLD", "SETTLE_DT="&amp;S$1, "YAS_BOND_PX="&amp;$P176)</f>
        <v>0.40500000000000003</v>
      </c>
    </row>
    <row r="177" spans="1:19">
      <c r="A177" s="46" t="str">
        <f t="shared" si="50"/>
        <v>EUR.CM_DEPTH.XLS_ANDREA.DE0001135325</v>
      </c>
      <c r="B177" s="51" t="str">
        <f>_xll.MKV("EUR.CM_INSTRUMENT.PXE."&amp;C177,B$3)</f>
        <v>DBR</v>
      </c>
      <c r="C177" s="61" t="s">
        <v>620</v>
      </c>
      <c r="D177" s="125">
        <f>_xll.MKV("EUR.CM_INSTRUMENT.PXE."&amp;C177,D$3)</f>
        <v>50955</v>
      </c>
      <c r="E177" s="58">
        <f t="shared" si="46"/>
        <v>-0.70000000000000062</v>
      </c>
      <c r="F177" s="58" t="str">
        <f t="shared" ca="1" si="47"/>
        <v>99</v>
      </c>
      <c r="G177" s="58">
        <f t="shared" si="48"/>
        <v>2.7000000000000024</v>
      </c>
      <c r="H177" s="46" t="str">
        <f>_xll.MKV_PUBLISHRECORD(A177, $H$4)</f>
        <v>OK</v>
      </c>
      <c r="I177" s="46" t="str">
        <f ca="1">_xll.MKV_SUPPLYRECORD_RANGE(A177,$B$3:$G$3,B177:G177)</f>
        <v>OK</v>
      </c>
      <c r="J177" s="34">
        <f>_xll.MKV($J$1&amp;$C177, J$3)</f>
        <v>0.50677399999999995</v>
      </c>
      <c r="K177" s="32">
        <f>_xll.MKV($L$2&amp;$C177, K$3)</f>
        <v>0.501</v>
      </c>
      <c r="L177" s="35">
        <f>_xll.MKV($L$2&amp;$C177, L$3)</f>
        <v>180.15</v>
      </c>
      <c r="M177" s="32">
        <f t="shared" si="49"/>
        <v>6.0000000000002274E-3</v>
      </c>
      <c r="N177" s="36">
        <f>_xll.BDH(C177&amp;"@CBBT Corp","OPEN",$N$1&amp;" 4:15:00 PM",$N$1&amp;" 5:15:00 PM","BarSz=60","BarTp=T","RecurDaily=True","TZ=London","DTS=H")</f>
        <v>180.14400000000001</v>
      </c>
      <c r="O177" s="36" t="e">
        <f ca="1">[1]!BError(_xll.BDH($C177&amp;"@CBBT Corp","OPEN",$O$1&amp;" 4:15:00 PM",$O$1&amp;" 5:15:00 PM","BarSz=60","BarTp=T","RecurDaily=True","TZ=London","DTS=H"))</f>
        <v>#NAME?</v>
      </c>
      <c r="P177" s="36">
        <f>_xll.BDH($C177&amp;"@CBBT Corp","OPEN",P$1&amp;" 4:15:00 PM",P$1&amp;" 5:15:00 PM","BarSz=60","BarTp=T","RecurDaily=True","TZ=London","DTS=H")</f>
        <v>181.48</v>
      </c>
      <c r="Q177" s="44">
        <f>_xll.BDP($C177&amp;"@CBBT Corp","YAS_BOND_YLD", "SETTLE_DT="&amp;Q$1, "YAS_BOND_PX="&amp;$N177)</f>
        <v>0.50800000000000001</v>
      </c>
      <c r="R177" s="44" t="e">
        <f ca="1">_xll.BDP($C177&amp;"@CBBT Corp","YAS_BOND_YLD", "SETTLE_DT="&amp;R$1, "YAS_BOND_PX="&amp;$O177)</f>
        <v>#NAME?</v>
      </c>
      <c r="S177" s="44">
        <f>_xll.BDP($C177&amp;"@CBBT Corp","YAS_BOND_YLD", "SETTLE_DT="&amp;S$1, "YAS_BOND_PX="&amp;$P177)</f>
        <v>0.47399999999999998</v>
      </c>
    </row>
    <row r="178" spans="1:19">
      <c r="A178" s="46" t="str">
        <f t="shared" si="50"/>
        <v>EUR.CM_DEPTH.XLS_ANDREA.DE0001135366</v>
      </c>
      <c r="B178" s="51" t="str">
        <f>_xll.MKV("EUR.CM_INSTRUMENT.PXE."&amp;C178,B$3)</f>
        <v>DBR</v>
      </c>
      <c r="C178" s="61" t="s">
        <v>621</v>
      </c>
      <c r="D178" s="125">
        <f>_xll.MKV("EUR.CM_INSTRUMENT.PXE."&amp;C178,D$3)</f>
        <v>51321</v>
      </c>
      <c r="E178" s="58">
        <f t="shared" si="46"/>
        <v>-0.70000000000000062</v>
      </c>
      <c r="F178" s="58" t="str">
        <f t="shared" ca="1" si="47"/>
        <v>99</v>
      </c>
      <c r="G178" s="58">
        <f t="shared" si="48"/>
        <v>2.7000000000000024</v>
      </c>
      <c r="H178" s="46" t="str">
        <f>_xll.MKV_PUBLISHRECORD(A178, $H$4)</f>
        <v>OK</v>
      </c>
      <c r="I178" s="46" t="str">
        <f ca="1">_xll.MKV_SUPPLYRECORD_RANGE(A178,$B$3:$G$3,B178:G178)</f>
        <v>OK</v>
      </c>
      <c r="J178" s="34">
        <f>_xll.MKV($J$1&amp;$C178, J$3)</f>
        <v>0.53076199999999996</v>
      </c>
      <c r="K178" s="32">
        <f>_xll.MKV($L$2&amp;$C178, K$3)</f>
        <v>0.52500000000000002</v>
      </c>
      <c r="L178" s="35">
        <f>_xll.MKV($L$2&amp;$C178, L$3)</f>
        <v>193.81299999999999</v>
      </c>
      <c r="M178" s="32">
        <f t="shared" si="49"/>
        <v>1.099999999999568E-2</v>
      </c>
      <c r="N178" s="36">
        <f>_xll.BDH(C178&amp;"@CBBT Corp","OPEN",$N$1&amp;" 4:15:00 PM",$N$1&amp;" 5:15:00 PM","BarSz=60","BarTp=T","RecurDaily=True","TZ=London","DTS=H")</f>
        <v>193.80199999999999</v>
      </c>
      <c r="O178" s="36" t="e">
        <f ca="1">[1]!BError(_xll.BDH($C178&amp;"@CBBT Corp","OPEN",$O$1&amp;" 4:15:00 PM",$O$1&amp;" 5:15:00 PM","BarSz=60","BarTp=T","RecurDaily=True","TZ=London","DTS=H"))</f>
        <v>#NAME?</v>
      </c>
      <c r="P178" s="36">
        <f>_xll.BDH($C178&amp;"@CBBT Corp","OPEN",P$1&amp;" 4:15:00 PM",P$1&amp;" 5:15:00 PM","BarSz=60","BarTp=T","RecurDaily=True","TZ=London","DTS=H")</f>
        <v>195.26</v>
      </c>
      <c r="Q178" s="44">
        <f>_xll.BDP($C178&amp;"@CBBT Corp","YAS_BOND_YLD", "SETTLE_DT="&amp;Q$1, "YAS_BOND_PX="&amp;$N178)</f>
        <v>0.53200000000000003</v>
      </c>
      <c r="R178" s="44" t="e">
        <f ca="1">_xll.BDP($C178&amp;"@CBBT Corp","YAS_BOND_YLD", "SETTLE_DT="&amp;R$1, "YAS_BOND_PX="&amp;$O178)</f>
        <v>#NAME?</v>
      </c>
      <c r="S178" s="44">
        <f>_xll.BDP($C178&amp;"@CBBT Corp","YAS_BOND_YLD", "SETTLE_DT="&amp;S$1, "YAS_BOND_PX="&amp;$P178)</f>
        <v>0.498</v>
      </c>
    </row>
    <row r="179" spans="1:19">
      <c r="A179" s="46" t="str">
        <f t="shared" si="50"/>
        <v>EUR.CM_DEPTH.XLS_ANDREA.DE0001135432</v>
      </c>
      <c r="B179" s="51" t="str">
        <f>_xll.MKV("EUR.CM_INSTRUMENT.PXE."&amp;C179,B$3)</f>
        <v>DBR</v>
      </c>
      <c r="C179" s="61" t="s">
        <v>625</v>
      </c>
      <c r="D179" s="125">
        <f>_xll.MKV("EUR.CM_INSTRUMENT.PXE."&amp;C179,D$3)</f>
        <v>52051</v>
      </c>
      <c r="E179" s="58">
        <f t="shared" si="46"/>
        <v>-0.60000000000000053</v>
      </c>
      <c r="F179" s="58" t="str">
        <f t="shared" ca="1" si="47"/>
        <v>99</v>
      </c>
      <c r="G179" s="58">
        <f t="shared" si="48"/>
        <v>3.3999999999999919</v>
      </c>
      <c r="H179" s="46" t="str">
        <f>_xll.MKV_PUBLISHRECORD(A179, $H$4)</f>
        <v>OK</v>
      </c>
      <c r="I179" s="46" t="str">
        <f ca="1">_xll.MKV_SUPPLYRECORD_RANGE(A179,$B$3:$G$3,B179:G179)</f>
        <v>OK</v>
      </c>
      <c r="J179" s="34">
        <f>_xll.MKV($J$1&amp;$C179, J$3)</f>
        <v>0.59435700000000002</v>
      </c>
      <c r="K179" s="32">
        <f>_xll.MKV($L$2&amp;$C179, K$3)</f>
        <v>0.58799999999999997</v>
      </c>
      <c r="L179" s="35">
        <f>_xll.MKV($L$2&amp;$C179, L$3)</f>
        <v>163.17057500000001</v>
      </c>
      <c r="M179" s="32">
        <f t="shared" si="49"/>
        <v>-2.9424999999974943E-2</v>
      </c>
      <c r="N179" s="36">
        <f>_xll.BDH(C179&amp;"@CBBT Corp","OPEN",$N$1&amp;" 4:15:00 PM",$N$1&amp;" 5:15:00 PM","BarSz=60","BarTp=T","RecurDaily=True","TZ=London","DTS=H")</f>
        <v>163.19999999999999</v>
      </c>
      <c r="O179" s="36" t="e">
        <f ca="1">[1]!BError(_xll.BDH($C179&amp;"@CBBT Corp","OPEN",$O$1&amp;" 4:15:00 PM",$O$1&amp;" 5:15:00 PM","BarSz=60","BarTp=T","RecurDaily=True","TZ=London","DTS=H"))</f>
        <v>#NAME?</v>
      </c>
      <c r="P179" s="36">
        <f>_xll.BDH($C179&amp;"@CBBT Corp","OPEN",P$1&amp;" 4:15:00 PM",P$1&amp;" 5:15:00 PM","BarSz=60","BarTp=T","RecurDaily=True","TZ=London","DTS=H")</f>
        <v>164.691</v>
      </c>
      <c r="Q179" s="44">
        <f>_xll.BDP($C179&amp;"@CBBT Corp","YAS_BOND_YLD", "SETTLE_DT="&amp;Q$1, "YAS_BOND_PX="&amp;$N179)</f>
        <v>0.59399999999999997</v>
      </c>
      <c r="R179" s="44" t="e">
        <f ca="1">_xll.BDP($C179&amp;"@CBBT Corp","YAS_BOND_YLD", "SETTLE_DT="&amp;R$1, "YAS_BOND_PX="&amp;$O179)</f>
        <v>#NAME?</v>
      </c>
      <c r="S179" s="44">
        <f>_xll.BDP($C179&amp;"@CBBT Corp","YAS_BOND_YLD", "SETTLE_DT="&amp;S$1, "YAS_BOND_PX="&amp;$P179)</f>
        <v>0.55400000000000005</v>
      </c>
    </row>
    <row r="180" spans="1:19">
      <c r="A180" s="46" t="str">
        <f t="shared" si="50"/>
        <v>EUR.CM_DEPTH.XLS_ANDREA.DE0001135481</v>
      </c>
      <c r="B180" s="51" t="str">
        <f>_xll.MKV("EUR.CM_INSTRUMENT.PXE."&amp;C180,B$3)</f>
        <v>DBR</v>
      </c>
      <c r="C180" s="61" t="s">
        <v>626</v>
      </c>
      <c r="D180" s="125">
        <f>_xll.MKV("EUR.CM_INSTRUMENT.PXE."&amp;C180,D$3)</f>
        <v>52782</v>
      </c>
      <c r="E180" s="58">
        <f t="shared" si="46"/>
        <v>-0.50000000000000044</v>
      </c>
      <c r="F180" s="58" t="str">
        <f t="shared" ca="1" si="47"/>
        <v>99</v>
      </c>
      <c r="G180" s="58">
        <f t="shared" si="48"/>
        <v>3.6000000000000032</v>
      </c>
      <c r="H180" s="46" t="str">
        <f>_xll.MKV_PUBLISHRECORD(A180, $H$4)</f>
        <v>OK</v>
      </c>
      <c r="I180" s="46" t="str">
        <f ca="1">_xll.MKV_SUPPLYRECORD_RANGE(A180,$B$3:$G$3,B180:G180)</f>
        <v>OK</v>
      </c>
      <c r="J180" s="34">
        <f>_xll.MKV($J$1&amp;$C180, J$3)</f>
        <v>0.62647900000000001</v>
      </c>
      <c r="K180" s="32">
        <f>_xll.MKV($L$2&amp;$C180, K$3)</f>
        <v>0.621</v>
      </c>
      <c r="L180" s="35">
        <f>_xll.MKV($L$2&amp;$C180, L$3)</f>
        <v>147.542058</v>
      </c>
      <c r="M180" s="32">
        <f t="shared" si="49"/>
        <v>-1.8942000000009784E-2</v>
      </c>
      <c r="N180" s="36">
        <f>_xll.BDH(C180&amp;"@CBBT Corp","OPEN",$N$1&amp;" 4:15:00 PM",$N$1&amp;" 5:15:00 PM","BarSz=60","BarTp=T","RecurDaily=True","TZ=London","DTS=H")</f>
        <v>147.56100000000001</v>
      </c>
      <c r="O180" s="36" t="e">
        <f ca="1">[1]!BError(_xll.BDH($C180&amp;"@CBBT Corp","OPEN",$O$1&amp;" 4:15:00 PM",$O$1&amp;" 5:15:00 PM","BarSz=60","BarTp=T","RecurDaily=True","TZ=London","DTS=H"))</f>
        <v>#NAME?</v>
      </c>
      <c r="P180" s="36">
        <f>_xll.BDH($C180&amp;"@CBBT Corp","OPEN",P$1&amp;" 4:15:00 PM",P$1&amp;" 5:15:00 PM","BarSz=60","BarTp=T","RecurDaily=True","TZ=London","DTS=H")</f>
        <v>149.012</v>
      </c>
      <c r="Q180" s="44">
        <f>_xll.BDP($C180&amp;"@CBBT Corp","YAS_BOND_YLD", "SETTLE_DT="&amp;Q$1, "YAS_BOND_PX="&amp;$N180)</f>
        <v>0.626</v>
      </c>
      <c r="R180" s="44" t="e">
        <f ca="1">_xll.BDP($C180&amp;"@CBBT Corp","YAS_BOND_YLD", "SETTLE_DT="&amp;R$1, "YAS_BOND_PX="&amp;$O180)</f>
        <v>#NAME?</v>
      </c>
      <c r="S180" s="44">
        <f>_xll.BDP($C180&amp;"@CBBT Corp","YAS_BOND_YLD", "SETTLE_DT="&amp;S$1, "YAS_BOND_PX="&amp;$P180)</f>
        <v>0.58499999999999996</v>
      </c>
    </row>
    <row r="181" spans="1:19">
      <c r="A181" s="46" t="str">
        <f t="shared" si="50"/>
        <v>EUR.CM_DEPTH.XLS_ANDREA.DE0001102341</v>
      </c>
      <c r="B181" s="51" t="str">
        <f>_xll.MKV("EUR.CM_INSTRUMENT.PXE."&amp;C181,B$3)</f>
        <v>DBR</v>
      </c>
      <c r="C181" s="61" t="s">
        <v>630</v>
      </c>
      <c r="D181" s="125">
        <f>_xll.MKV("EUR.CM_INSTRUMENT.PXE."&amp;C181,D$3)</f>
        <v>53554</v>
      </c>
      <c r="E181" s="58">
        <f t="shared" si="46"/>
        <v>-0.70000000000000062</v>
      </c>
      <c r="F181" s="58" t="str">
        <f t="shared" ca="1" si="47"/>
        <v>99</v>
      </c>
      <c r="G181" s="58">
        <f t="shared" si="48"/>
        <v>3.5000000000000031</v>
      </c>
      <c r="H181" s="46" t="str">
        <f>_xll.MKV_PUBLISHRECORD(A181, $H$4)</f>
        <v>OK</v>
      </c>
      <c r="I181" s="46" t="str">
        <f ca="1">_xll.MKV_SUPPLYRECORD_RANGE(A181,$B$3:$G$3,B181:G181)</f>
        <v>OK</v>
      </c>
      <c r="J181" s="34">
        <f>_xll.MKV($J$1&amp;$C181, J$3)</f>
        <v>0.66108500000000003</v>
      </c>
      <c r="K181" s="32">
        <f>_xll.MKV($L$2&amp;$C181, K$3)</f>
        <v>0.65500000000000003</v>
      </c>
      <c r="L181" s="35">
        <f>_xll.MKV($L$2&amp;$C181, L$3)</f>
        <v>149.648</v>
      </c>
      <c r="M181" s="32">
        <f t="shared" si="49"/>
        <v>1.300000000000523E-2</v>
      </c>
      <c r="N181" s="36">
        <f>_xll.BDH(C181&amp;"@CBBT Corp","OPEN",$N$1&amp;" 4:15:00 PM",$N$1&amp;" 5:15:00 PM","BarSz=60","BarTp=T","RecurDaily=True","TZ=London","DTS=H")</f>
        <v>149.63499999999999</v>
      </c>
      <c r="O181" s="36" t="e">
        <f ca="1">[1]!BError(_xll.BDH($C181&amp;"@CBBT Corp","OPEN",$O$1&amp;" 4:15:00 PM",$O$1&amp;" 5:15:00 PM","BarSz=60","BarTp=T","RecurDaily=True","TZ=London","DTS=H"))</f>
        <v>#NAME?</v>
      </c>
      <c r="P181" s="36">
        <f>_xll.BDH($C181&amp;"@CBBT Corp","OPEN",P$1&amp;" 4:15:00 PM",P$1&amp;" 5:15:00 PM","BarSz=60","BarTp=T","RecurDaily=True","TZ=London","DTS=H")</f>
        <v>151.19900000000001</v>
      </c>
      <c r="Q181" s="44">
        <f>_xll.BDP($C181&amp;"@CBBT Corp","YAS_BOND_YLD", "SETTLE_DT="&amp;Q$1, "YAS_BOND_PX="&amp;$N181)</f>
        <v>0.66200000000000003</v>
      </c>
      <c r="R181" s="44" t="e">
        <f ca="1">_xll.BDP($C181&amp;"@CBBT Corp","YAS_BOND_YLD", "SETTLE_DT="&amp;R$1, "YAS_BOND_PX="&amp;$O181)</f>
        <v>#NAME?</v>
      </c>
      <c r="S181" s="44">
        <f>_xll.BDP($C181&amp;"@CBBT Corp","YAS_BOND_YLD", "SETTLE_DT="&amp;S$1, "YAS_BOND_PX="&amp;$P181)</f>
        <v>0.62</v>
      </c>
    </row>
    <row r="182" spans="1:19">
      <c r="A182" s="46" t="str">
        <f t="shared" si="50"/>
        <v>EUR.CM_DEPTH.XLS_ANDREA.ES00000123J2</v>
      </c>
      <c r="B182" s="51" t="str">
        <f>_xll.MKV("EUR.CM_INSTRUMENT.PXE."&amp;C182,B$3)</f>
        <v>SPGB</v>
      </c>
      <c r="C182" s="61" t="s">
        <v>497</v>
      </c>
      <c r="D182" s="125">
        <f>_xll.MKV("EUR.CM_INSTRUMENT.PXE."&amp;C182,D$3)</f>
        <v>42674</v>
      </c>
      <c r="E182" s="58">
        <f t="shared" si="46"/>
        <v>-51.9</v>
      </c>
      <c r="F182" s="58" t="str">
        <f t="shared" ca="1" si="47"/>
        <v>99</v>
      </c>
      <c r="G182" s="58">
        <f t="shared" si="48"/>
        <v>-47.1</v>
      </c>
      <c r="H182" s="46" t="str">
        <f>_xll.MKV_PUBLISHRECORD(A182, $H$4)</f>
        <v>OK</v>
      </c>
      <c r="I182" s="46" t="str">
        <f ca="1">_xll.MKV_SUPPLYRECORD_RANGE(A182,$B$3:$G$3,B182:G182)</f>
        <v>OK</v>
      </c>
      <c r="J182" s="34">
        <f>_xll.MKV($J$1&amp;$C182, J$3)</f>
        <v>-0.48604700000000001</v>
      </c>
      <c r="K182" s="32">
        <f>_xll.MKV($L$2&amp;$C182, K$3)</f>
        <v>-0.44500000000000001</v>
      </c>
      <c r="L182" s="35">
        <f>_xll.MKV($L$2&amp;$C182, L$3)</f>
        <v>100.23399999999999</v>
      </c>
      <c r="M182" s="32">
        <f t="shared" si="49"/>
        <v>6.0000000000002274E-3</v>
      </c>
      <c r="N182" s="36">
        <f>_xll.BDH(C182&amp;"@CBBT Corp","OPEN",$N$1&amp;" 4:15:00 PM",$N$1&amp;" 5:15:00 PM","BarSz=60","BarTp=T","RecurDaily=True","TZ=London","DTS=H")</f>
        <v>100.22799999999999</v>
      </c>
      <c r="O182" s="36" t="e">
        <f ca="1">[1]!BError(_xll.BDH($C182&amp;"@CBBT Corp","OPEN",$O$1&amp;" 4:15:00 PM",$O$1&amp;" 5:15:00 PM","BarSz=60","BarTp=T","RecurDaily=True","TZ=London","DTS=H"))</f>
        <v>#NAME?</v>
      </c>
      <c r="P182" s="36">
        <f>_xll.BDH($C182&amp;"@CBBT Corp","OPEN",P$1&amp;" 4:15:00 PM",P$1&amp;" 5:15:00 PM","BarSz=60","BarTp=T","RecurDaily=True","TZ=London","DTS=H")</f>
        <v>100.6</v>
      </c>
      <c r="Q182" s="44">
        <f>_xll.BDP($C182&amp;"@CBBT Corp","YAS_BOND_YLD", "SETTLE_DT="&amp;Q$1, "YAS_BOND_PX="&amp;$N182)</f>
        <v>7.3999999999999996E-2</v>
      </c>
      <c r="R182" s="44" t="e">
        <f ca="1">_xll.BDP($C182&amp;"@CBBT Corp","YAS_BOND_YLD", "SETTLE_DT="&amp;R$1, "YAS_BOND_PX="&amp;$O182)</f>
        <v>#NAME?</v>
      </c>
      <c r="S182" s="44">
        <f>_xll.BDP($C182&amp;"@CBBT Corp","YAS_BOND_YLD", "SETTLE_DT="&amp;S$1, "YAS_BOND_PX="&amp;$P182)</f>
        <v>2.5999999999999999E-2</v>
      </c>
    </row>
    <row r="183" spans="1:19">
      <c r="A183" s="46" t="str">
        <f t="shared" si="50"/>
        <v>EUR.CM_DEPTH.XLS_ANDREA.ES00000120J8</v>
      </c>
      <c r="B183" s="51" t="str">
        <f>_xll.MKV("EUR.CM_INSTRUMENT.PXE."&amp;C183,B$3)</f>
        <v>SPGB</v>
      </c>
      <c r="C183" s="61" t="s">
        <v>501</v>
      </c>
      <c r="D183" s="125">
        <f>_xll.MKV("EUR.CM_INSTRUMENT.PXE."&amp;C183,D$3)</f>
        <v>42766</v>
      </c>
      <c r="E183" s="58">
        <f t="shared" si="46"/>
        <v>-7.5000000000000009</v>
      </c>
      <c r="F183" s="58" t="str">
        <f t="shared" ca="1" si="47"/>
        <v>99</v>
      </c>
      <c r="G183" s="58">
        <f t="shared" si="48"/>
        <v>-17.400000000000002</v>
      </c>
      <c r="H183" s="46" t="str">
        <f>_xll.MKV_PUBLISHRECORD(A183, $H$4)</f>
        <v>OK</v>
      </c>
      <c r="I183" s="46" t="str">
        <f ca="1">_xll.MKV_SUPPLYRECORD_RANGE(A183,$B$3:$G$3,B183:G183)</f>
        <v>OK</v>
      </c>
      <c r="J183" s="34">
        <f>_xll.MKV($J$1&amp;$C183, J$3)</f>
        <v>-0.32921099999999998</v>
      </c>
      <c r="K183" s="32">
        <f>_xll.MKV($L$2&amp;$C183, K$3)</f>
        <v>-0.33300000000000002</v>
      </c>
      <c r="L183" s="35">
        <f>_xll.MKV($L$2&amp;$C183, L$3)</f>
        <v>101.245</v>
      </c>
      <c r="M183" s="32">
        <f t="shared" si="49"/>
        <v>0</v>
      </c>
      <c r="N183" s="36">
        <f>_xll.BDH(C183&amp;"@CBBT Corp","OPEN",$N$1&amp;" 4:15:00 PM",$N$1&amp;" 5:15:00 PM","BarSz=60","BarTp=T","RecurDaily=True","TZ=London","DTS=H")</f>
        <v>101.245</v>
      </c>
      <c r="O183" s="36" t="e">
        <f ca="1">[1]!BError(_xll.BDH($C183&amp;"@CBBT Corp","OPEN",$O$1&amp;" 4:15:00 PM",$O$1&amp;" 5:15:00 PM","BarSz=60","BarTp=T","RecurDaily=True","TZ=London","DTS=H"))</f>
        <v>#NAME?</v>
      </c>
      <c r="P183" s="36">
        <f>_xll.BDH($C183&amp;"@CBBT Corp","OPEN",P$1&amp;" 4:15:00 PM",P$1&amp;" 5:15:00 PM","BarSz=60","BarTp=T","RecurDaily=True","TZ=London","DTS=H")</f>
        <v>101.56</v>
      </c>
      <c r="Q183" s="44">
        <f>_xll.BDP($C183&amp;"@CBBT Corp","YAS_BOND_YLD", "SETTLE_DT="&amp;Q$1, "YAS_BOND_PX="&amp;$N183)</f>
        <v>-0.25800000000000001</v>
      </c>
      <c r="R183" s="44" t="e">
        <f ca="1">_xll.BDP($C183&amp;"@CBBT Corp","YAS_BOND_YLD", "SETTLE_DT="&amp;R$1, "YAS_BOND_PX="&amp;$O183)</f>
        <v>#NAME?</v>
      </c>
      <c r="S183" s="44">
        <f>_xll.BDP($C183&amp;"@CBBT Corp","YAS_BOND_YLD", "SETTLE_DT="&amp;S$1, "YAS_BOND_PX="&amp;$P183)</f>
        <v>-0.159</v>
      </c>
    </row>
    <row r="184" spans="1:19">
      <c r="A184" s="46" t="str">
        <f t="shared" si="50"/>
        <v>EUR.CM_DEPTH.XLS_ANDREA.ES00000124I2</v>
      </c>
      <c r="B184" s="51" t="str">
        <f>_xll.MKV("EUR.CM_INSTRUMENT.PXE."&amp;C184,B$3)</f>
        <v>SPGB</v>
      </c>
      <c r="C184" s="61" t="s">
        <v>507</v>
      </c>
      <c r="D184" s="125">
        <f>_xll.MKV("EUR.CM_INSTRUMENT.PXE."&amp;C184,D$3)</f>
        <v>42855</v>
      </c>
      <c r="E184" s="58">
        <f t="shared" si="46"/>
        <v>-2.8999999999999968</v>
      </c>
      <c r="F184" s="58" t="str">
        <f t="shared" ca="1" si="47"/>
        <v>99</v>
      </c>
      <c r="G184" s="58">
        <f t="shared" si="48"/>
        <v>-9.7999999999999972</v>
      </c>
      <c r="H184" s="46" t="str">
        <f>_xll.MKV_PUBLISHRECORD(A184, $H$4)</f>
        <v>OK</v>
      </c>
      <c r="I184" s="46" t="str">
        <f ca="1">_xll.MKV_SUPPLYRECORD_RANGE(A184,$B$3:$G$3,B184:G184)</f>
        <v>OK</v>
      </c>
      <c r="J184" s="34">
        <f>_xll.MKV($J$1&amp;$C184, J$3)</f>
        <v>-0.29646</v>
      </c>
      <c r="K184" s="32">
        <f>_xll.MKV($L$2&amp;$C184, K$3)</f>
        <v>-0.29899999999999999</v>
      </c>
      <c r="L184" s="35">
        <f>_xll.MKV($L$2&amp;$C184, L$3)</f>
        <v>101.312</v>
      </c>
      <c r="M184" s="32">
        <f t="shared" si="49"/>
        <v>1.9999999999953388E-3</v>
      </c>
      <c r="N184" s="36">
        <f>_xll.BDH(C184&amp;"@CBBT Corp","OPEN",$N$1&amp;" 4:15:00 PM",$N$1&amp;" 5:15:00 PM","BarSz=60","BarTp=T","RecurDaily=True","TZ=London","DTS=H")</f>
        <v>101.31</v>
      </c>
      <c r="O184" s="36" t="e">
        <f ca="1">[1]!BError(_xll.BDH($C184&amp;"@CBBT Corp","OPEN",$O$1&amp;" 4:15:00 PM",$O$1&amp;" 5:15:00 PM","BarSz=60","BarTp=T","RecurDaily=True","TZ=London","DTS=H"))</f>
        <v>#NAME?</v>
      </c>
      <c r="P184" s="36">
        <f>_xll.BDH($C184&amp;"@CBBT Corp","OPEN",P$1&amp;" 4:15:00 PM",P$1&amp;" 5:15:00 PM","BarSz=60","BarTp=T","RecurDaily=True","TZ=London","DTS=H")</f>
        <v>101.473</v>
      </c>
      <c r="Q184" s="44">
        <f>_xll.BDP($C184&amp;"@CBBT Corp","YAS_BOND_YLD", "SETTLE_DT="&amp;Q$1, "YAS_BOND_PX="&amp;$N184)</f>
        <v>-0.27</v>
      </c>
      <c r="R184" s="44" t="e">
        <f ca="1">_xll.BDP($C184&amp;"@CBBT Corp","YAS_BOND_YLD", "SETTLE_DT="&amp;R$1, "YAS_BOND_PX="&amp;$O184)</f>
        <v>#NAME?</v>
      </c>
      <c r="S184" s="44">
        <f>_xll.BDP($C184&amp;"@CBBT Corp","YAS_BOND_YLD", "SETTLE_DT="&amp;S$1, "YAS_BOND_PX="&amp;$P184)</f>
        <v>-0.20100000000000001</v>
      </c>
    </row>
    <row r="185" spans="1:19">
      <c r="A185" s="46" t="str">
        <f t="shared" si="50"/>
        <v>EUR.CM_DEPTH.XLS_ANDREA.ES0000012783</v>
      </c>
      <c r="B185" s="51" t="str">
        <f>_xll.MKV("EUR.CM_INSTRUMENT.PXE."&amp;C185,B$3)</f>
        <v>SPGB</v>
      </c>
      <c r="C185" s="61" t="s">
        <v>513</v>
      </c>
      <c r="D185" s="125">
        <f>_xll.MKV("EUR.CM_INSTRUMENT.PXE."&amp;C185,D$3)</f>
        <v>42946</v>
      </c>
      <c r="E185" s="58">
        <f t="shared" si="46"/>
        <v>-3.8000000000000034</v>
      </c>
      <c r="F185" s="58" t="str">
        <f t="shared" ca="1" si="47"/>
        <v>99</v>
      </c>
      <c r="G185" s="58">
        <f t="shared" si="48"/>
        <v>-13.600000000000003</v>
      </c>
      <c r="H185" s="46" t="str">
        <f>_xll.MKV_PUBLISHRECORD(A185, $H$4)</f>
        <v>OK</v>
      </c>
      <c r="I185" s="46" t="str">
        <f ca="1">_xll.MKV_SUPPLYRECORD_RANGE(A185,$B$3:$G$3,B185:G185)</f>
        <v>OK</v>
      </c>
      <c r="J185" s="34">
        <f>_xll.MKV($J$1&amp;$C185, J$3)</f>
        <v>-0.28358699999999998</v>
      </c>
      <c r="K185" s="32">
        <f>_xll.MKV($L$2&amp;$C185, K$3)</f>
        <v>-0.28500000000000003</v>
      </c>
      <c r="L185" s="35">
        <f>_xll.MKV($L$2&amp;$C185, L$3)</f>
        <v>104.60899999999999</v>
      </c>
      <c r="M185" s="32">
        <f t="shared" si="49"/>
        <v>-1.0000000000047748E-3</v>
      </c>
      <c r="N185" s="36">
        <f>_xll.BDH(C185&amp;"@CBBT Corp","OPEN",$N$1&amp;" 4:15:00 PM",$N$1&amp;" 5:15:00 PM","BarSz=60","BarTp=T","RecurDaily=True","TZ=London","DTS=H")</f>
        <v>104.61</v>
      </c>
      <c r="O185" s="36" t="e">
        <f ca="1">[1]!BError(_xll.BDH($C185&amp;"@CBBT Corp","OPEN",$O$1&amp;" 4:15:00 PM",$O$1&amp;" 5:15:00 PM","BarSz=60","BarTp=T","RecurDaily=True","TZ=London","DTS=H"))</f>
        <v>#NAME?</v>
      </c>
      <c r="P185" s="36">
        <f>_xll.BDH($C185&amp;"@CBBT Corp","OPEN",P$1&amp;" 4:15:00 PM",P$1&amp;" 5:15:00 PM","BarSz=60","BarTp=T","RecurDaily=True","TZ=London","DTS=H")</f>
        <v>105.02200000000001</v>
      </c>
      <c r="Q185" s="44">
        <f>_xll.BDP($C185&amp;"@CBBT Corp","YAS_BOND_YLD", "SETTLE_DT="&amp;Q$1, "YAS_BOND_PX="&amp;$N185)</f>
        <v>-0.247</v>
      </c>
      <c r="R185" s="44" t="e">
        <f ca="1">_xll.BDP($C185&amp;"@CBBT Corp","YAS_BOND_YLD", "SETTLE_DT="&amp;R$1, "YAS_BOND_PX="&amp;$O185)</f>
        <v>#NAME?</v>
      </c>
      <c r="S185" s="44">
        <f>_xll.BDP($C185&amp;"@CBBT Corp","YAS_BOND_YLD", "SETTLE_DT="&amp;S$1, "YAS_BOND_PX="&amp;$P185)</f>
        <v>-0.14899999999999999</v>
      </c>
    </row>
    <row r="186" spans="1:19">
      <c r="A186" s="46" t="str">
        <f t="shared" si="50"/>
        <v>EUR.CM_DEPTH.XLS_ANDREA.ES00000126V0</v>
      </c>
      <c r="B186" s="51" t="str">
        <f>_xll.MKV("EUR.CM_INSTRUMENT.PXE."&amp;C186,B$3)</f>
        <v>SPGB</v>
      </c>
      <c r="C186" s="61" t="s">
        <v>518</v>
      </c>
      <c r="D186" s="125">
        <f>_xll.MKV("EUR.CM_INSTRUMENT.PXE."&amp;C186,D$3)</f>
        <v>43039</v>
      </c>
      <c r="E186" s="58">
        <f t="shared" si="46"/>
        <v>-0.70000000000000062</v>
      </c>
      <c r="F186" s="58" t="str">
        <f t="shared" ca="1" si="47"/>
        <v>99</v>
      </c>
      <c r="G186" s="58">
        <f t="shared" si="48"/>
        <v>-8.5000000000000018</v>
      </c>
      <c r="H186" s="46" t="str">
        <f>_xll.MKV_PUBLISHRECORD(A186, $H$4)</f>
        <v>OK</v>
      </c>
      <c r="I186" s="46" t="str">
        <f ca="1">_xll.MKV_SUPPLYRECORD_RANGE(A186,$B$3:$G$3,B186:G186)</f>
        <v>OK</v>
      </c>
      <c r="J186" s="34">
        <f>_xll.MKV($J$1&amp;$C186, J$3)</f>
        <v>-0.26232299999999997</v>
      </c>
      <c r="K186" s="32">
        <f>_xll.MKV($L$2&amp;$C186, K$3)</f>
        <v>-0.26400000000000001</v>
      </c>
      <c r="L186" s="35">
        <f>_xll.MKV($L$2&amp;$C186, L$3)</f>
        <v>100.80200000000001</v>
      </c>
      <c r="M186" s="32">
        <f t="shared" si="49"/>
        <v>2.0000000000095497E-3</v>
      </c>
      <c r="N186" s="36">
        <f>_xll.BDH(C186&amp;"@CBBT Corp","OPEN",$N$1&amp;" 4:15:00 PM",$N$1&amp;" 5:15:00 PM","BarSz=60","BarTp=T","RecurDaily=True","TZ=London","DTS=H")</f>
        <v>100.8</v>
      </c>
      <c r="O186" s="36" t="e">
        <f ca="1">[1]!BError(_xll.BDH($C186&amp;"@CBBT Corp","OPEN",$O$1&amp;" 4:15:00 PM",$O$1&amp;" 5:15:00 PM","BarSz=60","BarTp=T","RecurDaily=True","TZ=London","DTS=H"))</f>
        <v>#NAME?</v>
      </c>
      <c r="P186" s="36">
        <f>_xll.BDH($C186&amp;"@CBBT Corp","OPEN",P$1&amp;" 4:15:00 PM",P$1&amp;" 5:15:00 PM","BarSz=60","BarTp=T","RecurDaily=True","TZ=London","DTS=H")</f>
        <v>100.777</v>
      </c>
      <c r="Q186" s="44">
        <f>_xll.BDP($C186&amp;"@CBBT Corp","YAS_BOND_YLD", "SETTLE_DT="&amp;Q$1, "YAS_BOND_PX="&amp;$N186)</f>
        <v>-0.25700000000000001</v>
      </c>
      <c r="R186" s="44" t="e">
        <f ca="1">_xll.BDP($C186&amp;"@CBBT Corp","YAS_BOND_YLD", "SETTLE_DT="&amp;R$1, "YAS_BOND_PX="&amp;$O186)</f>
        <v>#NAME?</v>
      </c>
      <c r="S186" s="44">
        <f>_xll.BDP($C186&amp;"@CBBT Corp","YAS_BOND_YLD", "SETTLE_DT="&amp;S$1, "YAS_BOND_PX="&amp;$P186)</f>
        <v>-0.17899999999999999</v>
      </c>
    </row>
    <row r="187" spans="1:19">
      <c r="A187" s="46" t="str">
        <f t="shared" si="50"/>
        <v>EUR.CM_DEPTH.XLS_ANDREA.ES00000123Q7</v>
      </c>
      <c r="B187" s="51" t="str">
        <f>_xll.MKV("EUR.CM_INSTRUMENT.PXE."&amp;C187,B$3)</f>
        <v>SPGB</v>
      </c>
      <c r="C187" s="61" t="s">
        <v>522</v>
      </c>
      <c r="D187" s="125">
        <f>_xll.MKV("EUR.CM_INSTRUMENT.PXE."&amp;C187,D$3)</f>
        <v>43131</v>
      </c>
      <c r="E187" s="58">
        <f t="shared" si="46"/>
        <v>-1.8000000000000016</v>
      </c>
      <c r="F187" s="58" t="str">
        <f t="shared" ca="1" si="47"/>
        <v>99</v>
      </c>
      <c r="G187" s="58">
        <f t="shared" si="48"/>
        <v>-13.700000000000001</v>
      </c>
      <c r="H187" s="46" t="str">
        <f>_xll.MKV_PUBLISHRECORD(A187, $H$4)</f>
        <v>OK</v>
      </c>
      <c r="I187" s="46" t="str">
        <f ca="1">_xll.MKV_SUPPLYRECORD_RANGE(A187,$B$3:$G$3,B187:G187)</f>
        <v>OK</v>
      </c>
      <c r="J187" s="34">
        <f>_xll.MKV($J$1&amp;$C187, J$3)</f>
        <v>-0.24160200000000001</v>
      </c>
      <c r="K187" s="32">
        <f>_xll.MKV($L$2&amp;$C187, K$3)</f>
        <v>-0.23700000000000002</v>
      </c>
      <c r="L187" s="35">
        <f>_xll.MKV($L$2&amp;$C187, L$3)</f>
        <v>106.185</v>
      </c>
      <c r="M187" s="32">
        <f t="shared" si="49"/>
        <v>4.9999999999954525E-3</v>
      </c>
      <c r="N187" s="36">
        <f>_xll.BDH(C187&amp;"@CBBT Corp","OPEN",$N$1&amp;" 4:15:00 PM",$N$1&amp;" 5:15:00 PM","BarSz=60","BarTp=T","RecurDaily=True","TZ=London","DTS=H")</f>
        <v>106.18</v>
      </c>
      <c r="O187" s="36" t="e">
        <f ca="1">[1]!BError(_xll.BDH($C187&amp;"@CBBT Corp","OPEN",$O$1&amp;" 4:15:00 PM",$O$1&amp;" 5:15:00 PM","BarSz=60","BarTp=T","RecurDaily=True","TZ=London","DTS=H"))</f>
        <v>#NAME?</v>
      </c>
      <c r="P187" s="36">
        <f>_xll.BDH($C187&amp;"@CBBT Corp","OPEN",P$1&amp;" 4:15:00 PM",P$1&amp;" 5:15:00 PM","BarSz=60","BarTp=T","RecurDaily=True","TZ=London","DTS=H")</f>
        <v>106.41800000000001</v>
      </c>
      <c r="Q187" s="44">
        <f>_xll.BDP($C187&amp;"@CBBT Corp","YAS_BOND_YLD", "SETTLE_DT="&amp;Q$1, "YAS_BOND_PX="&amp;$N187)</f>
        <v>-0.219</v>
      </c>
      <c r="R187" s="44" t="e">
        <f ca="1">_xll.BDP($C187&amp;"@CBBT Corp","YAS_BOND_YLD", "SETTLE_DT="&amp;R$1, "YAS_BOND_PX="&amp;$O187)</f>
        <v>#NAME?</v>
      </c>
      <c r="S187" s="44">
        <f>_xll.BDP($C187&amp;"@CBBT Corp","YAS_BOND_YLD", "SETTLE_DT="&amp;S$1, "YAS_BOND_PX="&amp;$P187)</f>
        <v>-0.1</v>
      </c>
    </row>
    <row r="188" spans="1:19">
      <c r="A188" s="46" t="str">
        <f t="shared" si="50"/>
        <v>EUR.CM_DEPTH.XLS_ANDREA.ES00000127D6</v>
      </c>
      <c r="B188" s="51" t="str">
        <f>_xll.MKV("EUR.CM_INSTRUMENT.PXE."&amp;C188,B$3)</f>
        <v>SPGB</v>
      </c>
      <c r="C188" s="61" t="s">
        <v>528</v>
      </c>
      <c r="D188" s="125">
        <f>_xll.MKV("EUR.CM_INSTRUMENT.PXE."&amp;C188,D$3)</f>
        <v>43220</v>
      </c>
      <c r="E188" s="58">
        <f t="shared" si="46"/>
        <v>0.20000000000000018</v>
      </c>
      <c r="F188" s="58" t="str">
        <f t="shared" ca="1" si="47"/>
        <v>99</v>
      </c>
      <c r="G188" s="58">
        <f t="shared" si="48"/>
        <v>-10.200000000000001</v>
      </c>
      <c r="H188" s="46" t="str">
        <f>_xll.MKV_PUBLISHRECORD(A188, $H$4)</f>
        <v>OK</v>
      </c>
      <c r="I188" s="46" t="str">
        <f ca="1">_xll.MKV_SUPPLYRECORD_RANGE(A188,$B$3:$G$3,B188:G188)</f>
        <v>OK</v>
      </c>
      <c r="J188" s="34">
        <f>_xll.MKV($J$1&amp;$C188, J$3)</f>
        <v>-0.23516300000000001</v>
      </c>
      <c r="K188" s="32">
        <f>_xll.MKV($L$2&amp;$C188, K$3)</f>
        <v>-0.23</v>
      </c>
      <c r="L188" s="35">
        <f>_xll.MKV($L$2&amp;$C188, L$3)</f>
        <v>100.752</v>
      </c>
      <c r="M188" s="32">
        <f t="shared" si="49"/>
        <v>1.9999999999953388E-3</v>
      </c>
      <c r="N188" s="36">
        <f>_xll.BDH(C188&amp;"@CBBT Corp","OPEN",$N$1&amp;" 4:15:00 PM",$N$1&amp;" 5:15:00 PM","BarSz=60","BarTp=T","RecurDaily=True","TZ=London","DTS=H")</f>
        <v>100.75</v>
      </c>
      <c r="O188" s="36" t="e">
        <f ca="1">[1]!BError(_xll.BDH($C188&amp;"@CBBT Corp","OPEN",$O$1&amp;" 4:15:00 PM",$O$1&amp;" 5:15:00 PM","BarSz=60","BarTp=T","RecurDaily=True","TZ=London","DTS=H"))</f>
        <v>#NAME?</v>
      </c>
      <c r="P188" s="36">
        <f>_xll.BDH($C188&amp;"@CBBT Corp","OPEN",P$1&amp;" 4:15:00 PM",P$1&amp;" 5:15:00 PM","BarSz=60","BarTp=T","RecurDaily=True","TZ=London","DTS=H")</f>
        <v>100.62</v>
      </c>
      <c r="Q188" s="44">
        <f>_xll.BDP($C188&amp;"@CBBT Corp","YAS_BOND_YLD", "SETTLE_DT="&amp;Q$1, "YAS_BOND_PX="&amp;$N188)</f>
        <v>-0.23200000000000001</v>
      </c>
      <c r="R188" s="44" t="e">
        <f ca="1">_xll.BDP($C188&amp;"@CBBT Corp","YAS_BOND_YLD", "SETTLE_DT="&amp;R$1, "YAS_BOND_PX="&amp;$O188)</f>
        <v>#NAME?</v>
      </c>
      <c r="S188" s="44">
        <f>_xll.BDP($C188&amp;"@CBBT Corp","YAS_BOND_YLD", "SETTLE_DT="&amp;S$1, "YAS_BOND_PX="&amp;$P188)</f>
        <v>-0.128</v>
      </c>
    </row>
    <row r="189" spans="1:19">
      <c r="A189" s="46" t="str">
        <f t="shared" si="50"/>
        <v>EUR.CM_DEPTH.XLS_ANDREA.ES00000121A5</v>
      </c>
      <c r="B189" s="51" t="str">
        <f>_xll.MKV("EUR.CM_INSTRUMENT.PXE."&amp;C189,B$3)</f>
        <v>SPGB</v>
      </c>
      <c r="C189" s="61" t="s">
        <v>533</v>
      </c>
      <c r="D189" s="125">
        <f>_xll.MKV("EUR.CM_INSTRUMENT.PXE."&amp;C189,D$3)</f>
        <v>43311</v>
      </c>
      <c r="E189" s="58">
        <f t="shared" si="46"/>
        <v>-0.40000000000000036</v>
      </c>
      <c r="F189" s="58" t="str">
        <f t="shared" ca="1" si="47"/>
        <v>99</v>
      </c>
      <c r="G189" s="58">
        <f t="shared" si="48"/>
        <v>-9.8999999999999986</v>
      </c>
      <c r="H189" s="46" t="str">
        <f>_xll.MKV_PUBLISHRECORD(A189, $H$4)</f>
        <v>OK</v>
      </c>
      <c r="I189" s="46" t="str">
        <f ca="1">_xll.MKV_SUPPLYRECORD_RANGE(A189,$B$3:$G$3,B189:G189)</f>
        <v>OK</v>
      </c>
      <c r="J189" s="34">
        <f>_xll.MKV($J$1&amp;$C189, J$3)</f>
        <v>-0.21845000000000001</v>
      </c>
      <c r="K189" s="32">
        <f>_xll.MKV($L$2&amp;$C189, K$3)</f>
        <v>-0.21199999999999999</v>
      </c>
      <c r="L189" s="35">
        <f>_xll.MKV($L$2&amp;$C189, L$3)</f>
        <v>107.774</v>
      </c>
      <c r="M189" s="32">
        <f t="shared" si="49"/>
        <v>-3.0000000000001137E-3</v>
      </c>
      <c r="N189" s="36">
        <f>_xll.BDH(C189&amp;"@CBBT Corp","OPEN",$N$1&amp;" 4:15:00 PM",$N$1&amp;" 5:15:00 PM","BarSz=60","BarTp=T","RecurDaily=True","TZ=London","DTS=H")</f>
        <v>107.777</v>
      </c>
      <c r="O189" s="36" t="e">
        <f ca="1">[1]!BError(_xll.BDH($C189&amp;"@CBBT Corp","OPEN",$O$1&amp;" 4:15:00 PM",$O$1&amp;" 5:15:00 PM","BarSz=60","BarTp=T","RecurDaily=True","TZ=London","DTS=H"))</f>
        <v>#NAME?</v>
      </c>
      <c r="P189" s="36">
        <f>_xll.BDH($C189&amp;"@CBBT Corp","OPEN",P$1&amp;" 4:15:00 PM",P$1&amp;" 5:15:00 PM","BarSz=60","BarTp=T","RecurDaily=True","TZ=London","DTS=H")</f>
        <v>107.965</v>
      </c>
      <c r="Q189" s="44">
        <f>_xll.BDP($C189&amp;"@CBBT Corp","YAS_BOND_YLD", "SETTLE_DT="&amp;Q$1, "YAS_BOND_PX="&amp;$N189)</f>
        <v>-0.20799999999999999</v>
      </c>
      <c r="R189" s="44" t="e">
        <f ca="1">_xll.BDP($C189&amp;"@CBBT Corp","YAS_BOND_YLD", "SETTLE_DT="&amp;R$1, "YAS_BOND_PX="&amp;$O189)</f>
        <v>#NAME?</v>
      </c>
      <c r="S189" s="44">
        <f>_xll.BDP($C189&amp;"@CBBT Corp","YAS_BOND_YLD", "SETTLE_DT="&amp;S$1, "YAS_BOND_PX="&amp;$P189)</f>
        <v>-0.113</v>
      </c>
    </row>
    <row r="190" spans="1:19">
      <c r="A190" s="46" t="str">
        <f t="shared" si="50"/>
        <v>EUR.CM_DEPTH.XLS_ANDREA.ES00000124B7</v>
      </c>
      <c r="B190" s="51" t="str">
        <f>_xll.MKV("EUR.CM_INSTRUMENT.PXE."&amp;C190,B$3)</f>
        <v>SPGB</v>
      </c>
      <c r="C190" s="61" t="s">
        <v>536</v>
      </c>
      <c r="D190" s="125">
        <f>_xll.MKV("EUR.CM_INSTRUMENT.PXE."&amp;C190,D$3)</f>
        <v>43404</v>
      </c>
      <c r="E190" s="58">
        <f t="shared" si="46"/>
        <v>-0.40000000000000036</v>
      </c>
      <c r="F190" s="58" t="str">
        <f t="shared" ca="1" si="47"/>
        <v>99</v>
      </c>
      <c r="G190" s="58">
        <f t="shared" si="48"/>
        <v>-12.000000000000002</v>
      </c>
      <c r="H190" s="46" t="str">
        <f>_xll.MKV_PUBLISHRECORD(A190, $H$4)</f>
        <v>OK</v>
      </c>
      <c r="I190" s="46" t="str">
        <f ca="1">_xll.MKV_SUPPLYRECORD_RANGE(A190,$B$3:$G$3,B190:G190)</f>
        <v>OK</v>
      </c>
      <c r="J190" s="34">
        <f>_xll.MKV($J$1&amp;$C190, J$3)</f>
        <v>-0.23566899999999999</v>
      </c>
      <c r="K190" s="32">
        <f>_xll.MKV($L$2&amp;$C190, K$3)</f>
        <v>-0.22900000000000001</v>
      </c>
      <c r="L190" s="35">
        <f>_xll.MKV($L$2&amp;$C190, L$3)</f>
        <v>108.197</v>
      </c>
      <c r="M190" s="32">
        <f t="shared" si="49"/>
        <v>2.0000000000095497E-3</v>
      </c>
      <c r="N190" s="36">
        <f>_xll.BDH(C190&amp;"@CBBT Corp","OPEN",$N$1&amp;" 4:15:00 PM",$N$1&amp;" 5:15:00 PM","BarSz=60","BarTp=T","RecurDaily=True","TZ=London","DTS=H")</f>
        <v>108.19499999999999</v>
      </c>
      <c r="O190" s="36" t="e">
        <f ca="1">[1]!BError(_xll.BDH($C190&amp;"@CBBT Corp","OPEN",$O$1&amp;" 4:15:00 PM",$O$1&amp;" 5:15:00 PM","BarSz=60","BarTp=T","RecurDaily=True","TZ=London","DTS=H"))</f>
        <v>#NAME?</v>
      </c>
      <c r="P190" s="36">
        <f>_xll.BDH($C190&amp;"@CBBT Corp","OPEN",P$1&amp;" 4:15:00 PM",P$1&amp;" 5:15:00 PM","BarSz=60","BarTp=T","RecurDaily=True","TZ=London","DTS=H")</f>
        <v>108.28</v>
      </c>
      <c r="Q190" s="44">
        <f>_xll.BDP($C190&amp;"@CBBT Corp","YAS_BOND_YLD", "SETTLE_DT="&amp;Q$1, "YAS_BOND_PX="&amp;$N190)</f>
        <v>-0.22500000000000001</v>
      </c>
      <c r="R190" s="44" t="e">
        <f ca="1">_xll.BDP($C190&amp;"@CBBT Corp","YAS_BOND_YLD", "SETTLE_DT="&amp;R$1, "YAS_BOND_PX="&amp;$O190)</f>
        <v>#NAME?</v>
      </c>
      <c r="S190" s="44">
        <f>_xll.BDP($C190&amp;"@CBBT Corp","YAS_BOND_YLD", "SETTLE_DT="&amp;S$1, "YAS_BOND_PX="&amp;$P190)</f>
        <v>-0.109</v>
      </c>
    </row>
    <row r="191" spans="1:19">
      <c r="A191" s="46" t="str">
        <f t="shared" si="50"/>
        <v>EUR.CM_DEPTH.XLS_ANDREA.ES00000128A0</v>
      </c>
      <c r="B191" s="51" t="str">
        <f>_xll.MKV("EUR.CM_INSTRUMENT.PXE."&amp;C191,B$3)</f>
        <v>SPGB</v>
      </c>
      <c r="C191" s="61" t="s">
        <v>677</v>
      </c>
      <c r="D191" s="125">
        <f>_xll.MKV("EUR.CM_INSTRUMENT.PXE."&amp;C191,D$3)</f>
        <v>43496</v>
      </c>
      <c r="E191" s="58">
        <f t="shared" si="46"/>
        <v>0.59999999999999776</v>
      </c>
      <c r="F191" s="58" t="str">
        <f t="shared" ca="1" si="47"/>
        <v>99</v>
      </c>
      <c r="G191" s="58">
        <f t="shared" si="48"/>
        <v>-10.000000000000002</v>
      </c>
      <c r="H191" s="46" t="str">
        <f>_xll.MKV_PUBLISHRECORD(A191, $H$4)</f>
        <v>OK</v>
      </c>
      <c r="I191" s="46" t="str">
        <f ca="1">_xll.MKV_SUPPLYRECORD_RANGE(A191,$B$3:$G$3,B191:G191)</f>
        <v>OK</v>
      </c>
      <c r="J191" s="34">
        <f>_xll.MKV($J$1&amp;$C191, J$3)</f>
        <v>-0.14976600000000001</v>
      </c>
      <c r="K191" s="32">
        <f>_xll.MKV($L$2&amp;$C191, K$3)</f>
        <v>-0.14400000000000002</v>
      </c>
      <c r="L191" s="35">
        <f>_xll.MKV($L$2&amp;$C191, L$3)</f>
        <v>100.922</v>
      </c>
      <c r="M191" s="32">
        <f t="shared" si="49"/>
        <v>-3.0000000000001137E-3</v>
      </c>
      <c r="N191" s="36">
        <f>_xll.BDH(C191&amp;"@CBBT Corp","OPEN",$N$1&amp;" 4:15:00 PM",$N$1&amp;" 5:15:00 PM","BarSz=60","BarTp=T","RecurDaily=True","TZ=London","DTS=H")</f>
        <v>100.925</v>
      </c>
      <c r="O191" s="36" t="e">
        <f ca="1">[1]!BError(_xll.BDH($C191&amp;"@CBBT Corp","OPEN",$O$1&amp;" 4:15:00 PM",$O$1&amp;" 5:15:00 PM","BarSz=60","BarTp=T","RecurDaily=True","TZ=London","DTS=H"))</f>
        <v>#NAME?</v>
      </c>
      <c r="P191" s="36">
        <f>_xll.BDH($C191&amp;"@CBBT Corp","OPEN",P$1&amp;" 4:15:00 PM",P$1&amp;" 5:15:00 PM","BarSz=60","BarTp=T","RecurDaily=True","TZ=London","DTS=H")</f>
        <v>100.705</v>
      </c>
      <c r="Q191" s="44">
        <f>_xll.BDP($C191&amp;"@CBBT Corp","YAS_BOND_YLD", "SETTLE_DT="&amp;Q$1, "YAS_BOND_PX="&amp;$N191)</f>
        <v>-0.15</v>
      </c>
      <c r="R191" s="44" t="e">
        <f ca="1">_xll.BDP($C191&amp;"@CBBT Corp","YAS_BOND_YLD", "SETTLE_DT="&amp;R$1, "YAS_BOND_PX="&amp;$O191)</f>
        <v>#NAME?</v>
      </c>
      <c r="S191" s="44">
        <f>_xll.BDP($C191&amp;"@CBBT Corp","YAS_BOND_YLD", "SETTLE_DT="&amp;S$1, "YAS_BOND_PX="&amp;$P191)</f>
        <v>-4.3999999999999997E-2</v>
      </c>
    </row>
    <row r="192" spans="1:19">
      <c r="A192" s="46" t="str">
        <f t="shared" si="50"/>
        <v>EUR.CM_DEPTH.XLS_ANDREA.ES00000124V5</v>
      </c>
      <c r="B192" s="51" t="str">
        <f>_xll.MKV("EUR.CM_INSTRUMENT.PXE."&amp;C192,B$3)</f>
        <v>SPGB</v>
      </c>
      <c r="C192" s="61" t="s">
        <v>542</v>
      </c>
      <c r="D192" s="125">
        <f>_xll.MKV("EUR.CM_INSTRUMENT.PXE."&amp;C192,D$3)</f>
        <v>43585</v>
      </c>
      <c r="E192" s="58">
        <f t="shared" si="46"/>
        <v>0.30000000000000027</v>
      </c>
      <c r="F192" s="58" t="str">
        <f t="shared" ca="1" si="47"/>
        <v>99</v>
      </c>
      <c r="G192" s="58">
        <f t="shared" si="48"/>
        <v>-9.8000000000000007</v>
      </c>
      <c r="H192" s="46" t="str">
        <f>_xll.MKV_PUBLISHRECORD(A192, $H$4)</f>
        <v>OK</v>
      </c>
      <c r="I192" s="46" t="str">
        <f ca="1">_xll.MKV_SUPPLYRECORD_RANGE(A192,$B$3:$G$3,B192:G192)</f>
        <v>OK</v>
      </c>
      <c r="J192" s="34">
        <f>_xll.MKV($J$1&amp;$C192, J$3)</f>
        <v>-0.121596</v>
      </c>
      <c r="K192" s="32">
        <f>_xll.MKV($L$2&amp;$C192, K$3)</f>
        <v>-0.113</v>
      </c>
      <c r="L192" s="35">
        <f>_xll.MKV($L$2&amp;$C192, L$3)</f>
        <v>107.325</v>
      </c>
      <c r="M192" s="32">
        <f t="shared" si="49"/>
        <v>-1.9999999999953388E-3</v>
      </c>
      <c r="N192" s="36">
        <f>_xll.BDH(C192&amp;"@CBBT Corp","OPEN",$N$1&amp;" 4:15:00 PM",$N$1&amp;" 5:15:00 PM","BarSz=60","BarTp=T","RecurDaily=True","TZ=London","DTS=H")</f>
        <v>107.327</v>
      </c>
      <c r="O192" s="36" t="e">
        <f ca="1">[1]!BError(_xll.BDH($C192&amp;"@CBBT Corp","OPEN",$O$1&amp;" 4:15:00 PM",$O$1&amp;" 5:15:00 PM","BarSz=60","BarTp=T","RecurDaily=True","TZ=London","DTS=H"))</f>
        <v>#NAME?</v>
      </c>
      <c r="P192" s="36">
        <f>_xll.BDH($C192&amp;"@CBBT Corp","OPEN",P$1&amp;" 4:15:00 PM",P$1&amp;" 5:15:00 PM","BarSz=60","BarTp=T","RecurDaily=True","TZ=London","DTS=H")</f>
        <v>107.298</v>
      </c>
      <c r="Q192" s="44">
        <f>_xll.BDP($C192&amp;"@CBBT Corp","YAS_BOND_YLD", "SETTLE_DT="&amp;Q$1, "YAS_BOND_PX="&amp;$N192)</f>
        <v>-0.11600000000000001</v>
      </c>
      <c r="R192" s="44" t="e">
        <f ca="1">_xll.BDP($C192&amp;"@CBBT Corp","YAS_BOND_YLD", "SETTLE_DT="&amp;R$1, "YAS_BOND_PX="&amp;$O192)</f>
        <v>#NAME?</v>
      </c>
      <c r="S192" s="44">
        <f>_xll.BDP($C192&amp;"@CBBT Corp","YAS_BOND_YLD", "SETTLE_DT="&amp;S$1, "YAS_BOND_PX="&amp;$P192)</f>
        <v>-1.4999999999999999E-2</v>
      </c>
    </row>
    <row r="193" spans="1:19">
      <c r="A193" s="46" t="str">
        <f t="shared" si="50"/>
        <v>EUR.CM_DEPTH.XLS_ANDREA.ES00000121L2</v>
      </c>
      <c r="B193" s="51" t="str">
        <f>_xll.MKV("EUR.CM_INSTRUMENT.PXE."&amp;C193,B$3)</f>
        <v>SPGB</v>
      </c>
      <c r="C193" s="61" t="s">
        <v>546</v>
      </c>
      <c r="D193" s="125">
        <f>_xll.MKV("EUR.CM_INSTRUMENT.PXE."&amp;C193,D$3)</f>
        <v>43676</v>
      </c>
      <c r="E193" s="58">
        <f t="shared" si="46"/>
        <v>0.10000000000000009</v>
      </c>
      <c r="F193" s="58" t="str">
        <f t="shared" ca="1" si="47"/>
        <v>99</v>
      </c>
      <c r="G193" s="58">
        <f t="shared" si="48"/>
        <v>-9.1999999999999993</v>
      </c>
      <c r="H193" s="46" t="str">
        <f>_xll.MKV_PUBLISHRECORD(A193, $H$4)</f>
        <v>OK</v>
      </c>
      <c r="I193" s="46" t="str">
        <f ca="1">_xll.MKV_SUPPLYRECORD_RANGE(A193,$B$3:$G$3,B193:G193)</f>
        <v>OK</v>
      </c>
      <c r="J193" s="34">
        <f>_xll.MKV($J$1&amp;$C193, J$3)</f>
        <v>-9.0311000000000002E-2</v>
      </c>
      <c r="K193" s="32">
        <f>_xll.MKV($L$2&amp;$C193, K$3)</f>
        <v>-0.08</v>
      </c>
      <c r="L193" s="35">
        <f>_xll.MKV($L$2&amp;$C193, L$3)</f>
        <v>113.13</v>
      </c>
      <c r="M193" s="32">
        <f t="shared" si="49"/>
        <v>1.9999999999953388E-3</v>
      </c>
      <c r="N193" s="36">
        <f>_xll.BDH(C193&amp;"@CBBT Corp","OPEN",$N$1&amp;" 4:15:00 PM",$N$1&amp;" 5:15:00 PM","BarSz=60","BarTp=T","RecurDaily=True","TZ=London","DTS=H")</f>
        <v>113.128</v>
      </c>
      <c r="O193" s="36" t="e">
        <f ca="1">[1]!BError(_xll.BDH($C193&amp;"@CBBT Corp","OPEN",$O$1&amp;" 4:15:00 PM",$O$1&amp;" 5:15:00 PM","BarSz=60","BarTp=T","RecurDaily=True","TZ=London","DTS=H"))</f>
        <v>#NAME?</v>
      </c>
      <c r="P193" s="36">
        <f>_xll.BDH($C193&amp;"@CBBT Corp","OPEN",P$1&amp;" 4:15:00 PM",P$1&amp;" 5:15:00 PM","BarSz=60","BarTp=T","RecurDaily=True","TZ=London","DTS=H")</f>
        <v>113.247</v>
      </c>
      <c r="Q193" s="44">
        <f>_xll.BDP($C193&amp;"@CBBT Corp","YAS_BOND_YLD", "SETTLE_DT="&amp;Q$1, "YAS_BOND_PX="&amp;$N193)</f>
        <v>-8.1000000000000003E-2</v>
      </c>
      <c r="R193" s="44" t="e">
        <f ca="1">_xll.BDP($C193&amp;"@CBBT Corp","YAS_BOND_YLD", "SETTLE_DT="&amp;R$1, "YAS_BOND_PX="&amp;$O193)</f>
        <v>#NAME?</v>
      </c>
      <c r="S193" s="44">
        <f>_xll.BDP($C193&amp;"@CBBT Corp","YAS_BOND_YLD", "SETTLE_DT="&amp;S$1, "YAS_BOND_PX="&amp;$P193)</f>
        <v>1.2E-2</v>
      </c>
    </row>
    <row r="194" spans="1:19">
      <c r="A194" s="46" t="str">
        <f t="shared" si="50"/>
        <v>EUR.CM_DEPTH.XLS_ANDREA.ES00000121O6</v>
      </c>
      <c r="B194" s="51" t="str">
        <f>_xll.MKV("EUR.CM_INSTRUMENT.PXE."&amp;C194,B$3)</f>
        <v>SPGB</v>
      </c>
      <c r="C194" s="61" t="s">
        <v>549</v>
      </c>
      <c r="D194" s="125">
        <f>_xll.MKV("EUR.CM_INSTRUMENT.PXE."&amp;C194,D$3)</f>
        <v>43769</v>
      </c>
      <c r="E194" s="58">
        <f t="shared" si="46"/>
        <v>0.59999999999999987</v>
      </c>
      <c r="F194" s="58" t="str">
        <f t="shared" ca="1" si="47"/>
        <v>99</v>
      </c>
      <c r="G194" s="58">
        <f t="shared" si="48"/>
        <v>-8.5</v>
      </c>
      <c r="H194" s="46" t="str">
        <f>_xll.MKV_PUBLISHRECORD(A194, $H$4)</f>
        <v>OK</v>
      </c>
      <c r="I194" s="46" t="str">
        <f ca="1">_xll.MKV_SUPPLYRECORD_RANGE(A194,$B$3:$G$3,B194:G194)</f>
        <v>OK</v>
      </c>
      <c r="J194" s="34">
        <f>_xll.MKV($J$1&amp;$C194, J$3)</f>
        <v>-6.7324999999999996E-2</v>
      </c>
      <c r="K194" s="32">
        <f>_xll.MKV($L$2&amp;$C194, K$3)</f>
        <v>-5.2999999999999999E-2</v>
      </c>
      <c r="L194" s="35">
        <f>_xll.MKV($L$2&amp;$C194, L$3)</f>
        <v>113.33499999999999</v>
      </c>
      <c r="M194" s="32">
        <f t="shared" si="49"/>
        <v>4.9999999999954525E-3</v>
      </c>
      <c r="N194" s="36">
        <f>_xll.BDH(C194&amp;"@CBBT Corp","OPEN",$N$1&amp;" 4:15:00 PM",$N$1&amp;" 5:15:00 PM","BarSz=60","BarTp=T","RecurDaily=True","TZ=London","DTS=H")</f>
        <v>113.33</v>
      </c>
      <c r="O194" s="36" t="e">
        <f ca="1">[1]!BError(_xll.BDH($C194&amp;"@CBBT Corp","OPEN",$O$1&amp;" 4:15:00 PM",$O$1&amp;" 5:15:00 PM","BarSz=60","BarTp=T","RecurDaily=True","TZ=London","DTS=H"))</f>
        <v>#NAME?</v>
      </c>
      <c r="P194" s="36">
        <f>_xll.BDH($C194&amp;"@CBBT Corp","OPEN",P$1&amp;" 4:15:00 PM",P$1&amp;" 5:15:00 PM","BarSz=60","BarTp=T","RecurDaily=True","TZ=London","DTS=H")</f>
        <v>113.402</v>
      </c>
      <c r="Q194" s="44">
        <f>_xll.BDP($C194&amp;"@CBBT Corp","YAS_BOND_YLD", "SETTLE_DT="&amp;Q$1, "YAS_BOND_PX="&amp;$N194)</f>
        <v>-5.8999999999999997E-2</v>
      </c>
      <c r="R194" s="44" t="e">
        <f ca="1">_xll.BDP($C194&amp;"@CBBT Corp","YAS_BOND_YLD", "SETTLE_DT="&amp;R$1, "YAS_BOND_PX="&amp;$O194)</f>
        <v>#NAME?</v>
      </c>
      <c r="S194" s="44">
        <f>_xll.BDP($C194&amp;"@CBBT Corp","YAS_BOND_YLD", "SETTLE_DT="&amp;S$1, "YAS_BOND_PX="&amp;$P194)</f>
        <v>3.2000000000000001E-2</v>
      </c>
    </row>
    <row r="195" spans="1:19">
      <c r="A195" s="46" t="str">
        <f t="shared" si="50"/>
        <v>EUR.CM_DEPTH.XLS_ANDREA.ES00000126C0</v>
      </c>
      <c r="B195" s="51" t="str">
        <f>_xll.MKV("EUR.CM_INSTRUMENT.PXE."&amp;C195,B$3)</f>
        <v>SPGB</v>
      </c>
      <c r="C195" s="61" t="s">
        <v>552</v>
      </c>
      <c r="D195" s="125">
        <f>_xll.MKV("EUR.CM_INSTRUMENT.PXE."&amp;C195,D$3)</f>
        <v>43861</v>
      </c>
      <c r="E195" s="58">
        <f t="shared" si="46"/>
        <v>1.1999999999999997</v>
      </c>
      <c r="F195" s="58" t="str">
        <f t="shared" ca="1" si="47"/>
        <v>99</v>
      </c>
      <c r="G195" s="58">
        <f t="shared" si="48"/>
        <v>-8.6999999999999993</v>
      </c>
      <c r="H195" s="46" t="str">
        <f>_xll.MKV_PUBLISHRECORD(A195, $H$4)</f>
        <v>OK</v>
      </c>
      <c r="I195" s="46" t="str">
        <f ca="1">_xll.MKV_SUPPLYRECORD_RANGE(A195,$B$3:$G$3,B195:G195)</f>
        <v>OK</v>
      </c>
      <c r="J195" s="34">
        <f>_xll.MKV($J$1&amp;$C195, J$3)</f>
        <v>-4.8235E-2</v>
      </c>
      <c r="K195" s="32">
        <f>_xll.MKV($L$2&amp;$C195, K$3)</f>
        <v>-3.3000000000000002E-2</v>
      </c>
      <c r="L195" s="35">
        <f>_xll.MKV($L$2&amp;$C195, L$3)</f>
        <v>104.785</v>
      </c>
      <c r="M195" s="32">
        <f t="shared" si="49"/>
        <v>1.9999999999953388E-3</v>
      </c>
      <c r="N195" s="36">
        <f>_xll.BDH(C195&amp;"@CBBT Corp","OPEN",$N$1&amp;" 4:15:00 PM",$N$1&amp;" 5:15:00 PM","BarSz=60","BarTp=T","RecurDaily=True","TZ=London","DTS=H")</f>
        <v>104.783</v>
      </c>
      <c r="O195" s="36" t="e">
        <f ca="1">[1]!BError(_xll.BDH($C195&amp;"@CBBT Corp","OPEN",$O$1&amp;" 4:15:00 PM",$O$1&amp;" 5:15:00 PM","BarSz=60","BarTp=T","RecurDaily=True","TZ=London","DTS=H"))</f>
        <v>#NAME?</v>
      </c>
      <c r="P195" s="36">
        <f>_xll.BDH($C195&amp;"@CBBT Corp","OPEN",P$1&amp;" 4:15:00 PM",P$1&amp;" 5:15:00 PM","BarSz=60","BarTp=T","RecurDaily=True","TZ=London","DTS=H")</f>
        <v>104.563</v>
      </c>
      <c r="Q195" s="44">
        <f>_xll.BDP($C195&amp;"@CBBT Corp","YAS_BOND_YLD", "SETTLE_DT="&amp;Q$1, "YAS_BOND_PX="&amp;$N195)</f>
        <v>-4.4999999999999998E-2</v>
      </c>
      <c r="R195" s="44" t="e">
        <f ca="1">_xll.BDP($C195&amp;"@CBBT Corp","YAS_BOND_YLD", "SETTLE_DT="&amp;R$1, "YAS_BOND_PX="&amp;$O195)</f>
        <v>#NAME?</v>
      </c>
      <c r="S195" s="44">
        <f>_xll.BDP($C195&amp;"@CBBT Corp","YAS_BOND_YLD", "SETTLE_DT="&amp;S$1, "YAS_BOND_PX="&amp;$P195)</f>
        <v>5.3999999999999999E-2</v>
      </c>
    </row>
    <row r="196" spans="1:19">
      <c r="A196" s="46" t="str">
        <f t="shared" si="50"/>
        <v>EUR.CM_DEPTH.XLS_ANDREA.ES00000122D7</v>
      </c>
      <c r="B196" s="51" t="str">
        <f>_xll.MKV("EUR.CM_INSTRUMENT.PXE."&amp;C196,B$3)</f>
        <v>SPGB</v>
      </c>
      <c r="C196" s="61" t="s">
        <v>555</v>
      </c>
      <c r="D196" s="125">
        <f>_xll.MKV("EUR.CM_INSTRUMENT.PXE."&amp;C196,D$3)</f>
        <v>43951</v>
      </c>
      <c r="E196" s="58">
        <f t="shared" si="46"/>
        <v>0.8999999999999998</v>
      </c>
      <c r="F196" s="58" t="str">
        <f t="shared" ca="1" si="47"/>
        <v>99</v>
      </c>
      <c r="G196" s="58">
        <f t="shared" si="48"/>
        <v>-8.6999999999999993</v>
      </c>
      <c r="H196" s="46" t="str">
        <f>_xll.MKV_PUBLISHRECORD(A196, $H$4)</f>
        <v>OK</v>
      </c>
      <c r="I196" s="46" t="str">
        <f ca="1">_xll.MKV_SUPPLYRECORD_RANGE(A196,$B$3:$G$3,B196:G196)</f>
        <v>OK</v>
      </c>
      <c r="J196" s="34">
        <f>_xll.MKV($J$1&amp;$C196, J$3)</f>
        <v>-2.4306999999999999E-2</v>
      </c>
      <c r="K196" s="32">
        <f>_xll.MKV($L$2&amp;$C196, K$3)</f>
        <v>-9.0000000000000011E-3</v>
      </c>
      <c r="L196" s="35">
        <f>_xll.MKV($L$2&amp;$C196, L$3)</f>
        <v>114.27500000000001</v>
      </c>
      <c r="M196" s="32">
        <f t="shared" si="49"/>
        <v>2.0000000000095497E-3</v>
      </c>
      <c r="N196" s="36">
        <f>_xll.BDH(C196&amp;"@CBBT Corp","OPEN",$N$1&amp;" 4:15:00 PM",$N$1&amp;" 5:15:00 PM","BarSz=60","BarTp=T","RecurDaily=True","TZ=London","DTS=H")</f>
        <v>114.273</v>
      </c>
      <c r="O196" s="36" t="e">
        <f ca="1">[1]!BError(_xll.BDH($C196&amp;"@CBBT Corp","OPEN",$O$1&amp;" 4:15:00 PM",$O$1&amp;" 5:15:00 PM","BarSz=60","BarTp=T","RecurDaily=True","TZ=London","DTS=H"))</f>
        <v>#NAME?</v>
      </c>
      <c r="P196" s="36">
        <f>_xll.BDH($C196&amp;"@CBBT Corp","OPEN",P$1&amp;" 4:15:00 PM",P$1&amp;" 5:15:00 PM","BarSz=60","BarTp=T","RecurDaily=True","TZ=London","DTS=H")</f>
        <v>114.245</v>
      </c>
      <c r="Q196" s="44">
        <f>_xll.BDP($C196&amp;"@CBBT Corp","YAS_BOND_YLD", "SETTLE_DT="&amp;Q$1, "YAS_BOND_PX="&amp;$N196)</f>
        <v>-1.7999999999999999E-2</v>
      </c>
      <c r="R196" s="44" t="e">
        <f ca="1">_xll.BDP($C196&amp;"@CBBT Corp","YAS_BOND_YLD", "SETTLE_DT="&amp;R$1, "YAS_BOND_PX="&amp;$O196)</f>
        <v>#NAME?</v>
      </c>
      <c r="S196" s="44">
        <f>_xll.BDP($C196&amp;"@CBBT Corp","YAS_BOND_YLD", "SETTLE_DT="&amp;S$1, "YAS_BOND_PX="&amp;$P196)</f>
        <v>7.8E-2</v>
      </c>
    </row>
    <row r="197" spans="1:19">
      <c r="A197" s="46" t="str">
        <f t="shared" si="50"/>
        <v>EUR.CM_DEPTH.XLS_ANDREA.ES00000127H7</v>
      </c>
      <c r="B197" s="51" t="str">
        <f>_xll.MKV("EUR.CM_INSTRUMENT.PXE."&amp;C197,B$3)</f>
        <v>SPGB</v>
      </c>
      <c r="C197" s="61" t="s">
        <v>639</v>
      </c>
      <c r="D197" s="125">
        <f>_xll.MKV("EUR.CM_INSTRUMENT.PXE."&amp;C197,D$3)</f>
        <v>44042</v>
      </c>
      <c r="E197" s="58">
        <f t="shared" si="46"/>
        <v>1.2</v>
      </c>
      <c r="F197" s="58" t="str">
        <f t="shared" ca="1" si="47"/>
        <v>99</v>
      </c>
      <c r="G197" s="58">
        <f t="shared" si="48"/>
        <v>-5.8000000000000007</v>
      </c>
      <c r="H197" s="46" t="str">
        <f>_xll.MKV_PUBLISHRECORD(A197, $H$4)</f>
        <v>OK</v>
      </c>
      <c r="I197" s="46" t="str">
        <f ca="1">_xll.MKV_SUPPLYRECORD_RANGE(A197,$B$3:$G$3,B197:G197)</f>
        <v>OK</v>
      </c>
      <c r="J197" s="34">
        <f>_xll.MKV($J$1&amp;$C197, J$3)</f>
        <v>-5.4609999999999997E-3</v>
      </c>
      <c r="K197" s="32">
        <f>_xll.MKV($L$2&amp;$C197, K$3)</f>
        <v>9.0000000000000011E-3</v>
      </c>
      <c r="L197" s="35">
        <f>_xll.MKV($L$2&amp;$C197, L$3)</f>
        <v>104.38500000000001</v>
      </c>
      <c r="M197" s="32">
        <f t="shared" si="49"/>
        <v>5.0000000000096634E-3</v>
      </c>
      <c r="N197" s="36">
        <f>_xll.BDH(C197&amp;"@CBBT Corp","OPEN",$N$1&amp;" 4:15:00 PM",$N$1&amp;" 5:15:00 PM","BarSz=60","BarTp=T","RecurDaily=True","TZ=London","DTS=H")</f>
        <v>104.38</v>
      </c>
      <c r="O197" s="36" t="e">
        <f ca="1">[1]!BError(_xll.BDH($C197&amp;"@CBBT Corp","OPEN",$O$1&amp;" 4:15:00 PM",$O$1&amp;" 5:15:00 PM","BarSz=60","BarTp=T","RecurDaily=True","TZ=London","DTS=H"))</f>
        <v>#NAME?</v>
      </c>
      <c r="P197" s="36">
        <f>_xll.BDH($C197&amp;"@CBBT Corp","OPEN",P$1&amp;" 4:15:00 PM",P$1&amp;" 5:15:00 PM","BarSz=60","BarTp=T","RecurDaily=True","TZ=London","DTS=H")</f>
        <v>104.202</v>
      </c>
      <c r="Q197" s="44">
        <f>_xll.BDP($C197&amp;"@CBBT Corp","YAS_BOND_YLD", "SETTLE_DT="&amp;Q$1, "YAS_BOND_PX="&amp;$N197)</f>
        <v>-3.0000000000000001E-3</v>
      </c>
      <c r="R197" s="44" t="e">
        <f ca="1">_xll.BDP($C197&amp;"@CBBT Corp","YAS_BOND_YLD", "SETTLE_DT="&amp;R$1, "YAS_BOND_PX="&amp;$O197)</f>
        <v>#NAME?</v>
      </c>
      <c r="S197" s="44">
        <f>_xll.BDP($C197&amp;"@CBBT Corp","YAS_BOND_YLD", "SETTLE_DT="&amp;S$1, "YAS_BOND_PX="&amp;$P197)</f>
        <v>6.7000000000000004E-2</v>
      </c>
    </row>
    <row r="198" spans="1:19">
      <c r="A198" s="46" t="str">
        <f t="shared" si="50"/>
        <v>EUR.CM_DEPTH.XLS_ANDREA.ES00000122T3</v>
      </c>
      <c r="B198" s="51" t="str">
        <f>_xll.MKV("EUR.CM_INSTRUMENT.PXE."&amp;C198,B$3)</f>
        <v>SPGB</v>
      </c>
      <c r="C198" s="61" t="s">
        <v>561</v>
      </c>
      <c r="D198" s="125">
        <f>_xll.MKV("EUR.CM_INSTRUMENT.PXE."&amp;C198,D$3)</f>
        <v>44135</v>
      </c>
      <c r="E198" s="58">
        <f t="shared" si="46"/>
        <v>1.2000000000000004</v>
      </c>
      <c r="F198" s="58" t="str">
        <f t="shared" ca="1" si="47"/>
        <v>99</v>
      </c>
      <c r="G198" s="58">
        <f t="shared" si="48"/>
        <v>-6</v>
      </c>
      <c r="H198" s="46" t="str">
        <f>_xll.MKV_PUBLISHRECORD(A198, $H$4)</f>
        <v>OK</v>
      </c>
      <c r="I198" s="46" t="str">
        <f ca="1">_xll.MKV_SUPPLYRECORD_RANGE(A198,$B$3:$G$3,B198:G198)</f>
        <v>OK</v>
      </c>
      <c r="J198" s="34">
        <f>_xll.MKV($J$1&amp;$C198, J$3)</f>
        <v>1.6709000000000002E-2</v>
      </c>
      <c r="K198" s="32">
        <f>_xll.MKV($L$2&amp;$C198, K$3)</f>
        <v>3.5000000000000003E-2</v>
      </c>
      <c r="L198" s="35">
        <f>_xll.MKV($L$2&amp;$C198, L$3)</f>
        <v>119.5625</v>
      </c>
      <c r="M198" s="32">
        <f t="shared" si="49"/>
        <v>2.4999999999977263E-3</v>
      </c>
      <c r="N198" s="36">
        <f>_xll.BDH(C198&amp;"@CBBT Corp","OPEN",$N$1&amp;" 4:15:00 PM",$N$1&amp;" 5:15:00 PM","BarSz=60","BarTp=T","RecurDaily=True","TZ=London","DTS=H")</f>
        <v>119.56</v>
      </c>
      <c r="O198" s="36" t="e">
        <f ca="1">[1]!BError(_xll.BDH($C198&amp;"@CBBT Corp","OPEN",$O$1&amp;" 4:15:00 PM",$O$1&amp;" 5:15:00 PM","BarSz=60","BarTp=T","RecurDaily=True","TZ=London","DTS=H"))</f>
        <v>#NAME?</v>
      </c>
      <c r="P198" s="36">
        <f>_xll.BDH($C198&amp;"@CBBT Corp","OPEN",P$1&amp;" 4:15:00 PM",P$1&amp;" 5:15:00 PM","BarSz=60","BarTp=T","RecurDaily=True","TZ=London","DTS=H")</f>
        <v>119.645</v>
      </c>
      <c r="Q198" s="44">
        <f>_xll.BDP($C198&amp;"@CBBT Corp","YAS_BOND_YLD", "SETTLE_DT="&amp;Q$1, "YAS_BOND_PX="&amp;$N198)</f>
        <v>2.3E-2</v>
      </c>
      <c r="R198" s="44" t="e">
        <f ca="1">_xll.BDP($C198&amp;"@CBBT Corp","YAS_BOND_YLD", "SETTLE_DT="&amp;R$1, "YAS_BOND_PX="&amp;$O198)</f>
        <v>#NAME?</v>
      </c>
      <c r="S198" s="44">
        <f>_xll.BDP($C198&amp;"@CBBT Corp","YAS_BOND_YLD", "SETTLE_DT="&amp;S$1, "YAS_BOND_PX="&amp;$P198)</f>
        <v>9.5000000000000001E-2</v>
      </c>
    </row>
    <row r="199" spans="1:19">
      <c r="A199" s="46" t="str">
        <f t="shared" si="50"/>
        <v>EUR.CM_DEPTH.XLS_ANDREA.ES00000123B9</v>
      </c>
      <c r="B199" s="51" t="str">
        <f>_xll.MKV("EUR.CM_INSTRUMENT.PXE."&amp;C199,B$3)</f>
        <v>SPGB</v>
      </c>
      <c r="C199" s="61" t="s">
        <v>565</v>
      </c>
      <c r="D199" s="125">
        <f>_xll.MKV("EUR.CM_INSTRUMENT.PXE."&amp;C199,D$3)</f>
        <v>44316</v>
      </c>
      <c r="E199" s="58">
        <f t="shared" si="46"/>
        <v>1.4000000000000012</v>
      </c>
      <c r="F199" s="58" t="str">
        <f t="shared" ca="1" si="47"/>
        <v>99</v>
      </c>
      <c r="G199" s="58">
        <f t="shared" si="48"/>
        <v>-7.5</v>
      </c>
      <c r="H199" s="46" t="str">
        <f>_xll.MKV_PUBLISHRECORD(A199, $H$4)</f>
        <v>OK</v>
      </c>
      <c r="I199" s="46" t="str">
        <f ca="1">_xll.MKV_SUPPLYRECORD_RANGE(A199,$B$3:$G$3,B199:G199)</f>
        <v>OK</v>
      </c>
      <c r="J199" s="34">
        <f>_xll.MKV($J$1&amp;$C199, J$3)</f>
        <v>6.5151000000000001E-2</v>
      </c>
      <c r="K199" s="32">
        <f>_xll.MKV($L$2&amp;$C199, K$3)</f>
        <v>8.6000000000000007E-2</v>
      </c>
      <c r="L199" s="35">
        <f>_xll.MKV($L$2&amp;$C199, L$3)</f>
        <v>124.6575</v>
      </c>
      <c r="M199" s="32">
        <f t="shared" si="49"/>
        <v>5.49999999999784E-3</v>
      </c>
      <c r="N199" s="36">
        <f>_xll.BDH(C199&amp;"@CBBT Corp","OPEN",$N$1&amp;" 4:15:00 PM",$N$1&amp;" 5:15:00 PM","BarSz=60","BarTp=T","RecurDaily=True","TZ=London","DTS=H")</f>
        <v>124.652</v>
      </c>
      <c r="O199" s="36" t="e">
        <f ca="1">[1]!BError(_xll.BDH($C199&amp;"@CBBT Corp","OPEN",$O$1&amp;" 4:15:00 PM",$O$1&amp;" 5:15:00 PM","BarSz=60","BarTp=T","RecurDaily=True","TZ=London","DTS=H"))</f>
        <v>#NAME?</v>
      </c>
      <c r="P199" s="36">
        <f>_xll.BDH($C199&amp;"@CBBT Corp","OPEN",P$1&amp;" 4:15:00 PM",P$1&amp;" 5:15:00 PM","BarSz=60","BarTp=T","RecurDaily=True","TZ=London","DTS=H")</f>
        <v>124.65</v>
      </c>
      <c r="Q199" s="44">
        <f>_xll.BDP($C199&amp;"@CBBT Corp","YAS_BOND_YLD", "SETTLE_DT="&amp;Q$1, "YAS_BOND_PX="&amp;$N199)</f>
        <v>7.1999999999999995E-2</v>
      </c>
      <c r="R199" s="44" t="e">
        <f ca="1">_xll.BDP($C199&amp;"@CBBT Corp","YAS_BOND_YLD", "SETTLE_DT="&amp;R$1, "YAS_BOND_PX="&amp;$O199)</f>
        <v>#NAME?</v>
      </c>
      <c r="S199" s="44">
        <f>_xll.BDP($C199&amp;"@CBBT Corp","YAS_BOND_YLD", "SETTLE_DT="&amp;S$1, "YAS_BOND_PX="&amp;$P199)</f>
        <v>0.161</v>
      </c>
    </row>
    <row r="200" spans="1:19">
      <c r="A200" s="46" t="str">
        <f t="shared" si="50"/>
        <v>EUR.CM_DEPTH.XLS_ANDREA.ES00000123K0</v>
      </c>
      <c r="B200" s="51" t="str">
        <f>_xll.MKV("EUR.CM_INSTRUMENT.PXE."&amp;C200,B$3)</f>
        <v>SPGB</v>
      </c>
      <c r="C200" s="61" t="s">
        <v>570</v>
      </c>
      <c r="D200" s="125">
        <f>_xll.MKV("EUR.CM_INSTRUMENT.PXE."&amp;C200,D$3)</f>
        <v>44592</v>
      </c>
      <c r="E200" s="58">
        <f t="shared" si="46"/>
        <v>1.7999999999999989</v>
      </c>
      <c r="F200" s="58" t="str">
        <f t="shared" ca="1" si="47"/>
        <v>99</v>
      </c>
      <c r="G200" s="58">
        <f t="shared" si="48"/>
        <v>-6.900000000000003</v>
      </c>
      <c r="H200" s="46" t="str">
        <f>_xll.MKV_PUBLISHRECORD(A200, $H$4)</f>
        <v>OK</v>
      </c>
      <c r="I200" s="46" t="str">
        <f ca="1">_xll.MKV_SUPPLYRECORD_RANGE(A200,$B$3:$G$3,B200:G200)</f>
        <v>OK</v>
      </c>
      <c r="J200" s="34">
        <f>_xll.MKV($J$1&amp;$C200, J$3)</f>
        <v>0.184556</v>
      </c>
      <c r="K200" s="32">
        <f>_xll.MKV($L$2&amp;$C200, K$3)</f>
        <v>0.20899999999999999</v>
      </c>
      <c r="L200" s="35">
        <f>_xll.MKV($L$2&amp;$C200, L$3)</f>
        <v>129.85499999999999</v>
      </c>
      <c r="M200" s="32">
        <f t="shared" si="49"/>
        <v>9.9999999999909051E-3</v>
      </c>
      <c r="N200" s="36">
        <f>_xll.BDH(C200&amp;"@CBBT Corp","OPEN",$N$1&amp;" 4:15:00 PM",$N$1&amp;" 5:15:00 PM","BarSz=60","BarTp=T","RecurDaily=True","TZ=London","DTS=H")</f>
        <v>129.845</v>
      </c>
      <c r="O200" s="36" t="e">
        <f ca="1">[1]!BError(_xll.BDH($C200&amp;"@CBBT Corp","OPEN",$O$1&amp;" 4:15:00 PM",$O$1&amp;" 5:15:00 PM","BarSz=60","BarTp=T","RecurDaily=True","TZ=London","DTS=H"))</f>
        <v>#NAME?</v>
      </c>
      <c r="P200" s="36">
        <f>_xll.BDH($C200&amp;"@CBBT Corp","OPEN",P$1&amp;" 4:15:00 PM",P$1&amp;" 5:15:00 PM","BarSz=60","BarTp=T","RecurDaily=True","TZ=London","DTS=H")</f>
        <v>129.78800000000001</v>
      </c>
      <c r="Q200" s="44">
        <f>_xll.BDP($C200&amp;"@CBBT Corp","YAS_BOND_YLD", "SETTLE_DT="&amp;Q$1, "YAS_BOND_PX="&amp;$N200)</f>
        <v>0.191</v>
      </c>
      <c r="R200" s="44" t="e">
        <f ca="1">_xll.BDP($C200&amp;"@CBBT Corp","YAS_BOND_YLD", "SETTLE_DT="&amp;R$1, "YAS_BOND_PX="&amp;$O200)</f>
        <v>#NAME?</v>
      </c>
      <c r="S200" s="44">
        <f>_xll.BDP($C200&amp;"@CBBT Corp","YAS_BOND_YLD", "SETTLE_DT="&amp;S$1, "YAS_BOND_PX="&amp;$P200)</f>
        <v>0.27800000000000002</v>
      </c>
    </row>
    <row r="201" spans="1:19">
      <c r="A201" s="46" t="str">
        <f t="shared" si="50"/>
        <v>EUR.CM_DEPTH.XLS_ANDREA.ES00000123U9</v>
      </c>
      <c r="B201" s="51" t="str">
        <f>_xll.MKV("EUR.CM_INSTRUMENT.PXE."&amp;C201,B$3)</f>
        <v>SPGB</v>
      </c>
      <c r="C201" s="61" t="s">
        <v>575</v>
      </c>
      <c r="D201" s="125">
        <f>_xll.MKV("EUR.CM_INSTRUMENT.PXE."&amp;C201,D$3)</f>
        <v>44957</v>
      </c>
      <c r="E201" s="58">
        <f t="shared" si="46"/>
        <v>2.300000000000002</v>
      </c>
      <c r="F201" s="58" t="str">
        <f t="shared" ca="1" si="47"/>
        <v>99</v>
      </c>
      <c r="G201" s="58">
        <f t="shared" si="48"/>
        <v>-9.2999999999999972</v>
      </c>
      <c r="H201" s="46" t="str">
        <f>_xll.MKV_PUBLISHRECORD(A201, $H$4)</f>
        <v>OK</v>
      </c>
      <c r="I201" s="46" t="str">
        <f ca="1">_xll.MKV_SUPPLYRECORD_RANGE(A201,$B$3:$G$3,B201:G201)</f>
        <v>OK</v>
      </c>
      <c r="J201" s="34">
        <f>_xll.MKV($J$1&amp;$C201, J$3)</f>
        <v>0.35790100000000002</v>
      </c>
      <c r="K201" s="32">
        <f>_xll.MKV($L$2&amp;$C201, K$3)</f>
        <v>0.38500000000000001</v>
      </c>
      <c r="L201" s="35">
        <f>_xll.MKV($L$2&amp;$C201, L$3)</f>
        <v>131.35499999999999</v>
      </c>
      <c r="M201" s="32">
        <f t="shared" si="49"/>
        <v>6.9999999999765805E-3</v>
      </c>
      <c r="N201" s="36">
        <f>_xll.BDH(C201&amp;"@CBBT Corp","OPEN",$N$1&amp;" 4:15:00 PM",$N$1&amp;" 5:15:00 PM","BarSz=60","BarTp=T","RecurDaily=True","TZ=London","DTS=H")</f>
        <v>131.34800000000001</v>
      </c>
      <c r="O201" s="36" t="e">
        <f ca="1">[1]!BError(_xll.BDH($C201&amp;"@CBBT Corp","OPEN",$O$1&amp;" 4:15:00 PM",$O$1&amp;" 5:15:00 PM","BarSz=60","BarTp=T","RecurDaily=True","TZ=London","DTS=H"))</f>
        <v>#NAME?</v>
      </c>
      <c r="P201" s="36">
        <f>_xll.BDH($C201&amp;"@CBBT Corp","OPEN",P$1&amp;" 4:15:00 PM",P$1&amp;" 5:15:00 PM","BarSz=60","BarTp=T","RecurDaily=True","TZ=London","DTS=H")</f>
        <v>130.91499999999999</v>
      </c>
      <c r="Q201" s="44">
        <f>_xll.BDP($C201&amp;"@CBBT Corp","YAS_BOND_YLD", "SETTLE_DT="&amp;Q$1, "YAS_BOND_PX="&amp;$N201)</f>
        <v>0.36199999999999999</v>
      </c>
      <c r="R201" s="44" t="e">
        <f ca="1">_xll.BDP($C201&amp;"@CBBT Corp","YAS_BOND_YLD", "SETTLE_DT="&amp;R$1, "YAS_BOND_PX="&amp;$O201)</f>
        <v>#NAME?</v>
      </c>
      <c r="S201" s="44">
        <f>_xll.BDP($C201&amp;"@CBBT Corp","YAS_BOND_YLD", "SETTLE_DT="&amp;S$1, "YAS_BOND_PX="&amp;$P201)</f>
        <v>0.47799999999999998</v>
      </c>
    </row>
    <row r="202" spans="1:19">
      <c r="A202" s="46" t="str">
        <f t="shared" si="50"/>
        <v>EUR.CM_DEPTH.XLS_ANDREA.ES00000123X3</v>
      </c>
      <c r="B202" s="51" t="str">
        <f>_xll.MKV("EUR.CM_INSTRUMENT.PXE."&amp;C202,B$3)</f>
        <v>SPGB</v>
      </c>
      <c r="C202" s="61" t="s">
        <v>582</v>
      </c>
      <c r="D202" s="125">
        <f>_xll.MKV("EUR.CM_INSTRUMENT.PXE."&amp;C202,D$3)</f>
        <v>45230</v>
      </c>
      <c r="E202" s="58">
        <f t="shared" si="46"/>
        <v>2.7000000000000024</v>
      </c>
      <c r="F202" s="58" t="str">
        <f t="shared" ca="1" si="47"/>
        <v>99</v>
      </c>
      <c r="G202" s="58">
        <f t="shared" si="48"/>
        <v>-8.5999999999999961</v>
      </c>
      <c r="H202" s="46" t="str">
        <f>_xll.MKV_PUBLISHRECORD(A202, $H$4)</f>
        <v>OK</v>
      </c>
      <c r="I202" s="46" t="str">
        <f ca="1">_xll.MKV_SUPPLYRECORD_RANGE(A202,$B$3:$G$3,B202:G202)</f>
        <v>OK</v>
      </c>
      <c r="J202" s="34">
        <f>_xll.MKV($J$1&amp;$C202, J$3)</f>
        <v>0.52210199999999996</v>
      </c>
      <c r="K202" s="32">
        <f>_xll.MKV($L$2&amp;$C202, K$3)</f>
        <v>0.55200000000000005</v>
      </c>
      <c r="L202" s="35">
        <f>_xll.MKV($L$2&amp;$C202, L$3)</f>
        <v>126.77</v>
      </c>
      <c r="M202" s="32">
        <f t="shared" si="49"/>
        <v>4.9999999999954525E-3</v>
      </c>
      <c r="N202" s="36">
        <f>_xll.BDH(C202&amp;"@CBBT Corp","OPEN",$N$1&amp;" 4:15:00 PM",$N$1&amp;" 5:15:00 PM","BarSz=60","BarTp=T","RecurDaily=True","TZ=London","DTS=H")</f>
        <v>126.765</v>
      </c>
      <c r="O202" s="36" t="e">
        <f ca="1">[1]!BError(_xll.BDH($C202&amp;"@CBBT Corp","OPEN",$O$1&amp;" 4:15:00 PM",$O$1&amp;" 5:15:00 PM","BarSz=60","BarTp=T","RecurDaily=True","TZ=London","DTS=H"))</f>
        <v>#NAME?</v>
      </c>
      <c r="P202" s="36">
        <f>_xll.BDH($C202&amp;"@CBBT Corp","OPEN",P$1&amp;" 4:15:00 PM",P$1&amp;" 5:15:00 PM","BarSz=60","BarTp=T","RecurDaily=True","TZ=London","DTS=H")</f>
        <v>126.18</v>
      </c>
      <c r="Q202" s="44">
        <f>_xll.BDP($C202&amp;"@CBBT Corp","YAS_BOND_YLD", "SETTLE_DT="&amp;Q$1, "YAS_BOND_PX="&amp;$N202)</f>
        <v>0.52500000000000002</v>
      </c>
      <c r="R202" s="44" t="e">
        <f ca="1">_xll.BDP($C202&amp;"@CBBT Corp","YAS_BOND_YLD", "SETTLE_DT="&amp;R$1, "YAS_BOND_PX="&amp;$O202)</f>
        <v>#NAME?</v>
      </c>
      <c r="S202" s="44">
        <f>_xll.BDP($C202&amp;"@CBBT Corp","YAS_BOND_YLD", "SETTLE_DT="&amp;S$1, "YAS_BOND_PX="&amp;$P202)</f>
        <v>0.63800000000000001</v>
      </c>
    </row>
    <row r="203" spans="1:19">
      <c r="A203" s="46" t="str">
        <f t="shared" si="50"/>
        <v>EUR.CM_DEPTH.XLS_ANDREA.ES00000121G2</v>
      </c>
      <c r="B203" s="51" t="str">
        <f>_xll.MKV("EUR.CM_INSTRUMENT.PXE."&amp;C203,B$3)</f>
        <v>SPGB</v>
      </c>
      <c r="C203" s="61" t="s">
        <v>584</v>
      </c>
      <c r="D203" s="125">
        <f>_xll.MKV("EUR.CM_INSTRUMENT.PXE."&amp;C203,D$3)</f>
        <v>45322</v>
      </c>
      <c r="E203" s="58">
        <f t="shared" si="46"/>
        <v>2.8000000000000025</v>
      </c>
      <c r="F203" s="58" t="str">
        <f t="shared" ca="1" si="47"/>
        <v>99</v>
      </c>
      <c r="G203" s="58">
        <f t="shared" si="48"/>
        <v>-7.5999999999999961</v>
      </c>
      <c r="H203" s="46" t="str">
        <f>_xll.MKV_PUBLISHRECORD(A203, $H$4)</f>
        <v>OK</v>
      </c>
      <c r="I203" s="46" t="str">
        <f ca="1">_xll.MKV_SUPPLYRECORD_RANGE(A203,$B$3:$G$3,B203:G203)</f>
        <v>OK</v>
      </c>
      <c r="J203" s="34">
        <f>_xll.MKV($J$1&amp;$C203, J$3)</f>
        <v>0.58441399999999999</v>
      </c>
      <c r="K203" s="32">
        <f>_xll.MKV($L$2&amp;$C203, K$3)</f>
        <v>0.61699999999999999</v>
      </c>
      <c r="L203" s="35">
        <f>_xll.MKV($L$2&amp;$C203, L$3)</f>
        <v>130.04</v>
      </c>
      <c r="M203" s="32">
        <f t="shared" si="49"/>
        <v>1.300000000000523E-2</v>
      </c>
      <c r="N203" s="36">
        <f>_xll.BDH(C203&amp;"@CBBT Corp","OPEN",$N$1&amp;" 4:15:00 PM",$N$1&amp;" 5:15:00 PM","BarSz=60","BarTp=T","RecurDaily=True","TZ=London","DTS=H")</f>
        <v>130.02699999999999</v>
      </c>
      <c r="O203" s="36" t="e">
        <f ca="1">[1]!BError(_xll.BDH($C203&amp;"@CBBT Corp","OPEN",$O$1&amp;" 4:15:00 PM",$O$1&amp;" 5:15:00 PM","BarSz=60","BarTp=T","RecurDaily=True","TZ=London","DTS=H"))</f>
        <v>#NAME?</v>
      </c>
      <c r="P203" s="36">
        <f>_xll.BDH($C203&amp;"@CBBT Corp","OPEN",P$1&amp;" 4:15:00 PM",P$1&amp;" 5:15:00 PM","BarSz=60","BarTp=T","RecurDaily=True","TZ=London","DTS=H")</f>
        <v>129.49700000000001</v>
      </c>
      <c r="Q203" s="44">
        <f>_xll.BDP($C203&amp;"@CBBT Corp","YAS_BOND_YLD", "SETTLE_DT="&amp;Q$1, "YAS_BOND_PX="&amp;$N203)</f>
        <v>0.58899999999999997</v>
      </c>
      <c r="R203" s="44" t="e">
        <f ca="1">_xll.BDP($C203&amp;"@CBBT Corp","YAS_BOND_YLD", "SETTLE_DT="&amp;R$1, "YAS_BOND_PX="&amp;$O203)</f>
        <v>#NAME?</v>
      </c>
      <c r="S203" s="44">
        <f>_xll.BDP($C203&amp;"@CBBT Corp","YAS_BOND_YLD", "SETTLE_DT="&amp;S$1, "YAS_BOND_PX="&amp;$P203)</f>
        <v>0.69299999999999995</v>
      </c>
    </row>
    <row r="204" spans="1:19">
      <c r="A204" s="46" t="str">
        <f t="shared" si="50"/>
        <v>EUR.CM_DEPTH.XLS_ANDREA.ES00000124W3</v>
      </c>
      <c r="B204" s="51" t="str">
        <f>_xll.MKV("EUR.CM_INSTRUMENT.PXE."&amp;C204,B$3)</f>
        <v>SPGB</v>
      </c>
      <c r="C204" s="61" t="s">
        <v>587</v>
      </c>
      <c r="D204" s="125">
        <f>_xll.MKV("EUR.CM_INSTRUMENT.PXE."&amp;C204,D$3)</f>
        <v>45412</v>
      </c>
      <c r="E204" s="58">
        <f t="shared" si="46"/>
        <v>3.1999999999999917</v>
      </c>
      <c r="F204" s="58" t="str">
        <f t="shared" ca="1" si="47"/>
        <v>99</v>
      </c>
      <c r="G204" s="58">
        <f t="shared" si="48"/>
        <v>-7.6000000000000068</v>
      </c>
      <c r="H204" s="46" t="str">
        <f>_xll.MKV_PUBLISHRECORD(A204, $H$4)</f>
        <v>OK</v>
      </c>
      <c r="I204" s="46" t="str">
        <f ca="1">_xll.MKV_SUPPLYRECORD_RANGE(A204,$B$3:$G$3,B204:G204)</f>
        <v>OK</v>
      </c>
      <c r="J204" s="34">
        <f>_xll.MKV($J$1&amp;$C204, J$3)</f>
        <v>0.67077699999999996</v>
      </c>
      <c r="K204" s="32">
        <f>_xll.MKV($L$2&amp;$C204, K$3)</f>
        <v>0.70499999999999996</v>
      </c>
      <c r="L204" s="35">
        <f>_xll.MKV($L$2&amp;$C204, L$3)</f>
        <v>122.94499999999999</v>
      </c>
      <c r="M204" s="32">
        <f t="shared" si="49"/>
        <v>0</v>
      </c>
      <c r="N204" s="36">
        <f>_xll.BDH(C204&amp;"@CBBT Corp","OPEN",$N$1&amp;" 4:15:00 PM",$N$1&amp;" 5:15:00 PM","BarSz=60","BarTp=T","RecurDaily=True","TZ=London","DTS=H")</f>
        <v>122.94499999999999</v>
      </c>
      <c r="O204" s="36" t="e">
        <f ca="1">[1]!BError(_xll.BDH($C204&amp;"@CBBT Corp","OPEN",$O$1&amp;" 4:15:00 PM",$O$1&amp;" 5:15:00 PM","BarSz=60","BarTp=T","RecurDaily=True","TZ=London","DTS=H"))</f>
        <v>#NAME?</v>
      </c>
      <c r="P204" s="36">
        <f>_xll.BDH($C204&amp;"@CBBT Corp","OPEN",P$1&amp;" 4:15:00 PM",P$1&amp;" 5:15:00 PM","BarSz=60","BarTp=T","RecurDaily=True","TZ=London","DTS=H")</f>
        <v>122.298</v>
      </c>
      <c r="Q204" s="44">
        <f>_xll.BDP($C204&amp;"@CBBT Corp","YAS_BOND_YLD", "SETTLE_DT="&amp;Q$1, "YAS_BOND_PX="&amp;$N204)</f>
        <v>0.67300000000000004</v>
      </c>
      <c r="R204" s="44" t="e">
        <f ca="1">_xll.BDP($C204&amp;"@CBBT Corp","YAS_BOND_YLD", "SETTLE_DT="&amp;R$1, "YAS_BOND_PX="&amp;$O204)</f>
        <v>#NAME?</v>
      </c>
      <c r="S204" s="44">
        <f>_xll.BDP($C204&amp;"@CBBT Corp","YAS_BOND_YLD", "SETTLE_DT="&amp;S$1, "YAS_BOND_PX="&amp;$P204)</f>
        <v>0.78100000000000003</v>
      </c>
    </row>
    <row r="205" spans="1:19">
      <c r="A205" s="46" t="str">
        <f t="shared" si="50"/>
        <v>EUR.CM_DEPTH.XLS_ANDREA.ES00000126B2</v>
      </c>
      <c r="B205" s="51" t="str">
        <f>_xll.MKV("EUR.CM_INSTRUMENT.PXE."&amp;C205,B$3)</f>
        <v>SPGB</v>
      </c>
      <c r="C205" s="61" t="s">
        <v>591</v>
      </c>
      <c r="D205" s="125">
        <f>_xll.MKV("EUR.CM_INSTRUMENT.PXE."&amp;C205,D$3)</f>
        <v>45596</v>
      </c>
      <c r="E205" s="58">
        <f t="shared" si="46"/>
        <v>3.5000000000000031</v>
      </c>
      <c r="F205" s="58" t="str">
        <f t="shared" ca="1" si="47"/>
        <v>99</v>
      </c>
      <c r="G205" s="58">
        <f t="shared" si="48"/>
        <v>-6.0999999999999943</v>
      </c>
      <c r="H205" s="46" t="str">
        <f>_xll.MKV_PUBLISHRECORD(A205, $H$4)</f>
        <v>OK</v>
      </c>
      <c r="I205" s="46" t="str">
        <f ca="1">_xll.MKV_SUPPLYRECORD_RANGE(A205,$B$3:$G$3,B205:G205)</f>
        <v>OK</v>
      </c>
      <c r="J205" s="34">
        <f>_xll.MKV($J$1&amp;$C205, J$3)</f>
        <v>0.765351</v>
      </c>
      <c r="K205" s="32">
        <f>_xll.MKV($L$2&amp;$C205, K$3)</f>
        <v>0.80300000000000005</v>
      </c>
      <c r="L205" s="35">
        <f>_xll.MKV($L$2&amp;$C205, L$3)</f>
        <v>115.435</v>
      </c>
      <c r="M205" s="32">
        <f t="shared" si="49"/>
        <v>1.0000000000005116E-2</v>
      </c>
      <c r="N205" s="36">
        <f>_xll.BDH(C205&amp;"@CBBT Corp","OPEN",$N$1&amp;" 4:15:00 PM",$N$1&amp;" 5:15:00 PM","BarSz=60","BarTp=T","RecurDaily=True","TZ=London","DTS=H")</f>
        <v>115.425</v>
      </c>
      <c r="O205" s="36" t="e">
        <f ca="1">[1]!BError(_xll.BDH($C205&amp;"@CBBT Corp","OPEN",$O$1&amp;" 4:15:00 PM",$O$1&amp;" 5:15:00 PM","BarSz=60","BarTp=T","RecurDaily=True","TZ=London","DTS=H"))</f>
        <v>#NAME?</v>
      </c>
      <c r="P205" s="36">
        <f>_xll.BDH($C205&amp;"@CBBT Corp","OPEN",P$1&amp;" 4:15:00 PM",P$1&amp;" 5:15:00 PM","BarSz=60","BarTp=T","RecurDaily=True","TZ=London","DTS=H")</f>
        <v>114.768</v>
      </c>
      <c r="Q205" s="44">
        <f>_xll.BDP($C205&amp;"@CBBT Corp","YAS_BOND_YLD", "SETTLE_DT="&amp;Q$1, "YAS_BOND_PX="&amp;$N205)</f>
        <v>0.76800000000000002</v>
      </c>
      <c r="R205" s="44" t="e">
        <f ca="1">_xll.BDP($C205&amp;"@CBBT Corp","YAS_BOND_YLD", "SETTLE_DT="&amp;R$1, "YAS_BOND_PX="&amp;$O205)</f>
        <v>#NAME?</v>
      </c>
      <c r="S205" s="44">
        <f>_xll.BDP($C205&amp;"@CBBT Corp","YAS_BOND_YLD", "SETTLE_DT="&amp;S$1, "YAS_BOND_PX="&amp;$P205)</f>
        <v>0.86399999999999999</v>
      </c>
    </row>
    <row r="206" spans="1:19">
      <c r="A206" s="46" t="str">
        <f t="shared" si="50"/>
        <v>EUR.CM_DEPTH.XLS_ANDREA.ES00000126Z1</v>
      </c>
      <c r="B206" s="51" t="str">
        <f>_xll.MKV("EUR.CM_INSTRUMENT.PXE."&amp;C206,B$3)</f>
        <v>SPGB</v>
      </c>
      <c r="C206" s="61" t="s">
        <v>594</v>
      </c>
      <c r="D206" s="125">
        <f>_xll.MKV("EUR.CM_INSTRUMENT.PXE."&amp;C206,D$3)</f>
        <v>45777</v>
      </c>
      <c r="E206" s="58">
        <f t="shared" si="46"/>
        <v>3.400000000000003</v>
      </c>
      <c r="F206" s="58" t="str">
        <f t="shared" ca="1" si="47"/>
        <v>99</v>
      </c>
      <c r="G206" s="58">
        <f t="shared" si="48"/>
        <v>-5.100000000000005</v>
      </c>
      <c r="H206" s="46" t="str">
        <f>_xll.MKV_PUBLISHRECORD(A206, $H$4)</f>
        <v>OK</v>
      </c>
      <c r="I206" s="46" t="str">
        <f ca="1">_xll.MKV_SUPPLYRECORD_RANGE(A206,$B$3:$G$3,B206:G206)</f>
        <v>OK</v>
      </c>
      <c r="J206" s="34">
        <f>_xll.MKV($J$1&amp;$C206, J$3)</f>
        <v>0.842333</v>
      </c>
      <c r="K206" s="32">
        <f>_xll.MKV($L$2&amp;$C206, K$3)</f>
        <v>0.877</v>
      </c>
      <c r="L206" s="35">
        <f>_xll.MKV($L$2&amp;$C206, L$3)</f>
        <v>106.22</v>
      </c>
      <c r="M206" s="32">
        <f t="shared" si="49"/>
        <v>4.9999999999954525E-3</v>
      </c>
      <c r="N206" s="36">
        <f>_xll.BDH(C206&amp;"@CBBT Corp","OPEN",$N$1&amp;" 4:15:00 PM",$N$1&amp;" 5:15:00 PM","BarSz=60","BarTp=T","RecurDaily=True","TZ=London","DTS=H")</f>
        <v>106.215</v>
      </c>
      <c r="O206" s="36" t="e">
        <f ca="1">[1]!BError(_xll.BDH($C206&amp;"@CBBT Corp","OPEN",$O$1&amp;" 4:15:00 PM",$O$1&amp;" 5:15:00 PM","BarSz=60","BarTp=T","RecurDaily=True","TZ=London","DTS=H"))</f>
        <v>#NAME?</v>
      </c>
      <c r="P206" s="36">
        <f>_xll.BDH($C206&amp;"@CBBT Corp","OPEN",P$1&amp;" 4:15:00 PM",P$1&amp;" 5:15:00 PM","BarSz=60","BarTp=T","RecurDaily=True","TZ=London","DTS=H")</f>
        <v>105.548</v>
      </c>
      <c r="Q206" s="44">
        <f>_xll.BDP($C206&amp;"@CBBT Corp","YAS_BOND_YLD", "SETTLE_DT="&amp;Q$1, "YAS_BOND_PX="&amp;$N206)</f>
        <v>0.84299999999999997</v>
      </c>
      <c r="R206" s="44" t="e">
        <f ca="1">_xll.BDP($C206&amp;"@CBBT Corp","YAS_BOND_YLD", "SETTLE_DT="&amp;R$1, "YAS_BOND_PX="&amp;$O206)</f>
        <v>#NAME?</v>
      </c>
      <c r="S206" s="44">
        <f>_xll.BDP($C206&amp;"@CBBT Corp","YAS_BOND_YLD", "SETTLE_DT="&amp;S$1, "YAS_BOND_PX="&amp;$P206)</f>
        <v>0.92800000000000005</v>
      </c>
    </row>
    <row r="207" spans="1:19">
      <c r="A207" s="46" t="str">
        <f t="shared" si="50"/>
        <v>EUR.CM_DEPTH.XLS_ANDREA.ES00000122E5</v>
      </c>
      <c r="B207" s="51" t="str">
        <f>_xll.MKV("EUR.CM_INSTRUMENT.PXE."&amp;C207,B$3)</f>
        <v>SPGB</v>
      </c>
      <c r="C207" s="61" t="s">
        <v>596</v>
      </c>
      <c r="D207" s="125">
        <f>_xll.MKV("EUR.CM_INSTRUMENT.PXE."&amp;C207,D$3)</f>
        <v>45868</v>
      </c>
      <c r="E207" s="58">
        <f t="shared" si="46"/>
        <v>3.3000000000000029</v>
      </c>
      <c r="F207" s="58" t="str">
        <f t="shared" ca="1" si="47"/>
        <v>99</v>
      </c>
      <c r="G207" s="58">
        <f t="shared" si="48"/>
        <v>-3.5999999999999921</v>
      </c>
      <c r="H207" s="46" t="str">
        <f>_xll.MKV_PUBLISHRECORD(A207, $H$4)</f>
        <v>OK</v>
      </c>
      <c r="I207" s="46" t="str">
        <f ca="1">_xll.MKV_SUPPLYRECORD_RANGE(A207,$B$3:$G$3,B207:G207)</f>
        <v>OK</v>
      </c>
      <c r="J207" s="34">
        <f>_xll.MKV($J$1&amp;$C207, J$3)</f>
        <v>0.897316</v>
      </c>
      <c r="K207" s="32">
        <f>_xll.MKV($L$2&amp;$C207, K$3)</f>
        <v>0.93400000000000005</v>
      </c>
      <c r="L207" s="35">
        <f>_xll.MKV($L$2&amp;$C207, L$3)</f>
        <v>131.595</v>
      </c>
      <c r="M207" s="32">
        <f t="shared" si="49"/>
        <v>1.4999999999986358E-2</v>
      </c>
      <c r="N207" s="36">
        <f>_xll.BDH(C207&amp;"@CBBT Corp","OPEN",$N$1&amp;" 4:15:00 PM",$N$1&amp;" 5:15:00 PM","BarSz=60","BarTp=T","RecurDaily=True","TZ=London","DTS=H")</f>
        <v>131.58000000000001</v>
      </c>
      <c r="O207" s="36" t="e">
        <f ca="1">[1]!BError(_xll.BDH($C207&amp;"@CBBT Corp","OPEN",$O$1&amp;" 4:15:00 PM",$O$1&amp;" 5:15:00 PM","BarSz=60","BarTp=T","RecurDaily=True","TZ=London","DTS=H"))</f>
        <v>#NAME?</v>
      </c>
      <c r="P207" s="36">
        <f>_xll.BDH($C207&amp;"@CBBT Corp","OPEN",P$1&amp;" 4:15:00 PM",P$1&amp;" 5:15:00 PM","BarSz=60","BarTp=T","RecurDaily=True","TZ=London","DTS=H")</f>
        <v>131.185</v>
      </c>
      <c r="Q207" s="44">
        <f>_xll.BDP($C207&amp;"@CBBT Corp","YAS_BOND_YLD", "SETTLE_DT="&amp;Q$1, "YAS_BOND_PX="&amp;$N207)</f>
        <v>0.90100000000000002</v>
      </c>
      <c r="R207" s="44" t="e">
        <f ca="1">_xll.BDP($C207&amp;"@CBBT Corp","YAS_BOND_YLD", "SETTLE_DT="&amp;R$1, "YAS_BOND_PX="&amp;$O207)</f>
        <v>#NAME?</v>
      </c>
      <c r="S207" s="44">
        <f>_xll.BDP($C207&amp;"@CBBT Corp","YAS_BOND_YLD", "SETTLE_DT="&amp;S$1, "YAS_BOND_PX="&amp;$P207)</f>
        <v>0.97</v>
      </c>
    </row>
    <row r="208" spans="1:19">
      <c r="A208" s="46" t="str">
        <f t="shared" si="50"/>
        <v>EUR.CM_DEPTH.XLS_ANDREA.ES00000127G9</v>
      </c>
      <c r="B208" s="51" t="str">
        <f>_xll.MKV("EUR.CM_INSTRUMENT.PXE."&amp;C208,B$3)</f>
        <v>SPGB</v>
      </c>
      <c r="C208" s="61" t="s">
        <v>598</v>
      </c>
      <c r="D208" s="125">
        <f>_xll.MKV("EUR.CM_INSTRUMENT.PXE."&amp;C208,D$3)</f>
        <v>45961</v>
      </c>
      <c r="E208" s="58">
        <f t="shared" ref="E208:E249" si="56">IFERROR(($K208-Q208)*100,"99")</f>
        <v>3.6000000000000032</v>
      </c>
      <c r="F208" s="58" t="str">
        <f t="shared" ref="F208:F249" ca="1" si="57">IFERROR(($K208-R208)*100,"99")</f>
        <v>99</v>
      </c>
      <c r="G208" s="58">
        <f t="shared" ref="G208:G249" si="58">IFERROR(($K208-S208)*100,"99")</f>
        <v>-3.0999999999999917</v>
      </c>
      <c r="H208" s="46" t="str">
        <f>_xll.MKV_PUBLISHRECORD(A208, $H$4)</f>
        <v>OK</v>
      </c>
      <c r="I208" s="46" t="str">
        <f ca="1">_xll.MKV_SUPPLYRECORD_RANGE(A208,$B$3:$G$3,B208:G208)</f>
        <v>OK</v>
      </c>
      <c r="J208" s="34">
        <f>_xll.MKV($J$1&amp;$C208, J$3)</f>
        <v>0.953592</v>
      </c>
      <c r="K208" s="32">
        <f>_xll.MKV($L$2&amp;$C208, K$3)</f>
        <v>0.99</v>
      </c>
      <c r="L208" s="35">
        <f>_xll.MKV($L$2&amp;$C208, L$3)</f>
        <v>110.325</v>
      </c>
      <c r="M208" s="32">
        <f t="shared" si="49"/>
        <v>-1.9999999999953388E-3</v>
      </c>
      <c r="N208" s="36">
        <f>_xll.BDH(C208&amp;"@CBBT Corp","OPEN",$N$1&amp;" 4:15:00 PM",$N$1&amp;" 5:15:00 PM","BarSz=60","BarTp=T","RecurDaily=True","TZ=London","DTS=H")</f>
        <v>110.327</v>
      </c>
      <c r="O208" s="36" t="e">
        <f ca="1">[1]!BError(_xll.BDH($C208&amp;"@CBBT Corp","OPEN",$O$1&amp;" 4:15:00 PM",$O$1&amp;" 5:15:00 PM","BarSz=60","BarTp=T","RecurDaily=True","TZ=London","DTS=H"))</f>
        <v>#NAME?</v>
      </c>
      <c r="P208" s="36">
        <f>_xll.BDH($C208&amp;"@CBBT Corp","OPEN",P$1&amp;" 4:15:00 PM",P$1&amp;" 5:15:00 PM","BarSz=60","BarTp=T","RecurDaily=True","TZ=London","DTS=H")</f>
        <v>109.80200000000001</v>
      </c>
      <c r="Q208" s="44">
        <f>_xll.BDP($C208&amp;"@CBBT Corp","YAS_BOND_YLD", "SETTLE_DT="&amp;Q$1, "YAS_BOND_PX="&amp;$N208)</f>
        <v>0.95399999999999996</v>
      </c>
      <c r="R208" s="44" t="e">
        <f ca="1">_xll.BDP($C208&amp;"@CBBT Corp","YAS_BOND_YLD", "SETTLE_DT="&amp;R$1, "YAS_BOND_PX="&amp;$O208)</f>
        <v>#NAME?</v>
      </c>
      <c r="S208" s="44">
        <f>_xll.BDP($C208&amp;"@CBBT Corp","YAS_BOND_YLD", "SETTLE_DT="&amp;S$1, "YAS_BOND_PX="&amp;$P208)</f>
        <v>1.0209999999999999</v>
      </c>
    </row>
    <row r="209" spans="1:19">
      <c r="A209" s="46" t="str">
        <f t="shared" si="50"/>
        <v>EUR.CM_DEPTH.XLS_ANDREA.ES00000127Z9</v>
      </c>
      <c r="B209" s="51" t="str">
        <f>_xll.MKV("EUR.CM_INSTRUMENT.PXE."&amp;C209,B$3)</f>
        <v>SPGB</v>
      </c>
      <c r="C209" s="61" t="s">
        <v>674</v>
      </c>
      <c r="D209" s="125">
        <f>_xll.MKV("EUR.CM_INSTRUMENT.PXE."&amp;C209,D$3)</f>
        <v>46142</v>
      </c>
      <c r="E209" s="58">
        <f t="shared" si="56"/>
        <v>3.499999999999992</v>
      </c>
      <c r="F209" s="58" t="str">
        <f t="shared" ca="1" si="57"/>
        <v>99</v>
      </c>
      <c r="G209" s="58">
        <f t="shared" si="58"/>
        <v>-3.0000000000000027</v>
      </c>
      <c r="H209" s="46" t="str">
        <f>_xll.MKV_PUBLISHRECORD(A209, $H$4)</f>
        <v>OK</v>
      </c>
      <c r="I209" s="46" t="str">
        <f ca="1">_xll.MKV_SUPPLYRECORD_RANGE(A209,$B$3:$G$3,B209:G209)</f>
        <v>OK</v>
      </c>
      <c r="J209" s="34">
        <f>_xll.MKV($J$1&amp;$C209, J$3)</f>
        <v>1.017927</v>
      </c>
      <c r="K209" s="32">
        <f>_xll.MKV($L$2&amp;$C209, K$3)</f>
        <v>1.0549999999999999</v>
      </c>
      <c r="L209" s="35">
        <f>_xll.MKV($L$2&amp;$C209, L$3)</f>
        <v>108.435</v>
      </c>
      <c r="M209" s="32">
        <f t="shared" ref="M209:M249" si="59">L209-N209</f>
        <v>1.5000000000000568E-2</v>
      </c>
      <c r="N209" s="36">
        <f>_xll.BDH(C209&amp;"@CBBT Corp","OPEN",$N$1&amp;" 4:15:00 PM",$N$1&amp;" 5:15:00 PM","BarSz=60","BarTp=T","RecurDaily=True","TZ=London","DTS=H")</f>
        <v>108.42</v>
      </c>
      <c r="O209" s="36" t="e">
        <f ca="1">[1]!BError(_xll.BDH($C209&amp;"@CBBT Corp","OPEN",$O$1&amp;" 4:15:00 PM",$O$1&amp;" 5:15:00 PM","BarSz=60","BarTp=T","RecurDaily=True","TZ=London","DTS=H"))</f>
        <v>#NAME?</v>
      </c>
      <c r="P209" s="36">
        <f>_xll.BDH($C209&amp;"@CBBT Corp","OPEN",P$1&amp;" 4:15:00 PM",P$1&amp;" 5:15:00 PM","BarSz=60","BarTp=T","RecurDaily=True","TZ=London","DTS=H")</f>
        <v>107.87</v>
      </c>
      <c r="Q209" s="44">
        <f>_xll.BDP($C209&amp;"@CBBT Corp","YAS_BOND_YLD", "SETTLE_DT="&amp;Q$1, "YAS_BOND_PX="&amp;$N209)</f>
        <v>1.02</v>
      </c>
      <c r="R209" s="44" t="e">
        <f ca="1">_xll.BDP($C209&amp;"@CBBT Corp","YAS_BOND_YLD", "SETTLE_DT="&amp;R$1, "YAS_BOND_PX="&amp;$O209)</f>
        <v>#NAME?</v>
      </c>
      <c r="S209" s="44">
        <f>_xll.BDP($C209&amp;"@CBBT Corp","YAS_BOND_YLD", "SETTLE_DT="&amp;S$1, "YAS_BOND_PX="&amp;$P209)</f>
        <v>1.085</v>
      </c>
    </row>
    <row r="210" spans="1:19">
      <c r="A210" s="46" t="str">
        <f t="shared" si="50"/>
        <v>EUR.CM_DEPTH.XLS_ANDREA.ES00000123C7</v>
      </c>
      <c r="B210" s="51" t="str">
        <f>_xll.MKV("EUR.CM_INSTRUMENT.PXE."&amp;C210,B$3)</f>
        <v>SPGB</v>
      </c>
      <c r="C210" s="61" t="s">
        <v>600</v>
      </c>
      <c r="D210" s="125">
        <f>_xll.MKV("EUR.CM_INSTRUMENT.PXE."&amp;C210,D$3)</f>
        <v>46233</v>
      </c>
      <c r="E210" s="58">
        <f t="shared" si="56"/>
        <v>3.0999999999999917</v>
      </c>
      <c r="F210" s="58" t="str">
        <f t="shared" ca="1" si="57"/>
        <v>99</v>
      </c>
      <c r="G210" s="58">
        <f t="shared" si="58"/>
        <v>-4.1000000000000147</v>
      </c>
      <c r="H210" s="46" t="str">
        <f>_xll.MKV_PUBLISHRECORD(A210, $H$4)</f>
        <v>OK</v>
      </c>
      <c r="I210" s="46" t="str">
        <f ca="1">_xll.MKV_SUPPLYRECORD_RANGE(A210,$B$3:$G$3,B210:G210)</f>
        <v>OK</v>
      </c>
      <c r="J210" s="34">
        <f>_xll.MKV($J$1&amp;$C210, J$3)</f>
        <v>1.0370079999999999</v>
      </c>
      <c r="K210" s="32">
        <f>_xll.MKV($L$2&amp;$C210, K$3)</f>
        <v>1.071</v>
      </c>
      <c r="L210" s="35">
        <f>_xll.MKV($L$2&amp;$C210, L$3)</f>
        <v>145.065</v>
      </c>
      <c r="M210" s="32">
        <f t="shared" si="59"/>
        <v>8.0000000000097771E-3</v>
      </c>
      <c r="N210" s="36">
        <f>_xll.BDH(C210&amp;"@CBBT Corp","OPEN",$N$1&amp;" 4:15:00 PM",$N$1&amp;" 5:15:00 PM","BarSz=60","BarTp=T","RecurDaily=True","TZ=London","DTS=H")</f>
        <v>145.05699999999999</v>
      </c>
      <c r="O210" s="36" t="e">
        <f ca="1">[1]!BError(_xll.BDH($C210&amp;"@CBBT Corp","OPEN",$O$1&amp;" 4:15:00 PM",$O$1&amp;" 5:15:00 PM","BarSz=60","BarTp=T","RecurDaily=True","TZ=London","DTS=H"))</f>
        <v>#NAME?</v>
      </c>
      <c r="P210" s="36">
        <f>_xll.BDH($C210&amp;"@CBBT Corp","OPEN",P$1&amp;" 4:15:00 PM",P$1&amp;" 5:15:00 PM","BarSz=60","BarTp=T","RecurDaily=True","TZ=London","DTS=H")</f>
        <v>144.59</v>
      </c>
      <c r="Q210" s="44">
        <f>_xll.BDP($C210&amp;"@CBBT Corp","YAS_BOND_YLD", "SETTLE_DT="&amp;Q$1, "YAS_BOND_PX="&amp;$N210)</f>
        <v>1.04</v>
      </c>
      <c r="R210" s="44" t="e">
        <f ca="1">_xll.BDP($C210&amp;"@CBBT Corp","YAS_BOND_YLD", "SETTLE_DT="&amp;R$1, "YAS_BOND_PX="&amp;$O210)</f>
        <v>#NAME?</v>
      </c>
      <c r="S210" s="44">
        <f>_xll.BDP($C210&amp;"@CBBT Corp","YAS_BOND_YLD", "SETTLE_DT="&amp;S$1, "YAS_BOND_PX="&amp;$P210)</f>
        <v>1.1120000000000001</v>
      </c>
    </row>
    <row r="211" spans="1:19">
      <c r="A211" s="46" t="str">
        <f t="shared" ref="A211" si="60">$A$4 &amp; ".CM_DEPTH."&amp; $H$4 &amp; "." &amp; C211</f>
        <v>EUR.CM_DEPTH.XLS_ANDREA.ES00000128H5</v>
      </c>
      <c r="B211" s="51" t="str">
        <f>_xll.MKV("EUR.CM_INSTRUMENT.PXE."&amp;C211,B$3)</f>
        <v>SPGB</v>
      </c>
      <c r="C211" s="61" t="s">
        <v>750</v>
      </c>
      <c r="D211" s="125">
        <f>_xll.MKV("EUR.CM_INSTRUMENT.PXE."&amp;C211,D$3)</f>
        <v>46326</v>
      </c>
      <c r="E211" s="58">
        <f t="shared" ref="E211" si="61">IFERROR(($K211-Q211)*100,"99")</f>
        <v>3.499999999999992</v>
      </c>
      <c r="F211" s="58" t="str">
        <f t="shared" ref="F211" ca="1" si="62">IFERROR(($K211-R211)*100,"99")</f>
        <v>99</v>
      </c>
      <c r="G211" s="58">
        <f t="shared" ref="G211" si="63">IFERROR(($K211-S211)*100,"99")</f>
        <v>-3.6999999999999922</v>
      </c>
      <c r="H211" s="46" t="str">
        <f>_xll.MKV_PUBLISHRECORD(A211, $H$4)</f>
        <v>OK</v>
      </c>
      <c r="I211" s="46" t="str">
        <f ca="1">_xll.MKV_SUPPLYRECORD_RANGE(A211,$B$3:$G$3,B211:G211)</f>
        <v>OK</v>
      </c>
      <c r="J211" s="34">
        <f>_xll.MKV($J$1&amp;$C211, J$3)</f>
        <v>1.087224</v>
      </c>
      <c r="K211" s="32">
        <f>_xll.MKV($L$2&amp;$C211, K$3)</f>
        <v>1.123</v>
      </c>
      <c r="L211" s="35">
        <f>_xll.MKV($L$2&amp;$C211, L$3)</f>
        <v>102.01</v>
      </c>
      <c r="M211" s="32">
        <f t="shared" ref="M211" si="64">L211-N211</f>
        <v>7.0000000000050022E-3</v>
      </c>
      <c r="N211" s="36">
        <f>_xll.BDH(C211&amp;"@CBBT Corp","OPEN",$N$1&amp;" 4:15:00 PM",$N$1&amp;" 5:15:00 PM","BarSz=60","BarTp=T","RecurDaily=True","TZ=London","DTS=H")</f>
        <v>102.003</v>
      </c>
      <c r="O211" s="36" t="e">
        <f ca="1">[1]!BError(_xll.BDH($C211&amp;"@CBBT Corp","OPEN",$O$1&amp;" 4:15:00 PM",$O$1&amp;" 5:15:00 PM","BarSz=60","BarTp=T","RecurDaily=True","TZ=London","DTS=H"))</f>
        <v>#NAME?</v>
      </c>
      <c r="P211" s="36">
        <f>_xll.BDH($C211&amp;"@CBBT Corp","OPEN",P$1&amp;" 4:15:00 PM",P$1&amp;" 5:15:00 PM","BarSz=60","BarTp=T","RecurDaily=True","TZ=London","DTS=H")</f>
        <v>101.327</v>
      </c>
      <c r="Q211" s="44">
        <f>_xll.BDP($C211&amp;"@CBBT Corp","YAS_BOND_YLD", "SETTLE_DT="&amp;Q$1, "YAS_BOND_PX="&amp;$N211)</f>
        <v>1.0880000000000001</v>
      </c>
      <c r="R211" s="44" t="e">
        <f ca="1">_xll.BDP($C211&amp;"@CBBT Corp","YAS_BOND_YLD", "SETTLE_DT="&amp;R$1, "YAS_BOND_PX="&amp;$O211)</f>
        <v>#NAME?</v>
      </c>
      <c r="S211" s="44">
        <f>_xll.BDP($C211&amp;"@CBBT Corp","YAS_BOND_YLD", "SETTLE_DT="&amp;S$1, "YAS_BOND_PX="&amp;$P211)</f>
        <v>1.1599999999999999</v>
      </c>
    </row>
    <row r="212" spans="1:19">
      <c r="A212" s="46" t="str">
        <f t="shared" ref="A212:A236" si="65">$A$4 &amp; ".CM_DEPTH."&amp; $H$4 &amp; "." &amp; C212</f>
        <v>EUR.CM_DEPTH.XLS_ANDREA.ES00000124C5</v>
      </c>
      <c r="B212" s="51" t="str">
        <f>_xll.MKV("EUR.CM_INSTRUMENT.PXE."&amp;C212,B$3)</f>
        <v>SPGB</v>
      </c>
      <c r="C212" s="61" t="s">
        <v>605</v>
      </c>
      <c r="D212" s="125">
        <f>_xll.MKV("EUR.CM_INSTRUMENT.PXE."&amp;C212,D$3)</f>
        <v>47057</v>
      </c>
      <c r="E212" s="58">
        <f t="shared" si="56"/>
        <v>3.0000000000000027</v>
      </c>
      <c r="F212" s="58" t="str">
        <f t="shared" ca="1" si="57"/>
        <v>99</v>
      </c>
      <c r="G212" s="58">
        <f t="shared" si="58"/>
        <v>-5.4000000000000048</v>
      </c>
      <c r="H212" s="46" t="str">
        <f>_xll.MKV_PUBLISHRECORD(A212, $H$4)</f>
        <v>OK</v>
      </c>
      <c r="I212" s="46" t="str">
        <f ca="1">_xll.MKV_SUPPLYRECORD_RANGE(A212,$B$3:$G$3,B212:G212)</f>
        <v>OK</v>
      </c>
      <c r="J212" s="34">
        <f>_xll.MKV($J$1&amp;$C212, J$3)</f>
        <v>1.2497819999999999</v>
      </c>
      <c r="K212" s="32">
        <f>_xll.MKV($L$2&amp;$C212, K$3)</f>
        <v>1.282</v>
      </c>
      <c r="L212" s="35">
        <f>_xll.MKV($L$2&amp;$C212, L$3)</f>
        <v>143.375</v>
      </c>
      <c r="M212" s="32">
        <f t="shared" si="59"/>
        <v>9.9999999999909051E-3</v>
      </c>
      <c r="N212" s="36">
        <f>_xll.BDH(C212&amp;"@CBBT Corp","OPEN",$N$1&amp;" 4:15:00 PM",$N$1&amp;" 5:15:00 PM","BarSz=60","BarTp=T","RecurDaily=True","TZ=London","DTS=H")</f>
        <v>143.36500000000001</v>
      </c>
      <c r="O212" s="36" t="e">
        <f ca="1">[1]!BError(_xll.BDH($C212&amp;"@CBBT Corp","OPEN",$O$1&amp;" 4:15:00 PM",$O$1&amp;" 5:15:00 PM","BarSz=60","BarTp=T","RecurDaily=True","TZ=London","DTS=H"))</f>
        <v>#NAME?</v>
      </c>
      <c r="P212" s="36">
        <f>_xll.BDH($C212&amp;"@CBBT Corp","OPEN",P$1&amp;" 4:15:00 PM",P$1&amp;" 5:15:00 PM","BarSz=60","BarTp=T","RecurDaily=True","TZ=London","DTS=H")</f>
        <v>142.49</v>
      </c>
      <c r="Q212" s="44">
        <f>_xll.BDP($C212&amp;"@CBBT Corp","YAS_BOND_YLD", "SETTLE_DT="&amp;Q$1, "YAS_BOND_PX="&amp;$N212)</f>
        <v>1.252</v>
      </c>
      <c r="R212" s="44" t="e">
        <f ca="1">_xll.BDP($C212&amp;"@CBBT Corp","YAS_BOND_YLD", "SETTLE_DT="&amp;R$1, "YAS_BOND_PX="&amp;$O212)</f>
        <v>#NAME?</v>
      </c>
      <c r="S212" s="44">
        <f>_xll.BDP($C212&amp;"@CBBT Corp","YAS_BOND_YLD", "SETTLE_DT="&amp;S$1, "YAS_BOND_PX="&amp;$P212)</f>
        <v>1.3360000000000001</v>
      </c>
    </row>
    <row r="213" spans="1:19">
      <c r="A213" s="46" t="str">
        <f t="shared" si="65"/>
        <v>EUR.CM_DEPTH.XLS_ANDREA.ES0000011868</v>
      </c>
      <c r="B213" s="51" t="str">
        <f>_xll.MKV("EUR.CM_INSTRUMENT.PXE."&amp;C213,B$3)</f>
        <v>SPGB</v>
      </c>
      <c r="C213" s="61" t="s">
        <v>606</v>
      </c>
      <c r="D213" s="125">
        <f>_xll.MKV("EUR.CM_INSTRUMENT.PXE."&amp;C213,D$3)</f>
        <v>47149</v>
      </c>
      <c r="E213" s="58">
        <f t="shared" si="56"/>
        <v>3.0999999999999917</v>
      </c>
      <c r="F213" s="58" t="str">
        <f t="shared" ca="1" si="57"/>
        <v>99</v>
      </c>
      <c r="G213" s="58">
        <f t="shared" si="58"/>
        <v>-5.4999999999999938</v>
      </c>
      <c r="H213" s="46" t="str">
        <f>_xll.MKV_PUBLISHRECORD(A213, $H$4)</f>
        <v>OK</v>
      </c>
      <c r="I213" s="46" t="str">
        <f ca="1">_xll.MKV_SUPPLYRECORD_RANGE(A213,$B$3:$G$3,B213:G213)</f>
        <v>OK</v>
      </c>
      <c r="J213" s="34">
        <f>_xll.MKV($J$1&amp;$C213, J$3)</f>
        <v>1.246883</v>
      </c>
      <c r="K213" s="32">
        <f>_xll.MKV($L$2&amp;$C213, K$3)</f>
        <v>1.28</v>
      </c>
      <c r="L213" s="35">
        <f>_xll.MKV($L$2&amp;$C213, L$3)</f>
        <v>153.88499999999999</v>
      </c>
      <c r="M213" s="32">
        <f t="shared" si="59"/>
        <v>1.4999999999986358E-2</v>
      </c>
      <c r="N213" s="36">
        <f>_xll.BDH(C213&amp;"@CBBT Corp","OPEN",$N$1&amp;" 4:15:00 PM",$N$1&amp;" 5:15:00 PM","BarSz=60","BarTp=T","RecurDaily=True","TZ=London","DTS=H")</f>
        <v>153.87</v>
      </c>
      <c r="O213" s="36" t="e">
        <f ca="1">[1]!BError(_xll.BDH($C213&amp;"@CBBT Corp","OPEN",$O$1&amp;" 4:15:00 PM",$O$1&amp;" 5:15:00 PM","BarSz=60","BarTp=T","RecurDaily=True","TZ=London","DTS=H"))</f>
        <v>#NAME?</v>
      </c>
      <c r="P213" s="36">
        <f>_xll.BDH($C213&amp;"@CBBT Corp","OPEN",P$1&amp;" 4:15:00 PM",P$1&amp;" 5:15:00 PM","BarSz=60","BarTp=T","RecurDaily=True","TZ=London","DTS=H")</f>
        <v>152.94499999999999</v>
      </c>
      <c r="Q213" s="44">
        <f>_xll.BDP($C213&amp;"@CBBT Corp","YAS_BOND_YLD", "SETTLE_DT="&amp;Q$1, "YAS_BOND_PX="&amp;$N213)</f>
        <v>1.2490000000000001</v>
      </c>
      <c r="R213" s="44" t="e">
        <f ca="1">_xll.BDP($C213&amp;"@CBBT Corp","YAS_BOND_YLD", "SETTLE_DT="&amp;R$1, "YAS_BOND_PX="&amp;$O213)</f>
        <v>#NAME?</v>
      </c>
      <c r="S213" s="44">
        <f>_xll.BDP($C213&amp;"@CBBT Corp","YAS_BOND_YLD", "SETTLE_DT="&amp;S$1, "YAS_BOND_PX="&amp;$P213)</f>
        <v>1.335</v>
      </c>
    </row>
    <row r="214" spans="1:19">
      <c r="A214" s="46" t="str">
        <f t="shared" si="65"/>
        <v>EUR.CM_DEPTH.XLS_ANDREA.ES00000127A2</v>
      </c>
      <c r="B214" s="51" t="str">
        <f>_xll.MKV("EUR.CM_INSTRUMENT.PXE."&amp;C214,B$3)</f>
        <v>SPGB</v>
      </c>
      <c r="C214" s="61" t="s">
        <v>610</v>
      </c>
      <c r="D214" s="125">
        <f>_xll.MKV("EUR.CM_INSTRUMENT.PXE."&amp;C214,D$3)</f>
        <v>47694</v>
      </c>
      <c r="E214" s="58">
        <f t="shared" si="56"/>
        <v>3.400000000000003</v>
      </c>
      <c r="F214" s="58" t="str">
        <f t="shared" ca="1" si="57"/>
        <v>99</v>
      </c>
      <c r="G214" s="58">
        <f t="shared" si="58"/>
        <v>-5.0000000000000044</v>
      </c>
      <c r="H214" s="46" t="str">
        <f>_xll.MKV_PUBLISHRECORD(A214, $H$4)</f>
        <v>OK</v>
      </c>
      <c r="I214" s="46" t="str">
        <f ca="1">_xll.MKV_SUPPLYRECORD_RANGE(A214,$B$3:$G$3,B214:G214)</f>
        <v>OK</v>
      </c>
      <c r="J214" s="34">
        <f>_xll.MKV($J$1&amp;$C214, J$3)</f>
        <v>1.3736999999999999</v>
      </c>
      <c r="K214" s="32">
        <f>_xll.MKV($L$2&amp;$C214, K$3)</f>
        <v>1.409</v>
      </c>
      <c r="L214" s="35">
        <f>_xll.MKV($L$2&amp;$C214, L$3)</f>
        <v>107.19499999999999</v>
      </c>
      <c r="M214" s="32">
        <f t="shared" si="59"/>
        <v>9.9999999999909051E-3</v>
      </c>
      <c r="N214" s="36">
        <f>_xll.BDH(C214&amp;"@CBBT Corp","OPEN",$N$1&amp;" 4:15:00 PM",$N$1&amp;" 5:15:00 PM","BarSz=60","BarTp=T","RecurDaily=True","TZ=London","DTS=H")</f>
        <v>107.185</v>
      </c>
      <c r="O214" s="36" t="e">
        <f ca="1">[1]!BError(_xll.BDH($C214&amp;"@CBBT Corp","OPEN",$O$1&amp;" 4:15:00 PM",$O$1&amp;" 5:15:00 PM","BarSz=60","BarTp=T","RecurDaily=True","TZ=London","DTS=H"))</f>
        <v>#NAME?</v>
      </c>
      <c r="P214" s="36">
        <f>_xll.BDH($C214&amp;"@CBBT Corp","OPEN",P$1&amp;" 4:15:00 PM",P$1&amp;" 5:15:00 PM","BarSz=60","BarTp=T","RecurDaily=True","TZ=London","DTS=H")</f>
        <v>106.128</v>
      </c>
      <c r="Q214" s="44">
        <f>_xll.BDP($C214&amp;"@CBBT Corp","YAS_BOND_YLD", "SETTLE_DT="&amp;Q$1, "YAS_BOND_PX="&amp;$N214)</f>
        <v>1.375</v>
      </c>
      <c r="R214" s="44" t="e">
        <f ca="1">_xll.BDP($C214&amp;"@CBBT Corp","YAS_BOND_YLD", "SETTLE_DT="&amp;R$1, "YAS_BOND_PX="&amp;$O214)</f>
        <v>#NAME?</v>
      </c>
      <c r="S214" s="44">
        <f>_xll.BDP($C214&amp;"@CBBT Corp","YAS_BOND_YLD", "SETTLE_DT="&amp;S$1, "YAS_BOND_PX="&amp;$P214)</f>
        <v>1.4590000000000001</v>
      </c>
    </row>
    <row r="215" spans="1:19">
      <c r="A215" s="46" t="str">
        <f t="shared" si="65"/>
        <v>EUR.CM_DEPTH.XLS_ANDREA.ES0000012411</v>
      </c>
      <c r="B215" s="51" t="str">
        <f>_xll.MKV("EUR.CM_INSTRUMENT.PXE."&amp;C215,B$3)</f>
        <v>SPGB</v>
      </c>
      <c r="C215" s="61" t="s">
        <v>612</v>
      </c>
      <c r="D215" s="125">
        <f>_xll.MKV("EUR.CM_INSTRUMENT.PXE."&amp;C215,D$3)</f>
        <v>48425</v>
      </c>
      <c r="E215" s="58">
        <f t="shared" si="56"/>
        <v>3.499999999999992</v>
      </c>
      <c r="F215" s="58" t="str">
        <f t="shared" ca="1" si="57"/>
        <v>99</v>
      </c>
      <c r="G215" s="58">
        <f t="shared" si="58"/>
        <v>-5.8999999999999941</v>
      </c>
      <c r="H215" s="46" t="str">
        <f>_xll.MKV_PUBLISHRECORD(A215, $H$4)</f>
        <v>OK</v>
      </c>
      <c r="I215" s="46" t="str">
        <f ca="1">_xll.MKV_SUPPLYRECORD_RANGE(A215,$B$3:$G$3,B215:G215)</f>
        <v>OK</v>
      </c>
      <c r="J215" s="34">
        <f>_xll.MKV($J$1&amp;$C215, J$3)</f>
        <v>1.442342</v>
      </c>
      <c r="K215" s="32">
        <f>_xll.MKV($L$2&amp;$C215, K$3)</f>
        <v>1.478</v>
      </c>
      <c r="L215" s="35">
        <f>_xll.MKV($L$2&amp;$C215, L$3)</f>
        <v>160.44999999999999</v>
      </c>
      <c r="M215" s="32">
        <f t="shared" si="59"/>
        <v>0</v>
      </c>
      <c r="N215" s="36">
        <f>_xll.BDH(C215&amp;"@CBBT Corp","OPEN",$N$1&amp;" 4:15:00 PM",$N$1&amp;" 5:15:00 PM","BarSz=60","BarTp=T","RecurDaily=True","TZ=London","DTS=H")</f>
        <v>160.44999999999999</v>
      </c>
      <c r="O215" s="36" t="e">
        <f ca="1">[1]!BError(_xll.BDH($C215&amp;"@CBBT Corp","OPEN",$O$1&amp;" 4:15:00 PM",$O$1&amp;" 5:15:00 PM","BarSz=60","BarTp=T","RecurDaily=True","TZ=London","DTS=H"))</f>
        <v>#NAME?</v>
      </c>
      <c r="P215" s="36">
        <f>_xll.BDH($C215&amp;"@CBBT Corp","OPEN",P$1&amp;" 4:15:00 PM",P$1&amp;" 5:15:00 PM","BarSz=60","BarTp=T","RecurDaily=True","TZ=London","DTS=H")</f>
        <v>158.977</v>
      </c>
      <c r="Q215" s="44">
        <f>_xll.BDP($C215&amp;"@CBBT Corp","YAS_BOND_YLD", "SETTLE_DT="&amp;Q$1, "YAS_BOND_PX="&amp;$N215)</f>
        <v>1.4430000000000001</v>
      </c>
      <c r="R215" s="44" t="e">
        <f ca="1">_xll.BDP($C215&amp;"@CBBT Corp","YAS_BOND_YLD", "SETTLE_DT="&amp;R$1, "YAS_BOND_PX="&amp;$O215)</f>
        <v>#NAME?</v>
      </c>
      <c r="S215" s="44">
        <f>_xll.BDP($C215&amp;"@CBBT Corp","YAS_BOND_YLD", "SETTLE_DT="&amp;S$1, "YAS_BOND_PX="&amp;$P215)</f>
        <v>1.5369999999999999</v>
      </c>
    </row>
    <row r="216" spans="1:19">
      <c r="A216" s="46" t="str">
        <f t="shared" si="65"/>
        <v>EUR.CM_DEPTH.XLS_ANDREA.ES0000012932</v>
      </c>
      <c r="B216" s="51" t="str">
        <f>_xll.MKV("EUR.CM_INSTRUMENT.PXE."&amp;C216,B$3)</f>
        <v>SPGB</v>
      </c>
      <c r="C216" s="61" t="s">
        <v>617</v>
      </c>
      <c r="D216" s="125">
        <f>_xll.MKV("EUR.CM_INSTRUMENT.PXE."&amp;C216,D$3)</f>
        <v>50071</v>
      </c>
      <c r="E216" s="58">
        <f t="shared" si="56"/>
        <v>2.6000000000000245</v>
      </c>
      <c r="F216" s="58" t="str">
        <f t="shared" ca="1" si="57"/>
        <v>99</v>
      </c>
      <c r="G216" s="58">
        <f t="shared" si="58"/>
        <v>-5.0999999999999712</v>
      </c>
      <c r="H216" s="46" t="str">
        <f>_xll.MKV_PUBLISHRECORD(A216, $H$4)</f>
        <v>OK</v>
      </c>
      <c r="I216" s="46" t="str">
        <f ca="1">_xll.MKV_SUPPLYRECORD_RANGE(A216,$B$3:$G$3,B216:G216)</f>
        <v>OK</v>
      </c>
      <c r="J216" s="34">
        <f>_xll.MKV($J$1&amp;$C216, J$3)</f>
        <v>1.7582880000000001</v>
      </c>
      <c r="K216" s="32">
        <f>_xll.MKV($L$2&amp;$C216, K$3)</f>
        <v>1.7850000000000001</v>
      </c>
      <c r="L216" s="35">
        <f>_xll.MKV($L$2&amp;$C216, L$3)</f>
        <v>141.37</v>
      </c>
      <c r="M216" s="32">
        <f t="shared" si="59"/>
        <v>9.9999999999909051E-3</v>
      </c>
      <c r="N216" s="36">
        <f>_xll.BDH(C216&amp;"@CBBT Corp","OPEN",$N$1&amp;" 4:15:00 PM",$N$1&amp;" 5:15:00 PM","BarSz=60","BarTp=T","RecurDaily=True","TZ=London","DTS=H")</f>
        <v>141.36000000000001</v>
      </c>
      <c r="O216" s="36" t="e">
        <f ca="1">[1]!BError(_xll.BDH($C216&amp;"@CBBT Corp","OPEN",$O$1&amp;" 4:15:00 PM",$O$1&amp;" 5:15:00 PM","BarSz=60","BarTp=T","RecurDaily=True","TZ=London","DTS=H"))</f>
        <v>#NAME?</v>
      </c>
      <c r="P216" s="36">
        <f>_xll.BDH($C216&amp;"@CBBT Corp","OPEN",P$1&amp;" 4:15:00 PM",P$1&amp;" 5:15:00 PM","BarSz=60","BarTp=T","RecurDaily=True","TZ=London","DTS=H")</f>
        <v>139.9</v>
      </c>
      <c r="Q216" s="44">
        <f>_xll.BDP($C216&amp;"@CBBT Corp","YAS_BOND_YLD", "SETTLE_DT="&amp;Q$1, "YAS_BOND_PX="&amp;$N216)</f>
        <v>1.7589999999999999</v>
      </c>
      <c r="R216" s="44" t="e">
        <f ca="1">_xll.BDP($C216&amp;"@CBBT Corp","YAS_BOND_YLD", "SETTLE_DT="&amp;R$1, "YAS_BOND_PX="&amp;$O216)</f>
        <v>#NAME?</v>
      </c>
      <c r="S216" s="44">
        <f>_xll.BDP($C216&amp;"@CBBT Corp","YAS_BOND_YLD", "SETTLE_DT="&amp;S$1, "YAS_BOND_PX="&amp;$P216)</f>
        <v>1.8359999999999999</v>
      </c>
    </row>
    <row r="217" spans="1:19">
      <c r="A217" s="46" t="str">
        <f t="shared" si="65"/>
        <v>EUR.CM_DEPTH.XLS_ANDREA.ES00000120N0</v>
      </c>
      <c r="B217" s="51" t="str">
        <f>_xll.MKV("EUR.CM_INSTRUMENT.PXE."&amp;C217,B$3)</f>
        <v>SPGB</v>
      </c>
      <c r="C217" s="61" t="s">
        <v>622</v>
      </c>
      <c r="D217" s="125">
        <f>_xll.MKV("EUR.CM_INSTRUMENT.PXE."&amp;C217,D$3)</f>
        <v>51347</v>
      </c>
      <c r="E217" s="58">
        <f t="shared" si="56"/>
        <v>2.6999999999999913</v>
      </c>
      <c r="F217" s="58" t="str">
        <f t="shared" ca="1" si="57"/>
        <v>99</v>
      </c>
      <c r="G217" s="58">
        <f t="shared" si="58"/>
        <v>-3.400000000000003</v>
      </c>
      <c r="H217" s="46" t="str">
        <f>_xll.MKV_PUBLISHRECORD(A217, $H$4)</f>
        <v>OK</v>
      </c>
      <c r="I217" s="46" t="str">
        <f ca="1">_xll.MKV_SUPPLYRECORD_RANGE(A217,$B$3:$G$3,B217:G217)</f>
        <v>OK</v>
      </c>
      <c r="J217" s="34">
        <f>_xll.MKV($J$1&amp;$C217, J$3)</f>
        <v>1.9267160000000001</v>
      </c>
      <c r="K217" s="32">
        <f>_xll.MKV($L$2&amp;$C217, K$3)</f>
        <v>1.954</v>
      </c>
      <c r="L217" s="35">
        <f>_xll.MKV($L$2&amp;$C217, L$3)</f>
        <v>156.315</v>
      </c>
      <c r="M217" s="32">
        <f t="shared" si="59"/>
        <v>4.9999999999954525E-3</v>
      </c>
      <c r="N217" s="36">
        <f>_xll.BDH(C217&amp;"@CBBT Corp","OPEN",$N$1&amp;" 4:15:00 PM",$N$1&amp;" 5:15:00 PM","BarSz=60","BarTp=T","RecurDaily=True","TZ=London","DTS=H")</f>
        <v>156.31</v>
      </c>
      <c r="O217" s="36" t="e">
        <f ca="1">[1]!BError(_xll.BDH($C217&amp;"@CBBT Corp","OPEN",$O$1&amp;" 4:15:00 PM",$O$1&amp;" 5:15:00 PM","BarSz=60","BarTp=T","RecurDaily=True","TZ=London","DTS=H"))</f>
        <v>#NAME?</v>
      </c>
      <c r="P217" s="36">
        <f>_xll.BDH($C217&amp;"@CBBT Corp","OPEN",P$1&amp;" 4:15:00 PM",P$1&amp;" 5:15:00 PM","BarSz=60","BarTp=T","RecurDaily=True","TZ=London","DTS=H")</f>
        <v>154.94300000000001</v>
      </c>
      <c r="Q217" s="44">
        <f>_xll.BDP($C217&amp;"@CBBT Corp","YAS_BOND_YLD", "SETTLE_DT="&amp;Q$1, "YAS_BOND_PX="&amp;$N217)</f>
        <v>1.927</v>
      </c>
      <c r="R217" s="44" t="e">
        <f ca="1">_xll.BDP($C217&amp;"@CBBT Corp","YAS_BOND_YLD", "SETTLE_DT="&amp;R$1, "YAS_BOND_PX="&amp;$O217)</f>
        <v>#NAME?</v>
      </c>
      <c r="S217" s="44">
        <f>_xll.BDP($C217&amp;"@CBBT Corp","YAS_BOND_YLD", "SETTLE_DT="&amp;S$1, "YAS_BOND_PX="&amp;$P217)</f>
        <v>1.988</v>
      </c>
    </row>
    <row r="218" spans="1:19">
      <c r="A218" s="46" t="str">
        <f t="shared" si="65"/>
        <v>EUR.CM_DEPTH.XLS_ANDREA.ES00000121S7</v>
      </c>
      <c r="B218" s="51" t="str">
        <f>_xll.MKV("EUR.CM_INSTRUMENT.PXE."&amp;C218,B$3)</f>
        <v>SPGB</v>
      </c>
      <c r="C218" s="61" t="s">
        <v>624</v>
      </c>
      <c r="D218" s="125">
        <f>_xll.MKV("EUR.CM_INSTRUMENT.PXE."&amp;C218,D$3)</f>
        <v>51712</v>
      </c>
      <c r="E218" s="58">
        <f t="shared" si="56"/>
        <v>2.6000000000000023</v>
      </c>
      <c r="F218" s="58" t="str">
        <f t="shared" ca="1" si="57"/>
        <v>99</v>
      </c>
      <c r="G218" s="58">
        <f t="shared" si="58"/>
        <v>-3.499999999999992</v>
      </c>
      <c r="H218" s="46" t="str">
        <f>_xll.MKV_PUBLISHRECORD(A218, $H$4)</f>
        <v>OK</v>
      </c>
      <c r="I218" s="46" t="str">
        <f ca="1">_xll.MKV_SUPPLYRECORD_RANGE(A218,$B$3:$G$3,B218:G218)</f>
        <v>OK</v>
      </c>
      <c r="J218" s="34">
        <f>_xll.MKV($J$1&amp;$C218, J$3)</f>
        <v>1.9590289999999999</v>
      </c>
      <c r="K218" s="32">
        <f>_xll.MKV($L$2&amp;$C218, K$3)</f>
        <v>1.986</v>
      </c>
      <c r="L218" s="35">
        <f>_xll.MKV($L$2&amp;$C218, L$3)</f>
        <v>153.41999999999999</v>
      </c>
      <c r="M218" s="32">
        <f t="shared" si="59"/>
        <v>9.9999999999909051E-3</v>
      </c>
      <c r="N218" s="36">
        <f>_xll.BDH(C218&amp;"@CBBT Corp","OPEN",$N$1&amp;" 4:15:00 PM",$N$1&amp;" 5:15:00 PM","BarSz=60","BarTp=T","RecurDaily=True","TZ=London","DTS=H")</f>
        <v>153.41</v>
      </c>
      <c r="O218" s="36" t="e">
        <f ca="1">[1]!BError(_xll.BDH($C218&amp;"@CBBT Corp","OPEN",$O$1&amp;" 4:15:00 PM",$O$1&amp;" 5:15:00 PM","BarSz=60","BarTp=T","RecurDaily=True","TZ=London","DTS=H"))</f>
        <v>#NAME?</v>
      </c>
      <c r="P218" s="36">
        <f>_xll.BDH($C218&amp;"@CBBT Corp","OPEN",P$1&amp;" 4:15:00 PM",P$1&amp;" 5:15:00 PM","BarSz=60","BarTp=T","RecurDaily=True","TZ=London","DTS=H")</f>
        <v>151.99700000000001</v>
      </c>
      <c r="Q218" s="44">
        <f>_xll.BDP($C218&amp;"@CBBT Corp","YAS_BOND_YLD", "SETTLE_DT="&amp;Q$1, "YAS_BOND_PX="&amp;$N218)</f>
        <v>1.96</v>
      </c>
      <c r="R218" s="44" t="e">
        <f ca="1">_xll.BDP($C218&amp;"@CBBT Corp","YAS_BOND_YLD", "SETTLE_DT="&amp;R$1, "YAS_BOND_PX="&amp;$O218)</f>
        <v>#NAME?</v>
      </c>
      <c r="S218" s="44">
        <f>_xll.BDP($C218&amp;"@CBBT Corp","YAS_BOND_YLD", "SETTLE_DT="&amp;S$1, "YAS_BOND_PX="&amp;$P218)</f>
        <v>2.0209999999999999</v>
      </c>
    </row>
    <row r="219" spans="1:19">
      <c r="A219" s="46" t="str">
        <f t="shared" si="65"/>
        <v>EUR.CM_DEPTH.XLS_ANDREA.ES00000124H4</v>
      </c>
      <c r="B219" s="51" t="str">
        <f>_xll.MKV("EUR.CM_INSTRUMENT.PXE."&amp;C219,B$3)</f>
        <v>SPGB</v>
      </c>
      <c r="C219" s="61" t="s">
        <v>627</v>
      </c>
      <c r="D219" s="125">
        <f>_xll.MKV("EUR.CM_INSTRUMENT.PXE."&amp;C219,D$3)</f>
        <v>52901</v>
      </c>
      <c r="E219" s="58">
        <f t="shared" si="56"/>
        <v>3.2999999999999918</v>
      </c>
      <c r="F219" s="58" t="str">
        <f t="shared" ca="1" si="57"/>
        <v>99</v>
      </c>
      <c r="G219" s="58">
        <f t="shared" si="58"/>
        <v>-1.8000000000000238</v>
      </c>
      <c r="H219" s="46" t="str">
        <f>_xll.MKV_PUBLISHRECORD(A219, $H$4)</f>
        <v>OK</v>
      </c>
      <c r="I219" s="46" t="str">
        <f ca="1">_xll.MKV_SUPPLYRECORD_RANGE(A219,$B$3:$G$3,B219:G219)</f>
        <v>OK</v>
      </c>
      <c r="J219" s="34">
        <f>_xll.MKV($J$1&amp;$C219, J$3)</f>
        <v>2.0800969999999999</v>
      </c>
      <c r="K219" s="32">
        <f>_xll.MKV($L$2&amp;$C219, K$3)</f>
        <v>2.1139999999999999</v>
      </c>
      <c r="L219" s="35">
        <f>_xll.MKV($L$2&amp;$C219, L$3)</f>
        <v>164.74</v>
      </c>
      <c r="M219" s="32">
        <f t="shared" si="59"/>
        <v>7.0000000000050022E-3</v>
      </c>
      <c r="N219" s="36">
        <f>_xll.BDH(C219&amp;"@CBBT Corp","OPEN",$N$1&amp;" 4:15:00 PM",$N$1&amp;" 5:15:00 PM","BarSz=60","BarTp=T","RecurDaily=True","TZ=London","DTS=H")</f>
        <v>164.733</v>
      </c>
      <c r="O219" s="36" t="e">
        <f ca="1">[1]!BError(_xll.BDH($C219&amp;"@CBBT Corp","OPEN",$O$1&amp;" 4:15:00 PM",$O$1&amp;" 5:15:00 PM","BarSz=60","BarTp=T","RecurDaily=True","TZ=London","DTS=H"))</f>
        <v>#NAME?</v>
      </c>
      <c r="P219" s="36">
        <f>_xll.BDH($C219&amp;"@CBBT Corp","OPEN",P$1&amp;" 4:15:00 PM",P$1&amp;" 5:15:00 PM","BarSz=60","BarTp=T","RecurDaily=True","TZ=London","DTS=H")</f>
        <v>163.36699999999999</v>
      </c>
      <c r="Q219" s="44">
        <f>_xll.BDP($C219&amp;"@CBBT Corp","YAS_BOND_YLD", "SETTLE_DT="&amp;Q$1, "YAS_BOND_PX="&amp;$N219)</f>
        <v>2.081</v>
      </c>
      <c r="R219" s="44" t="e">
        <f ca="1">_xll.BDP($C219&amp;"@CBBT Corp","YAS_BOND_YLD", "SETTLE_DT="&amp;R$1, "YAS_BOND_PX="&amp;$O219)</f>
        <v>#NAME?</v>
      </c>
      <c r="S219" s="44">
        <f>_xll.BDP($C219&amp;"@CBBT Corp","YAS_BOND_YLD", "SETTLE_DT="&amp;S$1, "YAS_BOND_PX="&amp;$P219)</f>
        <v>2.1320000000000001</v>
      </c>
    </row>
    <row r="220" spans="1:19">
      <c r="A220" s="46" t="str">
        <f>$A$4 &amp; ".CM_DEPTH."&amp; $H$4 &amp; "." &amp; C220</f>
        <v>EUR.CM_DEPTH.XLS_ANDREA.ES00000128C6</v>
      </c>
      <c r="B220" s="51" t="str">
        <f>_xll.MKV("EUR.CM_INSTRUMENT.PXE."&amp;C220,B$3)</f>
        <v>SPGB</v>
      </c>
      <c r="C220" s="61" t="s">
        <v>706</v>
      </c>
      <c r="D220" s="125">
        <f>_xll.MKV("EUR.CM_INSTRUMENT.PXE."&amp;C220,D$3)</f>
        <v>53631</v>
      </c>
      <c r="E220" s="58">
        <f t="shared" si="56"/>
        <v>2.8999999999999915</v>
      </c>
      <c r="F220" s="58" t="str">
        <f t="shared" ca="1" si="57"/>
        <v>99</v>
      </c>
      <c r="G220" s="58">
        <f t="shared" si="58"/>
        <v>-3.4000000000000252</v>
      </c>
      <c r="H220" s="46" t="str">
        <f>_xll.MKV_PUBLISHRECORD(A220, $H$4)</f>
        <v>OK</v>
      </c>
      <c r="I220" s="46" t="str">
        <f ca="1">_xll.MKV_SUPPLYRECORD_RANGE(A220,$B$3:$G$3,B220:G220)</f>
        <v>OK</v>
      </c>
      <c r="J220" s="34">
        <f>_xll.MKV($J$1&amp;$C220, J$3)</f>
        <v>2.1533030000000002</v>
      </c>
      <c r="K220" s="32">
        <f>_xll.MKV($L$2&amp;$C220, K$3)</f>
        <v>2.1829999999999998</v>
      </c>
      <c r="L220" s="35">
        <f>_xll.MKV($L$2&amp;$C220, L$3)</f>
        <v>116.395</v>
      </c>
      <c r="M220" s="32">
        <f t="shared" si="59"/>
        <v>1.2999999999991019E-2</v>
      </c>
      <c r="N220" s="36">
        <f>_xll.BDH(C220&amp;"@CBBT Corp","OPEN",$N$1&amp;" 4:15:00 PM",$N$1&amp;" 5:15:00 PM","BarSz=60","BarTp=T","RecurDaily=True","TZ=London","DTS=H")</f>
        <v>116.38200000000001</v>
      </c>
      <c r="O220" s="36" t="e">
        <f ca="1">[1]!BError(_xll.BDH($C220&amp;"@CBBT Corp","OPEN",$O$1&amp;" 4:15:00 PM",$O$1&amp;" 5:15:00 PM","BarSz=60","BarTp=T","RecurDaily=True","TZ=London","DTS=H"))</f>
        <v>#NAME?</v>
      </c>
      <c r="P220" s="36">
        <f>_xll.BDH($C220&amp;"@CBBT Corp","OPEN",P$1&amp;" 4:15:00 PM",P$1&amp;" 5:15:00 PM","BarSz=60","BarTp=T","RecurDaily=True","TZ=London","DTS=H")</f>
        <v>114.91</v>
      </c>
      <c r="Q220" s="44">
        <f>_xll.BDP($C220&amp;"@CBBT Corp","YAS_BOND_YLD", "SETTLE_DT="&amp;Q$1, "YAS_BOND_PX="&amp;$N220)</f>
        <v>2.1539999999999999</v>
      </c>
      <c r="R220" s="44" t="e">
        <f ca="1">_xll.BDP($C220&amp;"@CBBT Corp","YAS_BOND_YLD", "SETTLE_DT="&amp;R$1, "YAS_BOND_PX="&amp;$O220)</f>
        <v>#NAME?</v>
      </c>
      <c r="S220" s="44">
        <f>_xll.BDP($C220&amp;"@CBBT Corp","YAS_BOND_YLD", "SETTLE_DT="&amp;S$1, "YAS_BOND_PX="&amp;$P220)</f>
        <v>2.2170000000000001</v>
      </c>
    </row>
    <row r="221" spans="1:19">
      <c r="A221" s="46" t="str">
        <f>$A$4 &amp; ".CM_DEPTH."&amp; $H$4 &amp; "." &amp; C221</f>
        <v>EUR.CM_DEPTH.XLS_ANDREA.ES00000128E2</v>
      </c>
      <c r="B221" s="51" t="str">
        <f>_xll.MKV("EUR.CM_INSTRUMENT.PXE."&amp;C221,B$3)</f>
        <v>SPGB</v>
      </c>
      <c r="C221" s="61" t="s">
        <v>733</v>
      </c>
      <c r="D221" s="125">
        <f>_xll.MKV("EUR.CM_INSTRUMENT.PXE."&amp;C221,D$3)</f>
        <v>60843</v>
      </c>
      <c r="E221" s="58">
        <f>IFERROR(($K221-Q221)*100,"99")</f>
        <v>3.7000000000000366</v>
      </c>
      <c r="F221" s="58" t="str">
        <f ca="1">IFERROR(($K221-R221)*100,"99")</f>
        <v>99</v>
      </c>
      <c r="G221" s="58">
        <f>IFERROR(($K221-S221)*100,"99")</f>
        <v>-6.0999999999999943</v>
      </c>
      <c r="H221" s="46" t="str">
        <f>_xll.MKV_PUBLISHRECORD(A221, $H$4)</f>
        <v>OK</v>
      </c>
      <c r="I221" s="46" t="str">
        <f ca="1">_xll.MKV_SUPPLYRECORD_RANGE(A221,$B$3:$G$3,B221:G221)</f>
        <v>OK</v>
      </c>
      <c r="J221" s="34">
        <f>_xll.MKV($J$1&amp;$C221, J$3)</f>
        <v>2.6267779999999998</v>
      </c>
      <c r="K221" s="32">
        <f>_xll.MKV($L$2&amp;$C221, K$3)</f>
        <v>2.6640000000000001</v>
      </c>
      <c r="L221" s="35">
        <f>_xll.MKV($L$2&amp;$C221, L$3)</f>
        <v>122.715</v>
      </c>
      <c r="M221" s="32">
        <f>L221-N221</f>
        <v>1.300000000000523E-2</v>
      </c>
      <c r="N221" s="36">
        <f>_xll.BDH(C221&amp;"@CBBT Corp","OPEN",$N$1&amp;" 4:15:00 PM",$N$1&amp;" 5:15:00 PM","BarSz=60","BarTp=T","RecurDaily=True","TZ=London","DTS=H")</f>
        <v>122.702</v>
      </c>
      <c r="O221" s="36" t="e">
        <f ca="1">[1]!BError(_xll.BDH($C221&amp;"@CBBT Corp","OPEN",$O$1&amp;" 4:15:00 PM",$O$1&amp;" 5:15:00 PM","BarSz=60","BarTp=T","RecurDaily=True","TZ=London","DTS=H"))</f>
        <v>#NAME?</v>
      </c>
      <c r="P221" s="36">
        <f>_xll.BDH($C221&amp;"@CBBT Corp","OPEN",P$1&amp;" 4:15:00 PM",P$1&amp;" 5:15:00 PM","BarSz=60","BarTp=T","RecurDaily=True","TZ=London","DTS=H")</f>
        <v>119.637</v>
      </c>
      <c r="Q221" s="44">
        <f>_xll.BDP($C221&amp;"@CBBT Corp","YAS_BOND_YLD", "SETTLE_DT="&amp;Q$1, "YAS_BOND_PX="&amp;$N221)</f>
        <v>2.6269999999999998</v>
      </c>
      <c r="R221" s="44" t="e">
        <f ca="1">_xll.BDP($C221&amp;"@CBBT Corp","YAS_BOND_YLD", "SETTLE_DT="&amp;R$1, "YAS_BOND_PX="&amp;$O221)</f>
        <v>#NAME?</v>
      </c>
      <c r="S221" s="44">
        <f>_xll.BDP($C221&amp;"@CBBT Corp","YAS_BOND_YLD", "SETTLE_DT="&amp;S$1, "YAS_BOND_PX="&amp;$P221)</f>
        <v>2.7250000000000001</v>
      </c>
    </row>
    <row r="222" spans="1:19">
      <c r="A222" s="46" t="str">
        <f t="shared" si="65"/>
        <v>EUR.CM_DEPTH.XLS_ANDREA.PTOTE6OE0006</v>
      </c>
      <c r="B222" s="51" t="str">
        <f>_xll.MKV("EUR.CM_INSTRUMENT.PXE."&amp;C222,B$3)</f>
        <v>PGB</v>
      </c>
      <c r="C222" s="61" t="s">
        <v>496</v>
      </c>
      <c r="D222" s="125">
        <f>_xll.MKV("EUR.CM_INSTRUMENT.PXE."&amp;C222,D$3)</f>
        <v>42658</v>
      </c>
      <c r="E222" s="58">
        <f t="shared" si="56"/>
        <v>-263.60000000000002</v>
      </c>
      <c r="F222" s="58" t="str">
        <f t="shared" ca="1" si="57"/>
        <v>99</v>
      </c>
      <c r="G222" s="58">
        <f t="shared" si="58"/>
        <v>-148.5</v>
      </c>
      <c r="H222" s="46" t="str">
        <f>_xll.MKV_PUBLISHRECORD(A222, $H$4)</f>
        <v>OK</v>
      </c>
      <c r="I222" s="46" t="str">
        <f ca="1">_xll.MKV_SUPPLYRECORD_RANGE(A222,$B$3:$G$3,B222:G222)</f>
        <v>OK</v>
      </c>
      <c r="J222" s="34">
        <f>_xll.MKV($J$1&amp;$C222, J$3)</f>
        <v>-1.23031</v>
      </c>
      <c r="K222" s="32">
        <f>_xll.MKV($L$2&amp;$C222, K$3)</f>
        <v>-1.23</v>
      </c>
      <c r="L222" s="35">
        <f>_xll.MKV($L$2&amp;$C222, L$3)</f>
        <v>100.03</v>
      </c>
      <c r="M222" s="32">
        <f t="shared" si="59"/>
        <v>0</v>
      </c>
      <c r="N222" s="36">
        <f>_xll.BDH(C222&amp;"@CBBT Corp","OPEN",$N$1&amp;" 4:15:00 PM",$N$1&amp;" 5:15:00 PM","BarSz=60","BarTp=T","RecurDaily=True","TZ=London","DTS=H")</f>
        <v>100.03</v>
      </c>
      <c r="O222" s="36" t="e">
        <f ca="1">[1]!BError(_xll.BDH($C222&amp;"@CBBT Corp","OPEN",$O$1&amp;" 4:15:00 PM",$O$1&amp;" 5:15:00 PM","BarSz=60","BarTp=T","RecurDaily=True","TZ=London","DTS=H"))</f>
        <v>#NAME?</v>
      </c>
      <c r="P222" s="36">
        <f>_xll.BDH($C222&amp;"@CBBT Corp","OPEN",P$1&amp;" 4:15:00 PM",P$1&amp;" 5:15:00 PM","BarSz=60","BarTp=T","RecurDaily=True","TZ=London","DTS=H")</f>
        <v>100.387</v>
      </c>
      <c r="Q222" s="44">
        <f>_xll.BDP($C222&amp;"@CBBT Corp","YAS_BOND_YLD", "SETTLE_DT="&amp;Q$1, "YAS_BOND_PX="&amp;$N222)</f>
        <v>1.4060000000000001</v>
      </c>
      <c r="R222" s="44" t="e">
        <f ca="1">_xll.BDP($C222&amp;"@CBBT Corp","YAS_BOND_YLD", "SETTLE_DT="&amp;R$1, "YAS_BOND_PX="&amp;$O222)</f>
        <v>#NAME?</v>
      </c>
      <c r="S222" s="44">
        <f>_xll.BDP($C222&amp;"@CBBT Corp","YAS_BOND_YLD", "SETTLE_DT="&amp;S$1, "YAS_BOND_PX="&amp;$P222)</f>
        <v>0.255</v>
      </c>
    </row>
    <row r="223" spans="1:19">
      <c r="A223" s="46" t="str">
        <f t="shared" si="65"/>
        <v>EUR.CM_DEPTH.XLS_ANDREA.PTOTELOE0010</v>
      </c>
      <c r="B223" s="51" t="str">
        <f>_xll.MKV("EUR.CM_INSTRUMENT.PXE."&amp;C223,B$3)</f>
        <v>PGB</v>
      </c>
      <c r="C223" s="61" t="s">
        <v>516</v>
      </c>
      <c r="D223" s="125">
        <f>_xll.MKV("EUR.CM_INSTRUMENT.PXE."&amp;C223,D$3)</f>
        <v>43024</v>
      </c>
      <c r="E223" s="58">
        <f t="shared" si="56"/>
        <v>-2</v>
      </c>
      <c r="F223" s="58" t="str">
        <f t="shared" ca="1" si="57"/>
        <v>99</v>
      </c>
      <c r="G223" s="58">
        <f t="shared" si="58"/>
        <v>-10.3</v>
      </c>
      <c r="H223" s="46" t="str">
        <f>_xll.MKV_PUBLISHRECORD(A223, $H$4)</f>
        <v>OK</v>
      </c>
      <c r="I223" s="46" t="str">
        <f ca="1">_xll.MKV_SUPPLYRECORD_RANGE(A223,$B$3:$G$3,B223:G223)</f>
        <v>OK</v>
      </c>
      <c r="J223" s="34">
        <f>_xll.MKV($J$1&amp;$C223, J$3)</f>
        <v>-5.6356999999999997E-2</v>
      </c>
      <c r="K223" s="32">
        <f>_xll.MKV($L$2&amp;$C223, K$3)</f>
        <v>-4.9000000000000002E-2</v>
      </c>
      <c r="L223" s="35">
        <f>_xll.MKV($L$2&amp;$C223, L$3)</f>
        <v>104.44499999999999</v>
      </c>
      <c r="M223" s="32">
        <f t="shared" si="59"/>
        <v>4.9999999999954525E-3</v>
      </c>
      <c r="N223" s="36">
        <f>_xll.BDH(C223&amp;"@CBBT Corp","OPEN",$N$1&amp;" 4:15:00 PM",$N$1&amp;" 5:15:00 PM","BarSz=60","BarTp=T","RecurDaily=True","TZ=London","DTS=H")</f>
        <v>104.44</v>
      </c>
      <c r="O223" s="36" t="e">
        <f ca="1">[1]!BError(_xll.BDH($C223&amp;"@CBBT Corp","OPEN",$O$1&amp;" 4:15:00 PM",$O$1&amp;" 5:15:00 PM","BarSz=60","BarTp=T","RecurDaily=True","TZ=London","DTS=H"))</f>
        <v>#NAME?</v>
      </c>
      <c r="P223" s="36">
        <f>_xll.BDH($C223&amp;"@CBBT Corp","OPEN",P$1&amp;" 4:15:00 PM",P$1&amp;" 5:15:00 PM","BarSz=60","BarTp=T","RecurDaily=True","TZ=London","DTS=H")</f>
        <v>104.72799999999999</v>
      </c>
      <c r="Q223" s="44">
        <f>_xll.BDP($C223&amp;"@CBBT Corp","YAS_BOND_YLD", "SETTLE_DT="&amp;Q$1, "YAS_BOND_PX="&amp;$N223)</f>
        <v>-2.9000000000000001E-2</v>
      </c>
      <c r="R223" s="44" t="e">
        <f ca="1">_xll.BDP($C223&amp;"@CBBT Corp","YAS_BOND_YLD", "SETTLE_DT="&amp;R$1, "YAS_BOND_PX="&amp;$O223)</f>
        <v>#NAME?</v>
      </c>
      <c r="S223" s="44">
        <f>_xll.BDP($C223&amp;"@CBBT Corp","YAS_BOND_YLD", "SETTLE_DT="&amp;S$1, "YAS_BOND_PX="&amp;$P223)</f>
        <v>5.3999999999999999E-2</v>
      </c>
    </row>
    <row r="224" spans="1:19">
      <c r="A224" s="46" t="str">
        <f t="shared" si="65"/>
        <v>EUR.CM_DEPTH.XLS_ANDREA.PTOTENOE0018</v>
      </c>
      <c r="B224" s="51" t="str">
        <f>_xll.MKV("EUR.CM_INSTRUMENT.PXE."&amp;C224,B$3)</f>
        <v>PGB</v>
      </c>
      <c r="C224" s="61" t="s">
        <v>531</v>
      </c>
      <c r="D224" s="125">
        <f>_xll.MKV("EUR.CM_INSTRUMENT.PXE."&amp;C224,D$3)</f>
        <v>43266</v>
      </c>
      <c r="E224" s="58">
        <f t="shared" si="56"/>
        <v>0.80000000000000071</v>
      </c>
      <c r="F224" s="58" t="str">
        <f t="shared" ca="1" si="57"/>
        <v>99</v>
      </c>
      <c r="G224" s="58">
        <f t="shared" si="58"/>
        <v>-21.400000000000002</v>
      </c>
      <c r="H224" s="46" t="str">
        <f>_xll.MKV_PUBLISHRECORD(A224, $H$4)</f>
        <v>OK</v>
      </c>
      <c r="I224" s="46" t="str">
        <f ca="1">_xll.MKV_SUPPLYRECORD_RANGE(A224,$B$3:$G$3,B224:G224)</f>
        <v>OK</v>
      </c>
      <c r="J224" s="34">
        <f>_xll.MKV($J$1&amp;$C224, J$3)</f>
        <v>0.28379900000000002</v>
      </c>
      <c r="K224" s="32">
        <f>_xll.MKV($L$2&amp;$C224, K$3)</f>
        <v>0.30599999999999999</v>
      </c>
      <c r="L224" s="35">
        <f>_xll.MKV($L$2&amp;$C224, L$3)</f>
        <v>106.935</v>
      </c>
      <c r="M224" s="32">
        <f t="shared" si="59"/>
        <v>3.0000000000001137E-3</v>
      </c>
      <c r="N224" s="36">
        <f>_xll.BDH(C224&amp;"@CBBT Corp","OPEN",$N$1&amp;" 4:15:00 PM",$N$1&amp;" 5:15:00 PM","BarSz=60","BarTp=T","RecurDaily=True","TZ=London","DTS=H")</f>
        <v>106.932</v>
      </c>
      <c r="O224" s="36" t="e">
        <f ca="1">[1]!BError(_xll.BDH($C224&amp;"@CBBT Corp","OPEN",$O$1&amp;" 4:15:00 PM",$O$1&amp;" 5:15:00 PM","BarSz=60","BarTp=T","RecurDaily=True","TZ=London","DTS=H"))</f>
        <v>#NAME?</v>
      </c>
      <c r="P224" s="36">
        <f>_xll.BDH($C224&amp;"@CBBT Corp","OPEN",P$1&amp;" 4:15:00 PM",P$1&amp;" 5:15:00 PM","BarSz=60","BarTp=T","RecurDaily=True","TZ=London","DTS=H")</f>
        <v>106.88200000000001</v>
      </c>
      <c r="Q224" s="44">
        <f>_xll.BDP($C224&amp;"@CBBT Corp","YAS_BOND_YLD", "SETTLE_DT="&amp;Q$1, "YAS_BOND_PX="&amp;$N224)</f>
        <v>0.29799999999999999</v>
      </c>
      <c r="R224" s="44" t="e">
        <f ca="1">_xll.BDP($C224&amp;"@CBBT Corp","YAS_BOND_YLD", "SETTLE_DT="&amp;R$1, "YAS_BOND_PX="&amp;$O224)</f>
        <v>#NAME?</v>
      </c>
      <c r="S224" s="44">
        <f>_xll.BDP($C224&amp;"@CBBT Corp","YAS_BOND_YLD", "SETTLE_DT="&amp;S$1, "YAS_BOND_PX="&amp;$P224)</f>
        <v>0.52</v>
      </c>
    </row>
    <row r="225" spans="1:19">
      <c r="A225" s="46" t="str">
        <f t="shared" si="65"/>
        <v>EUR.CM_DEPTH.XLS_ANDREA.PTOTEMOE0027</v>
      </c>
      <c r="B225" s="51" t="str">
        <f>_xll.MKV("EUR.CM_INSTRUMENT.PXE."&amp;C225,B$3)</f>
        <v>PGB</v>
      </c>
      <c r="C225" s="61" t="s">
        <v>544</v>
      </c>
      <c r="D225" s="125">
        <f>_xll.MKV("EUR.CM_INSTRUMENT.PXE."&amp;C225,D$3)</f>
        <v>43630</v>
      </c>
      <c r="E225" s="58">
        <f t="shared" si="56"/>
        <v>0.9000000000000008</v>
      </c>
      <c r="F225" s="58" t="str">
        <f t="shared" ca="1" si="57"/>
        <v>99</v>
      </c>
      <c r="G225" s="58">
        <f t="shared" si="58"/>
        <v>-5.8999999999999941</v>
      </c>
      <c r="H225" s="46" t="str">
        <f>_xll.MKV_PUBLISHRECORD(A225, $H$4)</f>
        <v>OK</v>
      </c>
      <c r="I225" s="46" t="str">
        <f ca="1">_xll.MKV_SUPPLYRECORD_RANGE(A225,$B$3:$G$3,B225:G225)</f>
        <v>OK</v>
      </c>
      <c r="J225" s="34">
        <f>_xll.MKV($J$1&amp;$C225, J$3)</f>
        <v>0.90061500000000005</v>
      </c>
      <c r="K225" s="32">
        <f>_xll.MKV($L$2&amp;$C225, K$3)</f>
        <v>0.91800000000000004</v>
      </c>
      <c r="L225" s="35">
        <f>_xll.MKV($L$2&amp;$C225, L$3)</f>
        <v>110.1</v>
      </c>
      <c r="M225" s="32">
        <f t="shared" si="59"/>
        <v>1.9999999999953388E-3</v>
      </c>
      <c r="N225" s="36">
        <f>_xll.BDH(C225&amp;"@CBBT Corp","OPEN",$N$1&amp;" 4:15:00 PM",$N$1&amp;" 5:15:00 PM","BarSz=60","BarTp=T","RecurDaily=True","TZ=London","DTS=H")</f>
        <v>110.098</v>
      </c>
      <c r="O225" s="36" t="e">
        <f ca="1">[1]!BError(_xll.BDH($C225&amp;"@CBBT Corp","OPEN",$O$1&amp;" 4:15:00 PM",$O$1&amp;" 5:15:00 PM","BarSz=60","BarTp=T","RecurDaily=True","TZ=London","DTS=H"))</f>
        <v>#NAME?</v>
      </c>
      <c r="P225" s="36">
        <f>_xll.BDH($C225&amp;"@CBBT Corp","OPEN",P$1&amp;" 4:15:00 PM",P$1&amp;" 5:15:00 PM","BarSz=60","BarTp=T","RecurDaily=True","TZ=London","DTS=H")</f>
        <v>110.22799999999999</v>
      </c>
      <c r="Q225" s="44">
        <f>_xll.BDP($C225&amp;"@CBBT Corp","YAS_BOND_YLD", "SETTLE_DT="&amp;Q$1, "YAS_BOND_PX="&amp;$N225)</f>
        <v>0.90900000000000003</v>
      </c>
      <c r="R225" s="44" t="e">
        <f ca="1">_xll.BDP($C225&amp;"@CBBT Corp","YAS_BOND_YLD", "SETTLE_DT="&amp;R$1, "YAS_BOND_PX="&amp;$O225)</f>
        <v>#NAME?</v>
      </c>
      <c r="S225" s="44">
        <f>_xll.BDP($C225&amp;"@CBBT Corp","YAS_BOND_YLD", "SETTLE_DT="&amp;S$1, "YAS_BOND_PX="&amp;$P225)</f>
        <v>0.97699999999999998</v>
      </c>
    </row>
    <row r="226" spans="1:19">
      <c r="A226" s="46" t="str">
        <f t="shared" si="65"/>
        <v>EUR.CM_DEPTH.XLS_ANDREA.PTOTECOE0029</v>
      </c>
      <c r="B226" s="51" t="str">
        <f>_xll.MKV("EUR.CM_INSTRUMENT.PXE."&amp;C226,B$3)</f>
        <v>PGB</v>
      </c>
      <c r="C226" s="61" t="s">
        <v>557</v>
      </c>
      <c r="D226" s="125">
        <f>_xll.MKV("EUR.CM_INSTRUMENT.PXE."&amp;C226,D$3)</f>
        <v>43997</v>
      </c>
      <c r="E226" s="58">
        <f t="shared" si="56"/>
        <v>2.7000000000000135</v>
      </c>
      <c r="F226" s="58" t="str">
        <f t="shared" ca="1" si="57"/>
        <v>99</v>
      </c>
      <c r="G226" s="58">
        <f t="shared" si="58"/>
        <v>7.6999999999999957</v>
      </c>
      <c r="H226" s="46" t="str">
        <f>_xll.MKV_PUBLISHRECORD(A226, $H$4)</f>
        <v>OK</v>
      </c>
      <c r="I226" s="46" t="str">
        <f ca="1">_xll.MKV_SUPPLYRECORD_RANGE(A226,$B$3:$G$3,B226:G226)</f>
        <v>OK</v>
      </c>
      <c r="J226" s="34">
        <f>_xll.MKV($J$1&amp;$C226, J$3)</f>
        <v>1.6193310000000001</v>
      </c>
      <c r="K226" s="32">
        <f>_xll.MKV($L$2&amp;$C226, K$3)</f>
        <v>1.649</v>
      </c>
      <c r="L226" s="35">
        <f>_xll.MKV($L$2&amp;$C226, L$3)</f>
        <v>111.24</v>
      </c>
      <c r="M226" s="32">
        <f t="shared" si="59"/>
        <v>-5.0000000000096634E-3</v>
      </c>
      <c r="N226" s="36">
        <f>_xll.BDH(C226&amp;"@CBBT Corp","OPEN",$N$1&amp;" 4:15:00 PM",$N$1&amp;" 5:15:00 PM","BarSz=60","BarTp=T","RecurDaily=True","TZ=London","DTS=H")</f>
        <v>111.245</v>
      </c>
      <c r="O226" s="36" t="e">
        <f ca="1">[1]!BError(_xll.BDH($C226&amp;"@CBBT Corp","OPEN",$O$1&amp;" 4:15:00 PM",$O$1&amp;" 5:15:00 PM","BarSz=60","BarTp=T","RecurDaily=True","TZ=London","DTS=H"))</f>
        <v>#NAME?</v>
      </c>
      <c r="P226" s="36">
        <f>_xll.BDH($C226&amp;"@CBBT Corp","OPEN",P$1&amp;" 4:15:00 PM",P$1&amp;" 5:15:00 PM","BarSz=60","BarTp=T","RecurDaily=True","TZ=London","DTS=H")</f>
        <v>111.702</v>
      </c>
      <c r="Q226" s="44">
        <f>_xll.BDP($C226&amp;"@CBBT Corp","YAS_BOND_YLD", "SETTLE_DT="&amp;Q$1, "YAS_BOND_PX="&amp;$N226)</f>
        <v>1.6219999999999999</v>
      </c>
      <c r="R226" s="44" t="e">
        <f ca="1">_xll.BDP($C226&amp;"@CBBT Corp","YAS_BOND_YLD", "SETTLE_DT="&amp;R$1, "YAS_BOND_PX="&amp;$O226)</f>
        <v>#NAME?</v>
      </c>
      <c r="S226" s="44">
        <f>_xll.BDP($C226&amp;"@CBBT Corp","YAS_BOND_YLD", "SETTLE_DT="&amp;S$1, "YAS_BOND_PX="&amp;$P226)</f>
        <v>1.5720000000000001</v>
      </c>
    </row>
    <row r="227" spans="1:19">
      <c r="A227" s="46" t="str">
        <f t="shared" si="65"/>
        <v>EUR.CM_DEPTH.XLS_ANDREA.PTOTEYOE0007</v>
      </c>
      <c r="B227" s="51" t="str">
        <f>_xll.MKV("EUR.CM_INSTRUMENT.PXE."&amp;C227,B$3)</f>
        <v>PGB</v>
      </c>
      <c r="C227" s="61" t="s">
        <v>563</v>
      </c>
      <c r="D227" s="125">
        <f>_xll.MKV("EUR.CM_INSTRUMENT.PXE."&amp;C227,D$3)</f>
        <v>44301</v>
      </c>
      <c r="E227" s="58">
        <f t="shared" si="56"/>
        <v>1.9000000000000128</v>
      </c>
      <c r="F227" s="58" t="str">
        <f t="shared" ca="1" si="57"/>
        <v>99</v>
      </c>
      <c r="G227" s="58">
        <f t="shared" si="58"/>
        <v>4.4999999999999929</v>
      </c>
      <c r="H227" s="46" t="str">
        <f>_xll.MKV_PUBLISHRECORD(A227, $H$4)</f>
        <v>OK</v>
      </c>
      <c r="I227" s="46" t="str">
        <f ca="1">_xll.MKV_SUPPLYRECORD_RANGE(A227,$B$3:$G$3,B227:G227)</f>
        <v>OK</v>
      </c>
      <c r="J227" s="34">
        <f>_xll.MKV($J$1&amp;$C227, J$3)</f>
        <v>1.8995489999999999</v>
      </c>
      <c r="K227" s="32">
        <f>_xll.MKV($L$2&amp;$C227, K$3)</f>
        <v>1.923</v>
      </c>
      <c r="L227" s="35">
        <f>_xll.MKV($L$2&amp;$C227, L$3)</f>
        <v>108.33499999999999</v>
      </c>
      <c r="M227" s="32">
        <f t="shared" si="59"/>
        <v>9.9999999999909051E-3</v>
      </c>
      <c r="N227" s="36">
        <f>_xll.BDH(C227&amp;"@CBBT Corp","OPEN",$N$1&amp;" 4:15:00 PM",$N$1&amp;" 5:15:00 PM","BarSz=60","BarTp=T","RecurDaily=True","TZ=London","DTS=H")</f>
        <v>108.325</v>
      </c>
      <c r="O227" s="36" t="e">
        <f ca="1">[1]!BError(_xll.BDH($C227&amp;"@CBBT Corp","OPEN",$O$1&amp;" 4:15:00 PM",$O$1&amp;" 5:15:00 PM","BarSz=60","BarTp=T","RecurDaily=True","TZ=London","DTS=H"))</f>
        <v>#NAME?</v>
      </c>
      <c r="P227" s="36">
        <f>_xll.BDH($C227&amp;"@CBBT Corp","OPEN",P$1&amp;" 4:15:00 PM",P$1&amp;" 5:15:00 PM","BarSz=60","BarTp=T","RecurDaily=True","TZ=London","DTS=H")</f>
        <v>108.602</v>
      </c>
      <c r="Q227" s="44">
        <f>_xll.BDP($C227&amp;"@CBBT Corp","YAS_BOND_YLD", "SETTLE_DT="&amp;Q$1, "YAS_BOND_PX="&amp;$N227)</f>
        <v>1.9039999999999999</v>
      </c>
      <c r="R227" s="44" t="e">
        <f ca="1">_xll.BDP($C227&amp;"@CBBT Corp","YAS_BOND_YLD", "SETTLE_DT="&amp;R$1, "YAS_BOND_PX="&amp;$O227)</f>
        <v>#NAME?</v>
      </c>
      <c r="S227" s="44">
        <f>_xll.BDP($C227&amp;"@CBBT Corp","YAS_BOND_YLD", "SETTLE_DT="&amp;S$1, "YAS_BOND_PX="&amp;$P227)</f>
        <v>1.8780000000000001</v>
      </c>
    </row>
    <row r="228" spans="1:19">
      <c r="A228" s="46" t="str">
        <f t="shared" si="65"/>
        <v>EUR.CM_DEPTH.XLS_ANDREA.PTOTESOE0013</v>
      </c>
      <c r="B228" s="51" t="str">
        <f>_xll.MKV("EUR.CM_INSTRUMENT.PXE."&amp;C228,B$3)</f>
        <v>PGB</v>
      </c>
      <c r="C228" s="61" t="s">
        <v>640</v>
      </c>
      <c r="D228" s="125">
        <f>_xll.MKV("EUR.CM_INSTRUMENT.PXE."&amp;C228,D$3)</f>
        <v>44851</v>
      </c>
      <c r="E228" s="58">
        <f t="shared" si="56"/>
        <v>1.9000000000000128</v>
      </c>
      <c r="F228" s="58" t="str">
        <f t="shared" ca="1" si="57"/>
        <v>99</v>
      </c>
      <c r="G228" s="58">
        <f t="shared" si="58"/>
        <v>5.300000000000038</v>
      </c>
      <c r="H228" s="46" t="str">
        <f>_xll.MKV_PUBLISHRECORD(A228, $H$4)</f>
        <v>OK</v>
      </c>
      <c r="I228" s="46" t="str">
        <f ca="1">_xll.MKV_SUPPLYRECORD_RANGE(A228,$B$3:$G$3,B228:G228)</f>
        <v>OK</v>
      </c>
      <c r="J228" s="34">
        <f>_xll.MKV($J$1&amp;$C228, J$3)</f>
        <v>2.446895</v>
      </c>
      <c r="K228" s="32">
        <f>_xll.MKV($L$2&amp;$C228, K$3)</f>
        <v>2.4660000000000002</v>
      </c>
      <c r="L228" s="35">
        <f>_xll.MKV($L$2&amp;$C228, L$3)</f>
        <v>98.635000000000005</v>
      </c>
      <c r="M228" s="32">
        <f t="shared" si="59"/>
        <v>3.0000000000001137E-3</v>
      </c>
      <c r="N228" s="36">
        <f>_xll.BDH(C228&amp;"@CBBT Corp","OPEN",$N$1&amp;" 4:15:00 PM",$N$1&amp;" 5:15:00 PM","BarSz=60","BarTp=T","RecurDaily=True","TZ=London","DTS=H")</f>
        <v>98.632000000000005</v>
      </c>
      <c r="O228" s="36" t="e">
        <f ca="1">[1]!BError(_xll.BDH($C228&amp;"@CBBT Corp","OPEN",$O$1&amp;" 4:15:00 PM",$O$1&amp;" 5:15:00 PM","BarSz=60","BarTp=T","RecurDaily=True","TZ=London","DTS=H"))</f>
        <v>#NAME?</v>
      </c>
      <c r="P228" s="36">
        <f>_xll.BDH($C228&amp;"@CBBT Corp","OPEN",P$1&amp;" 4:15:00 PM",P$1&amp;" 5:15:00 PM","BarSz=60","BarTp=T","RecurDaily=True","TZ=London","DTS=H")</f>
        <v>98.8</v>
      </c>
      <c r="Q228" s="44">
        <f>_xll.BDP($C228&amp;"@CBBT Corp","YAS_BOND_YLD", "SETTLE_DT="&amp;Q$1, "YAS_BOND_PX="&amp;$N228)</f>
        <v>2.4470000000000001</v>
      </c>
      <c r="R228" s="44" t="e">
        <f ca="1">_xll.BDP($C228&amp;"@CBBT Corp","YAS_BOND_YLD", "SETTLE_DT="&amp;R$1, "YAS_BOND_PX="&amp;$O228)</f>
        <v>#NAME?</v>
      </c>
      <c r="S228" s="44">
        <f>_xll.BDP($C228&amp;"@CBBT Corp","YAS_BOND_YLD", "SETTLE_DT="&amp;S$1, "YAS_BOND_PX="&amp;$P228)</f>
        <v>2.4129999999999998</v>
      </c>
    </row>
    <row r="229" spans="1:19">
      <c r="A229" s="46" t="str">
        <f t="shared" si="65"/>
        <v>EUR.CM_DEPTH.XLS_ANDREA.PTOTEAOE0021</v>
      </c>
      <c r="B229" s="51" t="str">
        <f>_xll.MKV("EUR.CM_INSTRUMENT.PXE."&amp;C229,B$3)</f>
        <v>PGB</v>
      </c>
      <c r="C229" s="61" t="s">
        <v>580</v>
      </c>
      <c r="D229" s="125">
        <f>_xll.MKV("EUR.CM_INSTRUMENT.PXE."&amp;C229,D$3)</f>
        <v>45224</v>
      </c>
      <c r="E229" s="58">
        <f t="shared" si="56"/>
        <v>2.4999999999999911</v>
      </c>
      <c r="F229" s="58" t="str">
        <f t="shared" ca="1" si="57"/>
        <v>99</v>
      </c>
      <c r="G229" s="58">
        <f t="shared" si="58"/>
        <v>21.4</v>
      </c>
      <c r="H229" s="46" t="str">
        <f>_xll.MKV_PUBLISHRECORD(A229, $H$4)</f>
        <v>OK</v>
      </c>
      <c r="I229" s="46" t="str">
        <f ca="1">_xll.MKV_SUPPLYRECORD_RANGE(A229,$B$3:$G$3,B229:G229)</f>
        <v>OK</v>
      </c>
      <c r="J229" s="34">
        <f>_xll.MKV($J$1&amp;$C229, J$3)</f>
        <v>2.855359</v>
      </c>
      <c r="K229" s="32">
        <f>_xll.MKV($L$2&amp;$C229, K$3)</f>
        <v>2.883</v>
      </c>
      <c r="L229" s="35">
        <f>_xll.MKV($L$2&amp;$C229, L$3)</f>
        <v>113.175</v>
      </c>
      <c r="M229" s="32">
        <f t="shared" si="59"/>
        <v>7.9999999999955662E-3</v>
      </c>
      <c r="N229" s="36">
        <f>_xll.BDH(C229&amp;"@CBBT Corp","OPEN",$N$1&amp;" 4:15:00 PM",$N$1&amp;" 5:15:00 PM","BarSz=60","BarTp=T","RecurDaily=True","TZ=London","DTS=H")</f>
        <v>113.167</v>
      </c>
      <c r="O229" s="36" t="e">
        <f ca="1">[1]!BError(_xll.BDH($C229&amp;"@CBBT Corp","OPEN",$O$1&amp;" 4:15:00 PM",$O$1&amp;" 5:15:00 PM","BarSz=60","BarTp=T","RecurDaily=True","TZ=London","DTS=H"))</f>
        <v>#NAME?</v>
      </c>
      <c r="P229" s="36">
        <f>_xll.BDH($C229&amp;"@CBBT Corp","OPEN",P$1&amp;" 4:15:00 PM",P$1&amp;" 5:15:00 PM","BarSz=60","BarTp=T","RecurDaily=True","TZ=London","DTS=H")</f>
        <v>114.61499999999999</v>
      </c>
      <c r="Q229" s="44">
        <f>_xll.BDP($C229&amp;"@CBBT Corp","YAS_BOND_YLD", "SETTLE_DT="&amp;Q$1, "YAS_BOND_PX="&amp;$N229)</f>
        <v>2.8580000000000001</v>
      </c>
      <c r="R229" s="44" t="e">
        <f ca="1">_xll.BDP($C229&amp;"@CBBT Corp","YAS_BOND_YLD", "SETTLE_DT="&amp;R$1, "YAS_BOND_PX="&amp;$O229)</f>
        <v>#NAME?</v>
      </c>
      <c r="S229" s="44">
        <f>_xll.BDP($C229&amp;"@CBBT Corp","YAS_BOND_YLD", "SETTLE_DT="&amp;S$1, "YAS_BOND_PX="&amp;$P229)</f>
        <v>2.669</v>
      </c>
    </row>
    <row r="230" spans="1:19">
      <c r="A230" s="46" t="str">
        <f t="shared" si="65"/>
        <v>EUR.CM_DEPTH.XLS_ANDREA.PTOTEQOE0015</v>
      </c>
      <c r="B230" s="51" t="str">
        <f>_xll.MKV("EUR.CM_INSTRUMENT.PXE."&amp;C230,B$3)</f>
        <v>PGB</v>
      </c>
      <c r="C230" s="61" t="s">
        <v>585</v>
      </c>
      <c r="D230" s="125">
        <f>_xll.MKV("EUR.CM_INSTRUMENT.PXE."&amp;C230,D$3)</f>
        <v>45337</v>
      </c>
      <c r="E230" s="58">
        <f t="shared" si="56"/>
        <v>3.6000000000000032</v>
      </c>
      <c r="F230" s="58" t="str">
        <f t="shared" ca="1" si="57"/>
        <v>99</v>
      </c>
      <c r="G230" s="58">
        <f t="shared" si="58"/>
        <v>23.899999999999988</v>
      </c>
      <c r="H230" s="46" t="str">
        <f>_xll.MKV_PUBLISHRECORD(A230, $H$4)</f>
        <v>OK</v>
      </c>
      <c r="I230" s="46" t="str">
        <f ca="1">_xll.MKV_SUPPLYRECORD_RANGE(A230,$B$3:$G$3,B230:G230)</f>
        <v>OK</v>
      </c>
      <c r="J230" s="34">
        <f>_xll.MKV($J$1&amp;$C230, J$3)</f>
        <v>3.0953919999999999</v>
      </c>
      <c r="K230" s="32">
        <f>_xll.MKV($L$2&amp;$C230, K$3)</f>
        <v>3.133</v>
      </c>
      <c r="L230" s="35">
        <f>_xll.MKV($L$2&amp;$C230, L$3)</f>
        <v>116.53</v>
      </c>
      <c r="M230" s="32">
        <f t="shared" si="59"/>
        <v>0</v>
      </c>
      <c r="N230" s="36">
        <f>_xll.BDH(C230&amp;"@CBBT Corp","OPEN",$N$1&amp;" 4:15:00 PM",$N$1&amp;" 5:15:00 PM","BarSz=60","BarTp=T","RecurDaily=True","TZ=London","DTS=H")</f>
        <v>116.53</v>
      </c>
      <c r="O230" s="36" t="e">
        <f ca="1">[1]!BError(_xll.BDH($C230&amp;"@CBBT Corp","OPEN",$O$1&amp;" 4:15:00 PM",$O$1&amp;" 5:15:00 PM","BarSz=60","BarTp=T","RecurDaily=True","TZ=London","DTS=H"))</f>
        <v>#NAME?</v>
      </c>
      <c r="P230" s="36">
        <f>_xll.BDH($C230&amp;"@CBBT Corp","OPEN",P$1&amp;" 4:15:00 PM",P$1&amp;" 5:15:00 PM","BarSz=60","BarTp=T","RecurDaily=True","TZ=London","DTS=H")</f>
        <v>118.18</v>
      </c>
      <c r="Q230" s="44">
        <f>_xll.BDP($C230&amp;"@CBBT Corp","YAS_BOND_YLD", "SETTLE_DT="&amp;Q$1, "YAS_BOND_PX="&amp;$N230)</f>
        <v>3.097</v>
      </c>
      <c r="R230" s="44" t="e">
        <f ca="1">_xll.BDP($C230&amp;"@CBBT Corp","YAS_BOND_YLD", "SETTLE_DT="&amp;R$1, "YAS_BOND_PX="&amp;$O230)</f>
        <v>#NAME?</v>
      </c>
      <c r="S230" s="44">
        <f>_xll.BDP($C230&amp;"@CBBT Corp","YAS_BOND_YLD", "SETTLE_DT="&amp;S$1, "YAS_BOND_PX="&amp;$P230)</f>
        <v>2.8940000000000001</v>
      </c>
    </row>
    <row r="231" spans="1:19">
      <c r="A231" s="46" t="str">
        <f t="shared" si="65"/>
        <v>EUR.CM_DEPTH.XLS_ANDREA.PTOTEKOE0011</v>
      </c>
      <c r="B231" s="51" t="str">
        <f>_xll.MKV("EUR.CM_INSTRUMENT.PXE."&amp;C231,B$3)</f>
        <v>PGB</v>
      </c>
      <c r="C231" s="61" t="s">
        <v>597</v>
      </c>
      <c r="D231" s="125">
        <f>_xll.MKV("EUR.CM_INSTRUMENT.PXE."&amp;C231,D$3)</f>
        <v>45945</v>
      </c>
      <c r="E231" s="58">
        <f t="shared" si="56"/>
        <v>2.2000000000000242</v>
      </c>
      <c r="F231" s="58" t="str">
        <f t="shared" ca="1" si="57"/>
        <v>99</v>
      </c>
      <c r="G231" s="58">
        <f t="shared" si="58"/>
        <v>20.800000000000018</v>
      </c>
      <c r="H231" s="46" t="str">
        <f>_xll.MKV_PUBLISHRECORD(A231, $H$4)</f>
        <v>OK</v>
      </c>
      <c r="I231" s="46" t="str">
        <f ca="1">_xll.MKV_SUPPLYRECORD_RANGE(A231,$B$3:$G$3,B231:G231)</f>
        <v>OK</v>
      </c>
      <c r="J231" s="34">
        <f>_xll.MKV($J$1&amp;$C231, J$3)</f>
        <v>3.1699679999999999</v>
      </c>
      <c r="K231" s="32">
        <f>_xll.MKV($L$2&amp;$C231, K$3)</f>
        <v>3.1920000000000002</v>
      </c>
      <c r="L231" s="35">
        <f>_xll.MKV($L$2&amp;$C231, L$3)</f>
        <v>97.72</v>
      </c>
      <c r="M231" s="32">
        <f t="shared" si="59"/>
        <v>4.9999999999954525E-3</v>
      </c>
      <c r="N231" s="36">
        <f>_xll.BDH(C231&amp;"@CBBT Corp","OPEN",$N$1&amp;" 4:15:00 PM",$N$1&amp;" 5:15:00 PM","BarSz=60","BarTp=T","RecurDaily=True","TZ=London","DTS=H")</f>
        <v>97.715000000000003</v>
      </c>
      <c r="O231" s="36" t="e">
        <f ca="1">[1]!BError(_xll.BDH($C231&amp;"@CBBT Corp","OPEN",$O$1&amp;" 4:15:00 PM",$O$1&amp;" 5:15:00 PM","BarSz=60","BarTp=T","RecurDaily=True","TZ=London","DTS=H"))</f>
        <v>#NAME?</v>
      </c>
      <c r="P231" s="36">
        <f>_xll.BDH($C231&amp;"@CBBT Corp","OPEN",P$1&amp;" 4:15:00 PM",P$1&amp;" 5:15:00 PM","BarSz=60","BarTp=T","RecurDaily=True","TZ=London","DTS=H")</f>
        <v>99.137</v>
      </c>
      <c r="Q231" s="44">
        <f>_xll.BDP($C231&amp;"@CBBT Corp","YAS_BOND_YLD", "SETTLE_DT="&amp;Q$1, "YAS_BOND_PX="&amp;$N231)</f>
        <v>3.17</v>
      </c>
      <c r="R231" s="44" t="e">
        <f ca="1">_xll.BDP($C231&amp;"@CBBT Corp","YAS_BOND_YLD", "SETTLE_DT="&amp;R$1, "YAS_BOND_PX="&amp;$O231)</f>
        <v>#NAME?</v>
      </c>
      <c r="S231" s="44">
        <f>_xll.BDP($C231&amp;"@CBBT Corp","YAS_BOND_YLD", "SETTLE_DT="&amp;S$1, "YAS_BOND_PX="&amp;$P231)</f>
        <v>2.984</v>
      </c>
    </row>
    <row r="232" spans="1:19">
      <c r="A232" s="46" t="str">
        <f t="shared" si="65"/>
        <v>EUR.CM_DEPTH.XLS_ANDREA.PTOTETOE0012</v>
      </c>
      <c r="B232" s="51" t="str">
        <f>_xll.MKV("EUR.CM_INSTRUMENT.PXE."&amp;C232,B$3)</f>
        <v>PGB</v>
      </c>
      <c r="C232" s="61" t="s">
        <v>675</v>
      </c>
      <c r="D232" s="125">
        <f>_xll.MKV("EUR.CM_INSTRUMENT.PXE."&amp;C232,D$3)</f>
        <v>46224</v>
      </c>
      <c r="E232" s="58">
        <f t="shared" si="56"/>
        <v>2.7000000000000135</v>
      </c>
      <c r="F232" s="58" t="str">
        <f t="shared" ca="1" si="57"/>
        <v>99</v>
      </c>
      <c r="G232" s="58">
        <f t="shared" si="58"/>
        <v>23.799999999999997</v>
      </c>
      <c r="H232" s="46" t="str">
        <f>_xll.MKV_PUBLISHRECORD(A232, $H$4)</f>
        <v>OK</v>
      </c>
      <c r="I232" s="46" t="str">
        <f ca="1">_xll.MKV_SUPPLYRECORD_RANGE(A232,$B$3:$G$3,B232:G232)</f>
        <v>OK</v>
      </c>
      <c r="J232" s="34">
        <f>_xll.MKV($J$1&amp;$C232, J$3)</f>
        <v>3.357958</v>
      </c>
      <c r="K232" s="32">
        <f>_xll.MKV($L$2&amp;$C232, K$3)</f>
        <v>3.3860000000000001</v>
      </c>
      <c r="L232" s="35">
        <f>_xll.MKV($L$2&amp;$C232, L$3)</f>
        <v>96.025000000000006</v>
      </c>
      <c r="M232" s="32">
        <f t="shared" si="59"/>
        <v>7.0000000000050022E-3</v>
      </c>
      <c r="N232" s="36">
        <f>_xll.BDH(C232&amp;"@CBBT Corp","OPEN",$N$1&amp;" 4:15:00 PM",$N$1&amp;" 5:15:00 PM","BarSz=60","BarTp=T","RecurDaily=True","TZ=London","DTS=H")</f>
        <v>96.018000000000001</v>
      </c>
      <c r="O232" s="36" t="e">
        <f ca="1">[1]!BError(_xll.BDH($C232&amp;"@CBBT Corp","OPEN",$O$1&amp;" 4:15:00 PM",$O$1&amp;" 5:15:00 PM","BarSz=60","BarTp=T","RecurDaily=True","TZ=London","DTS=H"))</f>
        <v>#NAME?</v>
      </c>
      <c r="P232" s="36">
        <f>_xll.BDH($C232&amp;"@CBBT Corp","OPEN",P$1&amp;" 4:15:00 PM",P$1&amp;" 5:15:00 PM","BarSz=60","BarTp=T","RecurDaily=True","TZ=London","DTS=H")</f>
        <v>97.707999999999998</v>
      </c>
      <c r="Q232" s="44">
        <f>_xll.BDP($C232&amp;"@CBBT Corp","YAS_BOND_YLD", "SETTLE_DT="&amp;Q$1, "YAS_BOND_PX="&amp;$N232)</f>
        <v>3.359</v>
      </c>
      <c r="R232" s="44" t="e">
        <f ca="1">_xll.BDP($C232&amp;"@CBBT Corp","YAS_BOND_YLD", "SETTLE_DT="&amp;R$1, "YAS_BOND_PX="&amp;$O232)</f>
        <v>#NAME?</v>
      </c>
      <c r="S232" s="44">
        <f>_xll.BDP($C232&amp;"@CBBT Corp","YAS_BOND_YLD", "SETTLE_DT="&amp;S$1, "YAS_BOND_PX="&amp;$P232)</f>
        <v>3.1480000000000001</v>
      </c>
    </row>
    <row r="233" spans="1:19">
      <c r="A233" s="46" t="str">
        <f t="shared" si="65"/>
        <v>EUR.CM_DEPTH.XLS_ANDREA.PTOTEBOE0020</v>
      </c>
      <c r="B233" s="51" t="str">
        <f>_xll.MKV("EUR.CM_INSTRUMENT.PXE."&amp;C233,B$3)</f>
        <v>PGB</v>
      </c>
      <c r="C233" s="61" t="s">
        <v>628</v>
      </c>
      <c r="D233" s="125">
        <f>_xll.MKV("EUR.CM_INSTRUMENT.PXE."&amp;C233,D$3)</f>
        <v>53008</v>
      </c>
      <c r="E233" s="58">
        <f t="shared" si="56"/>
        <v>1.2000000000000455</v>
      </c>
      <c r="F233" s="58" t="str">
        <f t="shared" ca="1" si="57"/>
        <v>99</v>
      </c>
      <c r="G233" s="58">
        <f t="shared" si="58"/>
        <v>26.500000000000057</v>
      </c>
      <c r="H233" s="46" t="str">
        <f>_xll.MKV_PUBLISHRECORD(A233, $H$4)</f>
        <v>OK</v>
      </c>
      <c r="I233" s="46" t="str">
        <f ca="1">_xll.MKV_SUPPLYRECORD_RANGE(A233,$B$3:$G$3,B233:G233)</f>
        <v>OK</v>
      </c>
      <c r="J233" s="34">
        <f>_xll.MKV($J$1&amp;$C233, J$3)</f>
        <v>4.2653999999999996</v>
      </c>
      <c r="K233" s="32">
        <f>_xll.MKV($L$2&amp;$C233, K$3)</f>
        <v>4.2780000000000005</v>
      </c>
      <c r="L233" s="35">
        <f>_xll.MKV($L$2&amp;$C233, L$3)</f>
        <v>97.29</v>
      </c>
      <c r="M233" s="32">
        <f t="shared" si="59"/>
        <v>1.300000000000523E-2</v>
      </c>
      <c r="N233" s="36">
        <f>_xll.BDH(C233&amp;"@CBBT Corp","OPEN",$N$1&amp;" 4:15:00 PM",$N$1&amp;" 5:15:00 PM","BarSz=60","BarTp=T","RecurDaily=True","TZ=London","DTS=H")</f>
        <v>97.277000000000001</v>
      </c>
      <c r="O233" s="36" t="e">
        <f ca="1">[1]!BError(_xll.BDH($C233&amp;"@CBBT Corp","OPEN",$O$1&amp;" 4:15:00 PM",$O$1&amp;" 5:15:00 PM","BarSz=60","BarTp=T","RecurDaily=True","TZ=London","DTS=H"))</f>
        <v>#NAME?</v>
      </c>
      <c r="P233" s="36">
        <f>_xll.BDH($C233&amp;"@CBBT Corp","OPEN",P$1&amp;" 4:15:00 PM",P$1&amp;" 5:15:00 PM","BarSz=60","BarTp=T","RecurDaily=True","TZ=London","DTS=H")</f>
        <v>101.44499999999999</v>
      </c>
      <c r="Q233" s="44">
        <f>_xll.BDP($C233&amp;"@CBBT Corp","YAS_BOND_YLD", "SETTLE_DT="&amp;Q$1, "YAS_BOND_PX="&amp;$N233)</f>
        <v>4.266</v>
      </c>
      <c r="R233" s="44" t="e">
        <f ca="1">_xll.BDP($C233&amp;"@CBBT Corp","YAS_BOND_YLD", "SETTLE_DT="&amp;R$1, "YAS_BOND_PX="&amp;$O233)</f>
        <v>#NAME?</v>
      </c>
      <c r="S233" s="44">
        <f>_xll.BDP($C233&amp;"@CBBT Corp","YAS_BOND_YLD", "SETTLE_DT="&amp;S$1, "YAS_BOND_PX="&amp;$P233)</f>
        <v>4.0129999999999999</v>
      </c>
    </row>
    <row r="234" spans="1:19">
      <c r="A234" s="46" t="str">
        <f t="shared" si="65"/>
        <v>EUR.CM_DEPTH.XLS_ANDREA.PTOTEROE0014</v>
      </c>
      <c r="B234" s="51" t="str">
        <f>_xll.MKV("EUR.CM_INSTRUMENT.PXE."&amp;C234,B$3)</f>
        <v>PGB</v>
      </c>
      <c r="C234" s="61" t="s">
        <v>608</v>
      </c>
      <c r="D234" s="125">
        <f>_xll.MKV("EUR.CM_INSTRUMENT.PXE."&amp;C234,D$3)</f>
        <v>47529</v>
      </c>
      <c r="E234" s="58">
        <f t="shared" si="56"/>
        <v>1.0000000000000231</v>
      </c>
      <c r="F234" s="58" t="str">
        <f t="shared" ca="1" si="57"/>
        <v>99</v>
      </c>
      <c r="G234" s="58">
        <f t="shared" si="58"/>
        <v>24.600000000000044</v>
      </c>
      <c r="H234" s="46" t="str">
        <f>_xll.MKV_PUBLISHRECORD(A234, $H$4)</f>
        <v>OK</v>
      </c>
      <c r="I234" s="46" t="str">
        <f ca="1">_xll.MKV_SUPPLYRECORD_RANGE(A234,$B$3:$G$3,B234:G234)</f>
        <v>OK</v>
      </c>
      <c r="J234" s="34">
        <f>_xll.MKV($J$1&amp;$C234, J$3)</f>
        <v>3.8214779999999999</v>
      </c>
      <c r="K234" s="32">
        <f>_xll.MKV($L$2&amp;$C234, K$3)</f>
        <v>3.8320000000000003</v>
      </c>
      <c r="L234" s="35">
        <f>_xll.MKV($L$2&amp;$C234, L$3)</f>
        <v>100.535</v>
      </c>
      <c r="M234" s="32">
        <f t="shared" si="59"/>
        <v>4.9999999999954525E-3</v>
      </c>
      <c r="N234" s="36">
        <f>_xll.BDH(C234&amp;"@CBBT Corp","OPEN",$N$1&amp;" 4:15:00 PM",$N$1&amp;" 5:15:00 PM","BarSz=60","BarTp=T","RecurDaily=True","TZ=London","DTS=H")</f>
        <v>100.53</v>
      </c>
      <c r="O234" s="36" t="e">
        <f ca="1">[1]!BError(_xll.BDH($C234&amp;"@CBBT Corp","OPEN",$O$1&amp;" 4:15:00 PM",$O$1&amp;" 5:15:00 PM","BarSz=60","BarTp=T","RecurDaily=True","TZ=London","DTS=H"))</f>
        <v>#NAME?</v>
      </c>
      <c r="P234" s="36">
        <f>_xll.BDH($C234&amp;"@CBBT Corp","OPEN",P$1&amp;" 4:15:00 PM",P$1&amp;" 5:15:00 PM","BarSz=60","BarTp=T","RecurDaily=True","TZ=London","DTS=H")</f>
        <v>103.027</v>
      </c>
      <c r="Q234" s="44">
        <f>_xll.BDP($C234&amp;"@CBBT Corp","YAS_BOND_YLD", "SETTLE_DT="&amp;Q$1, "YAS_BOND_PX="&amp;$N234)</f>
        <v>3.8220000000000001</v>
      </c>
      <c r="R234" s="44" t="e">
        <f ca="1">_xll.BDP($C234&amp;"@CBBT Corp","YAS_BOND_YLD", "SETTLE_DT="&amp;R$1, "YAS_BOND_PX="&amp;$O234)</f>
        <v>#NAME?</v>
      </c>
      <c r="S234" s="44">
        <f>_xll.BDP($C234&amp;"@CBBT Corp","YAS_BOND_YLD", "SETTLE_DT="&amp;S$1, "YAS_BOND_PX="&amp;$P234)</f>
        <v>3.5859999999999999</v>
      </c>
    </row>
    <row r="235" spans="1:19">
      <c r="A235" s="46" t="str">
        <f t="shared" si="65"/>
        <v>EUR.CM_DEPTH.XLS_ANDREA.PTOTE5OE0007</v>
      </c>
      <c r="B235" s="51" t="str">
        <f>_xll.MKV("EUR.CM_INSTRUMENT.PXE."&amp;C235,B$3)</f>
        <v>PGB</v>
      </c>
      <c r="C235" s="61" t="s">
        <v>618</v>
      </c>
      <c r="D235" s="125">
        <f>_xll.MKV("EUR.CM_INSTRUMENT.PXE."&amp;C235,D$3)</f>
        <v>50145</v>
      </c>
      <c r="E235" s="58">
        <f t="shared" si="56"/>
        <v>1.2000000000000455</v>
      </c>
      <c r="F235" s="58" t="str">
        <f t="shared" ca="1" si="57"/>
        <v>99</v>
      </c>
      <c r="G235" s="58">
        <f t="shared" si="58"/>
        <v>22.700000000000031</v>
      </c>
      <c r="H235" s="46" t="str">
        <f>_xll.MKV_PUBLISHRECORD(A235, $H$4)</f>
        <v>OK</v>
      </c>
      <c r="I235" s="46" t="str">
        <f ca="1">_xll.MKV_SUPPLYRECORD_RANGE(A235,$B$3:$G$3,B235:G235)</f>
        <v>OK</v>
      </c>
      <c r="J235" s="34">
        <f>_xll.MKV($J$1&amp;$C235, J$3)</f>
        <v>4.0508850000000001</v>
      </c>
      <c r="K235" s="32">
        <f>_xll.MKV($L$2&amp;$C235, K$3)</f>
        <v>4.0640000000000001</v>
      </c>
      <c r="L235" s="35">
        <f>_xll.MKV($L$2&amp;$C235, L$3)</f>
        <v>100.655</v>
      </c>
      <c r="M235" s="32">
        <f t="shared" si="59"/>
        <v>1.5000000000000568E-2</v>
      </c>
      <c r="N235" s="36">
        <f>_xll.BDH(C235&amp;"@CBBT Corp","OPEN",$N$1&amp;" 4:15:00 PM",$N$1&amp;" 5:15:00 PM","BarSz=60","BarTp=T","RecurDaily=True","TZ=London","DTS=H")</f>
        <v>100.64</v>
      </c>
      <c r="O235" s="36" t="e">
        <f ca="1">[1]!BError(_xll.BDH($C235&amp;"@CBBT Corp","OPEN",$O$1&amp;" 4:15:00 PM",$O$1&amp;" 5:15:00 PM","BarSz=60","BarTp=T","RecurDaily=True","TZ=London","DTS=H"))</f>
        <v>#NAME?</v>
      </c>
      <c r="P235" s="36">
        <f>_xll.BDH($C235&amp;"@CBBT Corp","OPEN",P$1&amp;" 4:15:00 PM",P$1&amp;" 5:15:00 PM","BarSz=60","BarTp=T","RecurDaily=True","TZ=London","DTS=H")</f>
        <v>103.682</v>
      </c>
      <c r="Q235" s="44">
        <f>_xll.BDP($C235&amp;"@CBBT Corp","YAS_BOND_YLD", "SETTLE_DT="&amp;Q$1, "YAS_BOND_PX="&amp;$N235)</f>
        <v>4.0519999999999996</v>
      </c>
      <c r="R235" s="44" t="e">
        <f ca="1">_xll.BDP($C235&amp;"@CBBT Corp","YAS_BOND_YLD", "SETTLE_DT="&amp;R$1, "YAS_BOND_PX="&amp;$O235)</f>
        <v>#NAME?</v>
      </c>
      <c r="S235" s="44">
        <f>_xll.BDP($C235&amp;"@CBBT Corp","YAS_BOND_YLD", "SETTLE_DT="&amp;S$1, "YAS_BOND_PX="&amp;$P235)</f>
        <v>3.8369999999999997</v>
      </c>
    </row>
    <row r="236" spans="1:19">
      <c r="A236" s="46" t="str">
        <f t="shared" si="65"/>
        <v>EUR.CM_DEPTH.XLS_ANDREA.PTOTEBOE0020</v>
      </c>
      <c r="B236" s="51" t="str">
        <f>_xll.MKV("EUR.CM_INSTRUMENT.PXE."&amp;C236,B$3)</f>
        <v>PGB</v>
      </c>
      <c r="C236" s="61" t="s">
        <v>628</v>
      </c>
      <c r="D236" s="125">
        <f>_xll.MKV("EUR.CM_INSTRUMENT.PXE."&amp;C236,D$3)</f>
        <v>53008</v>
      </c>
      <c r="E236" s="58">
        <f t="shared" si="56"/>
        <v>1.2000000000000455</v>
      </c>
      <c r="F236" s="58" t="str">
        <f t="shared" ca="1" si="57"/>
        <v>99</v>
      </c>
      <c r="G236" s="58">
        <f t="shared" si="58"/>
        <v>26.500000000000057</v>
      </c>
      <c r="H236" s="46" t="str">
        <f>_xll.MKV_PUBLISHRECORD(A236, $H$4)</f>
        <v>OK</v>
      </c>
      <c r="I236" s="46" t="str">
        <f ca="1">_xll.MKV_SUPPLYRECORD_RANGE(A236,$B$3:$G$3,B236:G236)</f>
        <v>OK</v>
      </c>
      <c r="J236" s="34">
        <f>_xll.MKV($J$1&amp;$C236, J$3)</f>
        <v>4.2653999999999996</v>
      </c>
      <c r="K236" s="32">
        <f>_xll.MKV($L$2&amp;$C236, K$3)</f>
        <v>4.2780000000000005</v>
      </c>
      <c r="L236" s="35">
        <f>_xll.MKV($L$2&amp;$C236, L$3)</f>
        <v>97.29</v>
      </c>
      <c r="M236" s="32">
        <f t="shared" si="59"/>
        <v>1.300000000000523E-2</v>
      </c>
      <c r="N236" s="36">
        <f>_xll.BDH(C236&amp;"@CBBT Corp","OPEN",$N$1&amp;" 4:15:00 PM",$N$1&amp;" 5:15:00 PM","BarSz=60","BarTp=T","RecurDaily=True","TZ=London","DTS=H")</f>
        <v>97.277000000000001</v>
      </c>
      <c r="O236" s="36" t="e">
        <f ca="1">[1]!BError(_xll.BDH($C236&amp;"@CBBT Corp","OPEN",$O$1&amp;" 4:15:00 PM",$O$1&amp;" 5:15:00 PM","BarSz=60","BarTp=T","RecurDaily=True","TZ=London","DTS=H"))</f>
        <v>#NAME?</v>
      </c>
      <c r="P236" s="36">
        <f>_xll.BDH($C236&amp;"@CBBT Corp","OPEN",P$1&amp;" 4:15:00 PM",P$1&amp;" 5:15:00 PM","BarSz=60","BarTp=T","RecurDaily=True","TZ=London","DTS=H")</f>
        <v>101.44499999999999</v>
      </c>
      <c r="Q236" s="44">
        <f>_xll.BDP($C236&amp;"@CBBT Corp","YAS_BOND_YLD", "SETTLE_DT="&amp;Q$1, "YAS_BOND_PX="&amp;$N236)</f>
        <v>4.266</v>
      </c>
      <c r="R236" s="44" t="e">
        <f ca="1">_xll.BDP($C236&amp;"@CBBT Corp","YAS_BOND_YLD", "SETTLE_DT="&amp;R$1, "YAS_BOND_PX="&amp;$O236)</f>
        <v>#NAME?</v>
      </c>
      <c r="S236" s="44">
        <f>_xll.BDP($C236&amp;"@CBBT Corp","YAS_BOND_YLD", "SETTLE_DT="&amp;S$1, "YAS_BOND_PX="&amp;$P236)</f>
        <v>4.0129999999999999</v>
      </c>
    </row>
    <row r="237" spans="1:19">
      <c r="A237" s="46" t="str">
        <f t="shared" ref="A237:A249" si="66">$A$4 &amp; ".CM_DEPTH."&amp; $H$4 &amp; "." &amp; C237</f>
        <v>EUR.CM_DEPTH.XLS_ANDREA.IE00B8DLLB38</v>
      </c>
      <c r="B237" s="51" t="str">
        <f>_xll.MKV("EUR.CM_INSTRUMENT.PXE."&amp;C237,B$3)</f>
        <v>IRISH</v>
      </c>
      <c r="C237" s="61" t="s">
        <v>648</v>
      </c>
      <c r="D237" s="125">
        <f>_xll.MKV("EUR.CM_INSTRUMENT.PXE."&amp;C237,D$3)</f>
        <v>43026</v>
      </c>
      <c r="E237" s="58">
        <f t="shared" si="56"/>
        <v>-3.0000000000000027</v>
      </c>
      <c r="F237" s="58" t="str">
        <f t="shared" ca="1" si="57"/>
        <v>99</v>
      </c>
      <c r="G237" s="58">
        <f t="shared" si="58"/>
        <v>-15.500000000000004</v>
      </c>
      <c r="H237" s="46" t="str">
        <f>_xll.MKV_PUBLISHRECORD(A237, $H$4)</f>
        <v>OK</v>
      </c>
      <c r="I237" s="46" t="str">
        <f ca="1">_xll.MKV_SUPPLYRECORD_RANGE(A237,$B$3:$G$3,B237:G237)</f>
        <v>OK</v>
      </c>
      <c r="J237" s="34">
        <f>_xll.MKV($J$1&amp;$C237, J$3)</f>
        <v>-0.52041700000000002</v>
      </c>
      <c r="K237" s="32">
        <f>_xll.MKV($L$2&amp;$C237, K$3)</f>
        <v>-0.51700000000000002</v>
      </c>
      <c r="L237" s="35">
        <f>_xll.MKV($L$2&amp;$C237, L$3)</f>
        <v>106.13500000000001</v>
      </c>
      <c r="M237" s="32">
        <f t="shared" si="59"/>
        <v>3.0000000000001137E-3</v>
      </c>
      <c r="N237" s="36">
        <f>_xll.BDH(C237&amp;"@CBBT Corp","OPEN",$N$1&amp;" 4:15:00 PM",$N$1&amp;" 5:15:00 PM","BarSz=60","BarTp=T","RecurDaily=True","TZ=London","DTS=H")</f>
        <v>106.13200000000001</v>
      </c>
      <c r="O237" s="36" t="e">
        <f ca="1">[1]!BError(_xll.BDH($C237&amp;"@CBBT Corp","OPEN",$O$1&amp;" 4:15:00 PM",$O$1&amp;" 5:15:00 PM","BarSz=60","BarTp=T","RecurDaily=True","TZ=London","DTS=H"))</f>
        <v>#NAME?</v>
      </c>
      <c r="P237" s="36">
        <f>_xll.BDH($C237&amp;"@CBBT Corp","OPEN",P$1&amp;" 4:15:00 PM",P$1&amp;" 5:15:00 PM","BarSz=60","BarTp=T","RecurDaily=True","TZ=London","DTS=H")</f>
        <v>106.512</v>
      </c>
      <c r="Q237" s="44">
        <f>_xll.BDP($C237&amp;"@CBBT Corp","YAS_BOND_YLD", "SETTLE_DT="&amp;Q$1, "YAS_BOND_PX="&amp;$N237)</f>
        <v>-0.48699999999999999</v>
      </c>
      <c r="R237" s="44" t="e">
        <f ca="1">_xll.BDP($C237&amp;"@CBBT Corp","YAS_BOND_YLD", "SETTLE_DT="&amp;R$1, "YAS_BOND_PX="&amp;$O237)</f>
        <v>#NAME?</v>
      </c>
      <c r="S237" s="44">
        <f>_xll.BDP($C237&amp;"@CBBT Corp","YAS_BOND_YLD", "SETTLE_DT="&amp;S$1, "YAS_BOND_PX="&amp;$P237)</f>
        <v>-0.36199999999999999</v>
      </c>
    </row>
    <row r="238" spans="1:19">
      <c r="A238" s="46" t="str">
        <f t="shared" si="66"/>
        <v>EUR.CM_DEPTH.XLS_ANDREA.IE00B28HXX02</v>
      </c>
      <c r="B238" s="51" t="str">
        <f>_xll.MKV("EUR.CM_INSTRUMENT.PXE."&amp;C238,B$3)</f>
        <v>IRISH</v>
      </c>
      <c r="C238" s="61" t="s">
        <v>649</v>
      </c>
      <c r="D238" s="125">
        <f>_xll.MKV("EUR.CM_INSTRUMENT.PXE."&amp;C238,D$3)</f>
        <v>43391</v>
      </c>
      <c r="E238" s="58">
        <f t="shared" si="56"/>
        <v>-1.2000000000000011</v>
      </c>
      <c r="F238" s="58" t="str">
        <f t="shared" ca="1" si="57"/>
        <v>99</v>
      </c>
      <c r="G238" s="58">
        <f t="shared" si="58"/>
        <v>-13.8</v>
      </c>
      <c r="H238" s="46" t="str">
        <f>_xll.MKV_PUBLISHRECORD(A238, $H$4)</f>
        <v>OK</v>
      </c>
      <c r="I238" s="46" t="str">
        <f ca="1">_xll.MKV_SUPPLYRECORD_RANGE(A238,$B$3:$G$3,B238:G238)</f>
        <v>OK</v>
      </c>
      <c r="J238" s="34">
        <f>_xll.MKV($J$1&amp;$C238, J$3)</f>
        <v>-0.47946</v>
      </c>
      <c r="K238" s="32">
        <f>_xll.MKV($L$2&amp;$C238, K$3)</f>
        <v>-0.47900000000000004</v>
      </c>
      <c r="L238" s="35">
        <f>_xll.MKV($L$2&amp;$C238, L$3)</f>
        <v>110.1</v>
      </c>
      <c r="M238" s="32">
        <f t="shared" si="59"/>
        <v>0</v>
      </c>
      <c r="N238" s="36">
        <f>_xll.BDH(C238&amp;"@CBBT Corp","OPEN",$N$1&amp;" 4:15:00 PM",$N$1&amp;" 5:15:00 PM","BarSz=60","BarTp=T","RecurDaily=True","TZ=London","DTS=H")</f>
        <v>110.1</v>
      </c>
      <c r="O238" s="36" t="e">
        <f ca="1">[1]!BError(_xll.BDH($C238&amp;"@CBBT Corp","OPEN",$O$1&amp;" 4:15:00 PM",$O$1&amp;" 5:15:00 PM","BarSz=60","BarTp=T","RecurDaily=True","TZ=London","DTS=H"))</f>
        <v>#NAME?</v>
      </c>
      <c r="P238" s="36">
        <f>_xll.BDH($C238&amp;"@CBBT Corp","OPEN",P$1&amp;" 4:15:00 PM",P$1&amp;" 5:15:00 PM","BarSz=60","BarTp=T","RecurDaily=True","TZ=London","DTS=H")</f>
        <v>110.253</v>
      </c>
      <c r="Q238" s="44">
        <f>_xll.BDP($C238&amp;"@CBBT Corp","YAS_BOND_YLD", "SETTLE_DT="&amp;Q$1, "YAS_BOND_PX="&amp;$N238)</f>
        <v>-0.46700000000000003</v>
      </c>
      <c r="R238" s="44" t="e">
        <f ca="1">_xll.BDP($C238&amp;"@CBBT Corp","YAS_BOND_YLD", "SETTLE_DT="&amp;R$1, "YAS_BOND_PX="&amp;$O238)</f>
        <v>#NAME?</v>
      </c>
      <c r="S238" s="44">
        <f>_xll.BDP($C238&amp;"@CBBT Corp","YAS_BOND_YLD", "SETTLE_DT="&amp;S$1, "YAS_BOND_PX="&amp;$P238)</f>
        <v>-0.34100000000000003</v>
      </c>
    </row>
    <row r="239" spans="1:19">
      <c r="A239" s="46" t="str">
        <f t="shared" si="66"/>
        <v>EUR.CM_DEPTH.XLS_ANDREA.IE00B2QTFG59</v>
      </c>
      <c r="B239" s="51" t="str">
        <f>_xll.MKV("EUR.CM_INSTRUMENT.PXE."&amp;C239,B$3)</f>
        <v>IRISH</v>
      </c>
      <c r="C239" s="61" t="s">
        <v>650</v>
      </c>
      <c r="D239" s="125">
        <f>_xll.MKV("EUR.CM_INSTRUMENT.PXE."&amp;C239,D$3)</f>
        <v>43634</v>
      </c>
      <c r="E239" s="58">
        <f t="shared" si="56"/>
        <v>-1.100000000000001</v>
      </c>
      <c r="F239" s="58" t="str">
        <f t="shared" ca="1" si="57"/>
        <v>99</v>
      </c>
      <c r="G239" s="58">
        <f t="shared" si="58"/>
        <v>-12.000000000000005</v>
      </c>
      <c r="H239" s="46" t="str">
        <f>_xll.MKV_PUBLISHRECORD(A239, $H$4)</f>
        <v>OK</v>
      </c>
      <c r="I239" s="46" t="str">
        <f ca="1">_xll.MKV_SUPPLYRECORD_RANGE(A239,$B$3:$G$3,B239:G239)</f>
        <v>OK</v>
      </c>
      <c r="J239" s="34">
        <f>_xll.MKV($J$1&amp;$C239, J$3)</f>
        <v>-0.47005000000000002</v>
      </c>
      <c r="K239" s="32">
        <f>_xll.MKV($L$2&amp;$C239, K$3)</f>
        <v>-0.47100000000000003</v>
      </c>
      <c r="L239" s="35">
        <f>_xll.MKV($L$2&amp;$C239, L$3)</f>
        <v>113.16500000000001</v>
      </c>
      <c r="M239" s="32">
        <f t="shared" si="59"/>
        <v>2.0000000000095497E-3</v>
      </c>
      <c r="N239" s="36">
        <f>_xll.BDH(C239&amp;"@CBBT Corp","OPEN",$N$1&amp;" 4:15:00 PM",$N$1&amp;" 5:15:00 PM","BarSz=60","BarTp=T","RecurDaily=True","TZ=London","DTS=H")</f>
        <v>113.163</v>
      </c>
      <c r="O239" s="36" t="e">
        <f ca="1">[1]!BError(_xll.BDH($C239&amp;"@CBBT Corp","OPEN",$O$1&amp;" 4:15:00 PM",$O$1&amp;" 5:15:00 PM","BarSz=60","BarTp=T","RecurDaily=True","TZ=London","DTS=H"))</f>
        <v>#NAME?</v>
      </c>
      <c r="P239" s="36">
        <f>_xll.BDH($C239&amp;"@CBBT Corp","OPEN",P$1&amp;" 4:15:00 PM",P$1&amp;" 5:15:00 PM","BarSz=60","BarTp=T","RecurDaily=True","TZ=London","DTS=H")</f>
        <v>113.262</v>
      </c>
      <c r="Q239" s="44">
        <f>_xll.BDP($C239&amp;"@CBBT Corp","YAS_BOND_YLD", "SETTLE_DT="&amp;Q$1, "YAS_BOND_PX="&amp;$N239)</f>
        <v>-0.46</v>
      </c>
      <c r="R239" s="44" t="e">
        <f ca="1">_xll.BDP($C239&amp;"@CBBT Corp","YAS_BOND_YLD", "SETTLE_DT="&amp;R$1, "YAS_BOND_PX="&amp;$O239)</f>
        <v>#NAME?</v>
      </c>
      <c r="S239" s="44">
        <f>_xll.BDP($C239&amp;"@CBBT Corp","YAS_BOND_YLD", "SETTLE_DT="&amp;S$1, "YAS_BOND_PX="&amp;$P239)</f>
        <v>-0.35099999999999998</v>
      </c>
    </row>
    <row r="240" spans="1:19">
      <c r="A240" s="46" t="str">
        <f t="shared" si="66"/>
        <v>EUR.CM_DEPTH.XLS_ANDREA.IE00B6089D15</v>
      </c>
      <c r="B240" s="51" t="str">
        <f>_xll.MKV("EUR.CM_INSTRUMENT.PXE."&amp;C240,B$3)</f>
        <v>IRISH</v>
      </c>
      <c r="C240" s="61" t="s">
        <v>651</v>
      </c>
      <c r="D240" s="125">
        <f>_xll.MKV("EUR.CM_INSTRUMENT.PXE."&amp;C240,D$3)</f>
        <v>43756</v>
      </c>
      <c r="E240" s="58">
        <f t="shared" si="56"/>
        <v>-1.0000000000000009</v>
      </c>
      <c r="F240" s="58" t="str">
        <f t="shared" ca="1" si="57"/>
        <v>99</v>
      </c>
      <c r="G240" s="58">
        <f t="shared" si="58"/>
        <v>-10.500000000000004</v>
      </c>
      <c r="H240" s="46" t="str">
        <f>_xll.MKV_PUBLISHRECORD(A240, $H$4)</f>
        <v>OK</v>
      </c>
      <c r="I240" s="46" t="str">
        <f ca="1">_xll.MKV_SUPPLYRECORD_RANGE(A240,$B$3:$G$3,B240:G240)</f>
        <v>OK</v>
      </c>
      <c r="J240" s="34">
        <f>_xll.MKV($J$1&amp;$C240, J$3)</f>
        <v>-0.45697700000000002</v>
      </c>
      <c r="K240" s="32">
        <f>_xll.MKV($L$2&amp;$C240, K$3)</f>
        <v>-0.45600000000000002</v>
      </c>
      <c r="L240" s="35">
        <f>_xll.MKV($L$2&amp;$C240, L$3)</f>
        <v>119.33499999999999</v>
      </c>
      <c r="M240" s="32">
        <f t="shared" si="59"/>
        <v>1.9999999999953388E-3</v>
      </c>
      <c r="N240" s="36">
        <f>_xll.BDH(C240&amp;"@CBBT Corp","OPEN",$N$1&amp;" 4:15:00 PM",$N$1&amp;" 5:15:00 PM","BarSz=60","BarTp=T","RecurDaily=True","TZ=London","DTS=H")</f>
        <v>119.333</v>
      </c>
      <c r="O240" s="36" t="e">
        <f ca="1">[1]!BError(_xll.BDH($C240&amp;"@CBBT Corp","OPEN",$O$1&amp;" 4:15:00 PM",$O$1&amp;" 5:15:00 PM","BarSz=60","BarTp=T","RecurDaily=True","TZ=London","DTS=H"))</f>
        <v>#NAME?</v>
      </c>
      <c r="P240" s="36">
        <f>_xll.BDH($C240&amp;"@CBBT Corp","OPEN",P$1&amp;" 4:15:00 PM",P$1&amp;" 5:15:00 PM","BarSz=60","BarTp=T","RecurDaily=True","TZ=London","DTS=H")</f>
        <v>119.56</v>
      </c>
      <c r="Q240" s="44">
        <f>_xll.BDP($C240&amp;"@CBBT Corp","YAS_BOND_YLD", "SETTLE_DT="&amp;Q$1, "YAS_BOND_PX="&amp;$N240)</f>
        <v>-0.44600000000000001</v>
      </c>
      <c r="R240" s="44" t="e">
        <f ca="1">_xll.BDP($C240&amp;"@CBBT Corp","YAS_BOND_YLD", "SETTLE_DT="&amp;R$1, "YAS_BOND_PX="&amp;$O240)</f>
        <v>#NAME?</v>
      </c>
      <c r="S240" s="44">
        <f>_xll.BDP($C240&amp;"@CBBT Corp","YAS_BOND_YLD", "SETTLE_DT="&amp;S$1, "YAS_BOND_PX="&amp;$P240)</f>
        <v>-0.35099999999999998</v>
      </c>
    </row>
    <row r="241" spans="1:19">
      <c r="A241" s="46" t="str">
        <f t="shared" si="66"/>
        <v>EUR.CM_DEPTH.XLS_ANDREA.IE0034074488</v>
      </c>
      <c r="B241" s="51" t="str">
        <f>_xll.MKV("EUR.CM_INSTRUMENT.PXE."&amp;C241,B$3)</f>
        <v>IRISH</v>
      </c>
      <c r="C241" s="61" t="s">
        <v>652</v>
      </c>
      <c r="D241" s="125">
        <f>_xll.MKV("EUR.CM_INSTRUMENT.PXE."&amp;C241,D$3)</f>
        <v>43939</v>
      </c>
      <c r="E241" s="58">
        <f t="shared" si="56"/>
        <v>-1.4000000000000012</v>
      </c>
      <c r="F241" s="58" t="str">
        <f t="shared" ca="1" si="57"/>
        <v>99</v>
      </c>
      <c r="G241" s="58">
        <f t="shared" si="58"/>
        <v>-10.599999999999998</v>
      </c>
      <c r="H241" s="46" t="str">
        <f>_xll.MKV_PUBLISHRECORD(A241, $H$4)</f>
        <v>OK</v>
      </c>
      <c r="I241" s="46" t="str">
        <f ca="1">_xll.MKV_SUPPLYRECORD_RANGE(A241,$B$3:$G$3,B241:G241)</f>
        <v>OK</v>
      </c>
      <c r="J241" s="34">
        <f>_xll.MKV($J$1&amp;$C241, J$3)</f>
        <v>-0.43062600000000001</v>
      </c>
      <c r="K241" s="32">
        <f>_xll.MKV($L$2&amp;$C241, K$3)</f>
        <v>-0.438</v>
      </c>
      <c r="L241" s="35">
        <f>_xll.MKV($L$2&amp;$C241, L$3)</f>
        <v>117.49</v>
      </c>
      <c r="M241" s="32">
        <f t="shared" si="59"/>
        <v>-3.0000000000001137E-3</v>
      </c>
      <c r="N241" s="36">
        <f>_xll.BDH(C241&amp;"@CBBT Corp","OPEN",$N$1&amp;" 4:15:00 PM",$N$1&amp;" 5:15:00 PM","BarSz=60","BarTp=T","RecurDaily=True","TZ=London","DTS=H")</f>
        <v>117.49299999999999</v>
      </c>
      <c r="O241" s="36" t="e">
        <f ca="1">[1]!BError(_xll.BDH($C241&amp;"@CBBT Corp","OPEN",$O$1&amp;" 4:15:00 PM",$O$1&amp;" 5:15:00 PM","BarSz=60","BarTp=T","RecurDaily=True","TZ=London","DTS=H"))</f>
        <v>#NAME?</v>
      </c>
      <c r="P241" s="36">
        <f>_xll.BDH($C241&amp;"@CBBT Corp","OPEN",P$1&amp;" 4:15:00 PM",P$1&amp;" 5:15:00 PM","BarSz=60","BarTp=T","RecurDaily=True","TZ=London","DTS=H")</f>
        <v>117.557</v>
      </c>
      <c r="Q241" s="44">
        <f>_xll.BDP($C241&amp;"@CBBT Corp","YAS_BOND_YLD", "SETTLE_DT="&amp;Q$1, "YAS_BOND_PX="&amp;$N241)</f>
        <v>-0.42399999999999999</v>
      </c>
      <c r="R241" s="44" t="e">
        <f ca="1">_xll.BDP($C241&amp;"@CBBT Corp","YAS_BOND_YLD", "SETTLE_DT="&amp;R$1, "YAS_BOND_PX="&amp;$O241)</f>
        <v>#NAME?</v>
      </c>
      <c r="S241" s="44">
        <f>_xll.BDP($C241&amp;"@CBBT Corp","YAS_BOND_YLD", "SETTLE_DT="&amp;S$1, "YAS_BOND_PX="&amp;$P241)</f>
        <v>-0.33200000000000002</v>
      </c>
    </row>
    <row r="242" spans="1:19">
      <c r="A242" s="46" t="str">
        <f t="shared" si="66"/>
        <v>EUR.CM_DEPTH.XLS_ANDREA.IE00B60Z6194</v>
      </c>
      <c r="B242" s="51" t="str">
        <f>_xll.MKV("EUR.CM_INSTRUMENT.PXE."&amp;C242,B$3)</f>
        <v>IRISH</v>
      </c>
      <c r="C242" s="61" t="s">
        <v>653</v>
      </c>
      <c r="D242" s="125">
        <f>_xll.MKV("EUR.CM_INSTRUMENT.PXE."&amp;C242,D$3)</f>
        <v>44122</v>
      </c>
      <c r="E242" s="58">
        <f t="shared" si="56"/>
        <v>-2.1000000000000019</v>
      </c>
      <c r="F242" s="58" t="str">
        <f t="shared" ca="1" si="57"/>
        <v>99</v>
      </c>
      <c r="G242" s="58">
        <f t="shared" si="58"/>
        <v>-12.800000000000006</v>
      </c>
      <c r="H242" s="46" t="str">
        <f>_xll.MKV_PUBLISHRECORD(A242, $H$4)</f>
        <v>OK</v>
      </c>
      <c r="I242" s="46" t="str">
        <f ca="1">_xll.MKV_SUPPLYRECORD_RANGE(A242,$B$3:$G$3,B242:G242)</f>
        <v>OK</v>
      </c>
      <c r="J242" s="34">
        <f>_xll.MKV($J$1&amp;$C242, J$3)</f>
        <v>-0.39826499999999998</v>
      </c>
      <c r="K242" s="32">
        <f>_xll.MKV($L$2&amp;$C242, K$3)</f>
        <v>-0.41200000000000003</v>
      </c>
      <c r="L242" s="35">
        <f>_xll.MKV($L$2&amp;$C242, L$3)</f>
        <v>121.88500000000001</v>
      </c>
      <c r="M242" s="32">
        <f t="shared" si="59"/>
        <v>3.0000000000001137E-3</v>
      </c>
      <c r="N242" s="36">
        <f>_xll.BDH(C242&amp;"@CBBT Corp","OPEN",$N$1&amp;" 4:15:00 PM",$N$1&amp;" 5:15:00 PM","BarSz=60","BarTp=T","RecurDaily=True","TZ=London","DTS=H")</f>
        <v>121.88200000000001</v>
      </c>
      <c r="O242" s="36" t="e">
        <f ca="1">[1]!BError(_xll.BDH($C242&amp;"@CBBT Corp","OPEN",$O$1&amp;" 4:15:00 PM",$O$1&amp;" 5:15:00 PM","BarSz=60","BarTp=T","RecurDaily=True","TZ=London","DTS=H"))</f>
        <v>#NAME?</v>
      </c>
      <c r="P242" s="36">
        <f>_xll.BDH($C242&amp;"@CBBT Corp","OPEN",P$1&amp;" 4:15:00 PM",P$1&amp;" 5:15:00 PM","BarSz=60","BarTp=T","RecurDaily=True","TZ=London","DTS=H")</f>
        <v>121.86</v>
      </c>
      <c r="Q242" s="44">
        <f>_xll.BDP($C242&amp;"@CBBT Corp","YAS_BOND_YLD", "SETTLE_DT="&amp;Q$1, "YAS_BOND_PX="&amp;$N242)</f>
        <v>-0.39100000000000001</v>
      </c>
      <c r="R242" s="44" t="e">
        <f ca="1">_xll.BDP($C242&amp;"@CBBT Corp","YAS_BOND_YLD", "SETTLE_DT="&amp;R$1, "YAS_BOND_PX="&amp;$O242)</f>
        <v>#NAME?</v>
      </c>
      <c r="S242" s="44">
        <f>_xll.BDP($C242&amp;"@CBBT Corp","YAS_BOND_YLD", "SETTLE_DT="&amp;S$1, "YAS_BOND_PX="&amp;$P242)</f>
        <v>-0.28399999999999997</v>
      </c>
    </row>
    <row r="243" spans="1:19">
      <c r="A243" s="46" t="str">
        <f t="shared" si="66"/>
        <v>EUR.CM_DEPTH.XLS_ANDREA.IE00BJ38CQ36</v>
      </c>
      <c r="B243" s="51" t="str">
        <f>_xll.MKV("EUR.CM_INSTRUMENT.PXE."&amp;C243,B$3)</f>
        <v>IRISH</v>
      </c>
      <c r="C243" s="61" t="s">
        <v>654</v>
      </c>
      <c r="D243" s="125">
        <f>_xll.MKV("EUR.CM_INSTRUMENT.PXE."&amp;C243,D$3)</f>
        <v>44635</v>
      </c>
      <c r="E243" s="58">
        <f t="shared" si="56"/>
        <v>-1.4000000000000012</v>
      </c>
      <c r="F243" s="58" t="str">
        <f t="shared" ca="1" si="57"/>
        <v>99</v>
      </c>
      <c r="G243" s="58">
        <f t="shared" si="58"/>
        <v>-8.7000000000000028</v>
      </c>
      <c r="H243" s="46" t="str">
        <f>_xll.MKV_PUBLISHRECORD(A243, $H$4)</f>
        <v>OK</v>
      </c>
      <c r="I243" s="46" t="str">
        <f ca="1">_xll.MKV_SUPPLYRECORD_RANGE(A243,$B$3:$G$3,B243:G243)</f>
        <v>OK</v>
      </c>
      <c r="J243" s="34">
        <f>_xll.MKV($J$1&amp;$C243, J$3)</f>
        <v>-0.220529</v>
      </c>
      <c r="K243" s="32">
        <f>_xll.MKV($L$2&amp;$C243, K$3)</f>
        <v>-0.23400000000000001</v>
      </c>
      <c r="L243" s="35">
        <f>_xll.MKV($L$2&amp;$C243, L$3)</f>
        <v>105.57</v>
      </c>
      <c r="M243" s="32">
        <f t="shared" si="59"/>
        <v>0</v>
      </c>
      <c r="N243" s="36">
        <f>_xll.BDH(C243&amp;"@CBBT Corp","OPEN",$N$1&amp;" 4:15:00 PM",$N$1&amp;" 5:15:00 PM","BarSz=60","BarTp=T","RecurDaily=True","TZ=London","DTS=H")</f>
        <v>105.57</v>
      </c>
      <c r="O243" s="36" t="e">
        <f ca="1">[1]!BError(_xll.BDH($C243&amp;"@CBBT Corp","OPEN",$O$1&amp;" 4:15:00 PM",$O$1&amp;" 5:15:00 PM","BarSz=60","BarTp=T","RecurDaily=True","TZ=London","DTS=H"))</f>
        <v>#NAME?</v>
      </c>
      <c r="P243" s="36">
        <f>_xll.BDH($C243&amp;"@CBBT Corp","OPEN",P$1&amp;" 4:15:00 PM",P$1&amp;" 5:15:00 PM","BarSz=60","BarTp=T","RecurDaily=True","TZ=London","DTS=H")</f>
        <v>105.247</v>
      </c>
      <c r="Q243" s="44">
        <f>_xll.BDP($C243&amp;"@CBBT Corp","YAS_BOND_YLD", "SETTLE_DT="&amp;Q$1, "YAS_BOND_PX="&amp;$N243)</f>
        <v>-0.22</v>
      </c>
      <c r="R243" s="44" t="e">
        <f ca="1">_xll.BDP($C243&amp;"@CBBT Corp","YAS_BOND_YLD", "SETTLE_DT="&amp;R$1, "YAS_BOND_PX="&amp;$O243)</f>
        <v>#NAME?</v>
      </c>
      <c r="S243" s="44">
        <f>_xll.BDP($C243&amp;"@CBBT Corp","YAS_BOND_YLD", "SETTLE_DT="&amp;S$1, "YAS_BOND_PX="&amp;$P243)</f>
        <v>-0.14699999999999999</v>
      </c>
    </row>
    <row r="244" spans="1:19">
      <c r="A244" s="46" t="str">
        <f t="shared" si="66"/>
        <v>EUR.CM_DEPTH.XLS_ANDREA.IE00B4S3JD47</v>
      </c>
      <c r="B244" s="51" t="str">
        <f>_xll.MKV("EUR.CM_INSTRUMENT.PXE."&amp;C244,B$3)</f>
        <v>IRISH</v>
      </c>
      <c r="C244" s="61" t="s">
        <v>655</v>
      </c>
      <c r="D244" s="125">
        <f>_xll.MKV("EUR.CM_INSTRUMENT.PXE."&amp;C244,D$3)</f>
        <v>45005</v>
      </c>
      <c r="E244" s="58">
        <f t="shared" si="56"/>
        <v>-1.6</v>
      </c>
      <c r="F244" s="58" t="str">
        <f t="shared" ca="1" si="57"/>
        <v>99</v>
      </c>
      <c r="G244" s="58">
        <f t="shared" si="58"/>
        <v>-4.9000000000000004</v>
      </c>
      <c r="H244" s="46" t="str">
        <f>_xll.MKV_PUBLISHRECORD(A244, $H$4)</f>
        <v>OK</v>
      </c>
      <c r="I244" s="46" t="str">
        <f ca="1">_xll.MKV_SUPPLYRECORD_RANGE(A244,$B$3:$G$3,B244:G244)</f>
        <v>OK</v>
      </c>
      <c r="J244" s="34">
        <f>_xll.MKV($J$1&amp;$C244, J$3)</f>
        <v>-3.7504000000000003E-2</v>
      </c>
      <c r="K244" s="32">
        <f>_xll.MKV($L$2&amp;$C244, K$3)</f>
        <v>-0.05</v>
      </c>
      <c r="L244" s="35">
        <f>_xll.MKV($L$2&amp;$C244, L$3)</f>
        <v>125.36499999999999</v>
      </c>
      <c r="M244" s="32">
        <f t="shared" si="59"/>
        <v>1.9999999999953388E-3</v>
      </c>
      <c r="N244" s="36">
        <f>_xll.BDH(C244&amp;"@CBBT Corp","OPEN",$N$1&amp;" 4:15:00 PM",$N$1&amp;" 5:15:00 PM","BarSz=60","BarTp=T","RecurDaily=True","TZ=London","DTS=H")</f>
        <v>125.363</v>
      </c>
      <c r="O244" s="36" t="e">
        <f ca="1">[1]!BError(_xll.BDH($C244&amp;"@CBBT Corp","OPEN",$O$1&amp;" 4:15:00 PM",$O$1&amp;" 5:15:00 PM","BarSz=60","BarTp=T","RecurDaily=True","TZ=London","DTS=H"))</f>
        <v>#NAME?</v>
      </c>
      <c r="P244" s="36">
        <f>_xll.BDH($C244&amp;"@CBBT Corp","OPEN",P$1&amp;" 4:15:00 PM",P$1&amp;" 5:15:00 PM","BarSz=60","BarTp=T","RecurDaily=True","TZ=London","DTS=H")</f>
        <v>125.46</v>
      </c>
      <c r="Q244" s="44">
        <f>_xll.BDP($C244&amp;"@CBBT Corp","YAS_BOND_YLD", "SETTLE_DT="&amp;Q$1, "YAS_BOND_PX="&amp;$N244)</f>
        <v>-3.4000000000000002E-2</v>
      </c>
      <c r="R244" s="44" t="e">
        <f ca="1">_xll.BDP($C244&amp;"@CBBT Corp","YAS_BOND_YLD", "SETTLE_DT="&amp;R$1, "YAS_BOND_PX="&amp;$O244)</f>
        <v>#NAME?</v>
      </c>
      <c r="S244" s="44">
        <f>_xll.BDP($C244&amp;"@CBBT Corp","YAS_BOND_YLD", "SETTLE_DT="&amp;S$1, "YAS_BOND_PX="&amp;$P244)</f>
        <v>-1E-3</v>
      </c>
    </row>
    <row r="245" spans="1:19">
      <c r="A245" s="46" t="str">
        <f t="shared" si="66"/>
        <v>EUR.CM_DEPTH.XLS_ANDREA.IE00B6X95T99</v>
      </c>
      <c r="B245" s="51" t="str">
        <f>_xll.MKV("EUR.CM_INSTRUMENT.PXE."&amp;C245,B$3)</f>
        <v>IRISH</v>
      </c>
      <c r="C245" s="61" t="s">
        <v>656</v>
      </c>
      <c r="D245" s="125">
        <f>_xll.MKV("EUR.CM_INSTRUMENT.PXE."&amp;C245,D$3)</f>
        <v>45369</v>
      </c>
      <c r="E245" s="58">
        <f t="shared" si="56"/>
        <v>-1.2999999999999985</v>
      </c>
      <c r="F245" s="58" t="str">
        <f t="shared" ca="1" si="57"/>
        <v>99</v>
      </c>
      <c r="G245" s="58">
        <f t="shared" si="58"/>
        <v>-3.1</v>
      </c>
      <c r="H245" s="46" t="str">
        <f>_xll.MKV_PUBLISHRECORD(A245, $H$4)</f>
        <v>OK</v>
      </c>
      <c r="I245" s="46" t="str">
        <f ca="1">_xll.MKV_SUPPLYRECORD_RANGE(A245,$B$3:$G$3,B245:G245)</f>
        <v>OK</v>
      </c>
      <c r="J245" s="34">
        <f>_xll.MKV($J$1&amp;$C245, J$3)</f>
        <v>0.178817</v>
      </c>
      <c r="K245" s="32">
        <f>_xll.MKV($L$2&amp;$C245, K$3)</f>
        <v>0.16900000000000001</v>
      </c>
      <c r="L245" s="35">
        <f>_xll.MKV($L$2&amp;$C245, L$3)</f>
        <v>123.745</v>
      </c>
      <c r="M245" s="32">
        <f t="shared" si="59"/>
        <v>7.0000000000050022E-3</v>
      </c>
      <c r="N245" s="36">
        <f>_xll.BDH(C245&amp;"@CBBT Corp","OPEN",$N$1&amp;" 4:15:00 PM",$N$1&amp;" 5:15:00 PM","BarSz=60","BarTp=T","RecurDaily=True","TZ=London","DTS=H")</f>
        <v>123.738</v>
      </c>
      <c r="O245" s="36" t="e">
        <f ca="1">[1]!BError(_xll.BDH($C245&amp;"@CBBT Corp","OPEN",$O$1&amp;" 4:15:00 PM",$O$1&amp;" 5:15:00 PM","BarSz=60","BarTp=T","RecurDaily=True","TZ=London","DTS=H"))</f>
        <v>#NAME?</v>
      </c>
      <c r="P245" s="36">
        <f>_xll.BDH($C245&amp;"@CBBT Corp","OPEN",P$1&amp;" 4:15:00 PM",P$1&amp;" 5:15:00 PM","BarSz=60","BarTp=T","RecurDaily=True","TZ=London","DTS=H")</f>
        <v>123.863</v>
      </c>
      <c r="Q245" s="44">
        <f>_xll.BDP($C245&amp;"@CBBT Corp","YAS_BOND_YLD", "SETTLE_DT="&amp;Q$1, "YAS_BOND_PX="&amp;$N245)</f>
        <v>0.182</v>
      </c>
      <c r="R245" s="44" t="e">
        <f ca="1">_xll.BDP($C245&amp;"@CBBT Corp","YAS_BOND_YLD", "SETTLE_DT="&amp;R$1, "YAS_BOND_PX="&amp;$O245)</f>
        <v>#NAME?</v>
      </c>
      <c r="S245" s="44">
        <f>_xll.BDP($C245&amp;"@CBBT Corp","YAS_BOND_YLD", "SETTLE_DT="&amp;S$1, "YAS_BOND_PX="&amp;$P245)</f>
        <v>0.2</v>
      </c>
    </row>
    <row r="246" spans="1:19">
      <c r="A246" s="46" t="str">
        <f t="shared" si="66"/>
        <v>EUR.CM_DEPTH.XLS_ANDREA.IE00B4TV0D44</v>
      </c>
      <c r="B246" s="51" t="str">
        <f>_xll.MKV("EUR.CM_INSTRUMENT.PXE."&amp;C246,B$3)</f>
        <v>IRISH</v>
      </c>
      <c r="C246" s="61" t="s">
        <v>657</v>
      </c>
      <c r="D246" s="125">
        <f>_xll.MKV("EUR.CM_INSTRUMENT.PXE."&amp;C246,D$3)</f>
        <v>45729</v>
      </c>
      <c r="E246" s="58">
        <f t="shared" si="56"/>
        <v>-0.50000000000000044</v>
      </c>
      <c r="F246" s="58" t="str">
        <f t="shared" ca="1" si="57"/>
        <v>99</v>
      </c>
      <c r="G246" s="58">
        <f t="shared" si="58"/>
        <v>0.10000000000000009</v>
      </c>
      <c r="H246" s="46" t="str">
        <f>_xll.MKV_PUBLISHRECORD(A246, $H$4)</f>
        <v>OK</v>
      </c>
      <c r="I246" s="46" t="str">
        <f ca="1">_xll.MKV_SUPPLYRECORD_RANGE(A246,$B$3:$G$3,B246:G246)</f>
        <v>OK</v>
      </c>
      <c r="J246" s="34">
        <f>_xll.MKV($J$1&amp;$C246, J$3)</f>
        <v>0.372527</v>
      </c>
      <c r="K246" s="32">
        <f>_xll.MKV($L$2&amp;$C246, K$3)</f>
        <v>0.371</v>
      </c>
      <c r="L246" s="35">
        <f>_xll.MKV($L$2&amp;$C246, L$3)</f>
        <v>141.565</v>
      </c>
      <c r="M246" s="32">
        <f t="shared" si="59"/>
        <v>8.0000000000097771E-3</v>
      </c>
      <c r="N246" s="36">
        <f>_xll.BDH(C246&amp;"@CBBT Corp","OPEN",$N$1&amp;" 4:15:00 PM",$N$1&amp;" 5:15:00 PM","BarSz=60","BarTp=T","RecurDaily=True","TZ=London","DTS=H")</f>
        <v>141.55699999999999</v>
      </c>
      <c r="O246" s="36" t="e">
        <f ca="1">[1]!BError(_xll.BDH($C246&amp;"@CBBT Corp","OPEN",$O$1&amp;" 4:15:00 PM",$O$1&amp;" 5:15:00 PM","BarSz=60","BarTp=T","RecurDaily=True","TZ=London","DTS=H"))</f>
        <v>#NAME?</v>
      </c>
      <c r="P246" s="36">
        <f>_xll.BDH($C246&amp;"@CBBT Corp","OPEN",P$1&amp;" 4:15:00 PM",P$1&amp;" 5:15:00 PM","BarSz=60","BarTp=T","RecurDaily=True","TZ=London","DTS=H")</f>
        <v>142.04300000000001</v>
      </c>
      <c r="Q246" s="44">
        <f>_xll.BDP($C246&amp;"@CBBT Corp","YAS_BOND_YLD", "SETTLE_DT="&amp;Q$1, "YAS_BOND_PX="&amp;$N246)</f>
        <v>0.376</v>
      </c>
      <c r="R246" s="44" t="e">
        <f ca="1">_xll.BDP($C246&amp;"@CBBT Corp","YAS_BOND_YLD", "SETTLE_DT="&amp;R$1, "YAS_BOND_PX="&amp;$O246)</f>
        <v>#NAME?</v>
      </c>
      <c r="S246" s="44">
        <f>_xll.BDP($C246&amp;"@CBBT Corp","YAS_BOND_YLD", "SETTLE_DT="&amp;S$1, "YAS_BOND_PX="&amp;$P246)</f>
        <v>0.37</v>
      </c>
    </row>
    <row r="247" spans="1:19">
      <c r="A247" s="46" t="str">
        <f t="shared" si="66"/>
        <v>EUR.CM_DEPTH.XLS_ANDREA.IE00BV8C9418</v>
      </c>
      <c r="B247" s="51" t="str">
        <f>_xll.MKV("EUR.CM_INSTRUMENT.PXE."&amp;C247,B$3)</f>
        <v>IRISH</v>
      </c>
      <c r="C247" s="61" t="s">
        <v>671</v>
      </c>
      <c r="D247" s="125">
        <f>_xll.MKV("EUR.CM_INSTRUMENT.PXE."&amp;C247,D$3)</f>
        <v>46157</v>
      </c>
      <c r="E247" s="58">
        <f t="shared" si="56"/>
        <v>-0.20000000000000018</v>
      </c>
      <c r="F247" s="58" t="str">
        <f t="shared" ca="1" si="57"/>
        <v>99</v>
      </c>
      <c r="G247" s="58">
        <f t="shared" si="58"/>
        <v>1.7000000000000015</v>
      </c>
      <c r="H247" s="46" t="str">
        <f>_xll.MKV_PUBLISHRECORD(A247, $H$4)</f>
        <v>OK</v>
      </c>
      <c r="I247" s="46" t="str">
        <f ca="1">_xll.MKV_SUPPLYRECORD_RANGE(A247,$B$3:$G$3,B247:G247)</f>
        <v>OK</v>
      </c>
      <c r="J247" s="34">
        <f>_xll.MKV($J$1&amp;$C247, J$3)</f>
        <v>0.489894</v>
      </c>
      <c r="K247" s="32">
        <f>_xll.MKV($L$2&amp;$C247, K$3)</f>
        <v>0.48799999999999999</v>
      </c>
      <c r="L247" s="35">
        <f>_xll.MKV($L$2&amp;$C247, L$3)</f>
        <v>104.765</v>
      </c>
      <c r="M247" s="32">
        <f t="shared" si="59"/>
        <v>3.0000000000001137E-3</v>
      </c>
      <c r="N247" s="36">
        <f>_xll.BDH(C247&amp;"@CBBT Corp","OPEN",$N$1&amp;" 4:15:00 PM",$N$1&amp;" 5:15:00 PM","BarSz=60","BarTp=T","RecurDaily=True","TZ=London","DTS=H")</f>
        <v>104.762</v>
      </c>
      <c r="O247" s="36" t="e">
        <f ca="1">[1]!BError(_xll.BDH($C247&amp;"@CBBT Corp","OPEN",$O$1&amp;" 4:15:00 PM",$O$1&amp;" 5:15:00 PM","BarSz=60","BarTp=T","RecurDaily=True","TZ=London","DTS=H"))</f>
        <v>#NAME?</v>
      </c>
      <c r="P247" s="36">
        <f>_xll.BDH($C247&amp;"@CBBT Corp","OPEN",P$1&amp;" 4:15:00 PM",P$1&amp;" 5:15:00 PM","BarSz=60","BarTp=T","RecurDaily=True","TZ=London","DTS=H")</f>
        <v>104.997</v>
      </c>
      <c r="Q247" s="44">
        <f>_xll.BDP($C247&amp;"@CBBT Corp","YAS_BOND_YLD", "SETTLE_DT="&amp;Q$1, "YAS_BOND_PX="&amp;$N247)</f>
        <v>0.49</v>
      </c>
      <c r="R247" s="44" t="e">
        <f ca="1">_xll.BDP($C247&amp;"@CBBT Corp","YAS_BOND_YLD", "SETTLE_DT="&amp;R$1, "YAS_BOND_PX="&amp;$O247)</f>
        <v>#NAME?</v>
      </c>
      <c r="S247" s="44">
        <f>_xll.BDP($C247&amp;"@CBBT Corp","YAS_BOND_YLD", "SETTLE_DT="&amp;S$1, "YAS_BOND_PX="&amp;$P247)</f>
        <v>0.47099999999999997</v>
      </c>
    </row>
    <row r="248" spans="1:19">
      <c r="A248" s="46" t="str">
        <f t="shared" si="66"/>
        <v>EUR.CM_DEPTH.XLS_ANDREA.IE00BJ38CR43</v>
      </c>
      <c r="B248" s="51" t="str">
        <f>_xll.MKV("EUR.CM_INSTRUMENT.PXE."&amp;C248,B$3)</f>
        <v>IRISH</v>
      </c>
      <c r="C248" s="61" t="s">
        <v>658</v>
      </c>
      <c r="D248" s="125">
        <f>_xll.MKV("EUR.CM_INSTRUMENT.PXE."&amp;C248,D$3)</f>
        <v>47618</v>
      </c>
      <c r="E248" s="58">
        <f t="shared" si="56"/>
        <v>0</v>
      </c>
      <c r="F248" s="58" t="str">
        <f t="shared" ca="1" si="57"/>
        <v>99</v>
      </c>
      <c r="G248" s="58">
        <f t="shared" si="58"/>
        <v>0.50000000000000044</v>
      </c>
      <c r="H248" s="46" t="str">
        <f>_xll.MKV_PUBLISHRECORD(A248, $H$4)</f>
        <v>OK</v>
      </c>
      <c r="I248" s="46" t="str">
        <f ca="1">_xll.MKV_SUPPLYRECORD_RANGE(A248,$B$3:$G$3,B248:G248)</f>
        <v>OK</v>
      </c>
      <c r="J248" s="34">
        <f>_xll.MKV($J$1&amp;$C248, J$3)</f>
        <v>0.799543</v>
      </c>
      <c r="K248" s="32">
        <f>_xll.MKV($L$2&amp;$C248, K$3)</f>
        <v>0.80100000000000005</v>
      </c>
      <c r="L248" s="35">
        <f>_xll.MKV($L$2&amp;$C248, L$3)</f>
        <v>120.52500000000001</v>
      </c>
      <c r="M248" s="32">
        <f t="shared" si="59"/>
        <v>7.0000000000050022E-3</v>
      </c>
      <c r="N248" s="36">
        <f>_xll.BDH(C248&amp;"@CBBT Corp","OPEN",$N$1&amp;" 4:15:00 PM",$N$1&amp;" 5:15:00 PM","BarSz=60","BarTp=T","RecurDaily=True","TZ=London","DTS=H")</f>
        <v>120.518</v>
      </c>
      <c r="O248" s="36" t="e">
        <f ca="1">[1]!BError(_xll.BDH($C248&amp;"@CBBT Corp","OPEN",$O$1&amp;" 4:15:00 PM",$O$1&amp;" 5:15:00 PM","BarSz=60","BarTp=T","RecurDaily=True","TZ=London","DTS=H"))</f>
        <v>#NAME?</v>
      </c>
      <c r="P248" s="36">
        <f>_xll.BDH($C248&amp;"@CBBT Corp","OPEN",P$1&amp;" 4:15:00 PM",P$1&amp;" 5:15:00 PM","BarSz=60","BarTp=T","RecurDaily=True","TZ=London","DTS=H")</f>
        <v>120.712</v>
      </c>
      <c r="Q248" s="44">
        <f>_xll.BDP($C248&amp;"@CBBT Corp","YAS_BOND_YLD", "SETTLE_DT="&amp;Q$1, "YAS_BOND_PX="&amp;$N248)</f>
        <v>0.80100000000000005</v>
      </c>
      <c r="R248" s="44" t="e">
        <f ca="1">_xll.BDP($C248&amp;"@CBBT Corp","YAS_BOND_YLD", "SETTLE_DT="&amp;R$1, "YAS_BOND_PX="&amp;$O248)</f>
        <v>#NAME?</v>
      </c>
      <c r="S248" s="44">
        <f>_xll.BDP($C248&amp;"@CBBT Corp","YAS_BOND_YLD", "SETTLE_DT="&amp;S$1, "YAS_BOND_PX="&amp;$P248)</f>
        <v>0.79600000000000004</v>
      </c>
    </row>
    <row r="249" spans="1:19">
      <c r="A249" s="46" t="str">
        <f t="shared" si="66"/>
        <v>EUR.CM_DEPTH.XLS_ANDREA.IE00BV8C9186</v>
      </c>
      <c r="B249" s="51" t="str">
        <f>_xll.MKV("EUR.CM_INSTRUMENT.PXE."&amp;C249,B$3)</f>
        <v>IRISH</v>
      </c>
      <c r="C249" s="61" t="s">
        <v>659</v>
      </c>
      <c r="D249" s="125">
        <f>_xll.MKV("EUR.CM_INSTRUMENT.PXE."&amp;C249,D$3)</f>
        <v>53011</v>
      </c>
      <c r="E249" s="58">
        <f t="shared" si="56"/>
        <v>-0.20000000000000018</v>
      </c>
      <c r="F249" s="58" t="str">
        <f t="shared" ca="1" si="57"/>
        <v>99</v>
      </c>
      <c r="G249" s="58">
        <f t="shared" si="58"/>
        <v>3.499999999999992</v>
      </c>
      <c r="H249" s="46" t="str">
        <f>_xll.MKV_PUBLISHRECORD(A249, $H$4)</f>
        <v>OK</v>
      </c>
      <c r="I249" s="46" t="str">
        <f ca="1">_xll.MKV_SUPPLYRECORD_RANGE(A249,$B$3:$G$3,B249:G249)</f>
        <v>OK</v>
      </c>
      <c r="J249" s="34">
        <f>_xll.MKV($J$1&amp;$C249, J$3)</f>
        <v>1.340746</v>
      </c>
      <c r="K249" s="32">
        <f>_xll.MKV($L$2&amp;$C249, K$3)</f>
        <v>1.339</v>
      </c>
      <c r="L249" s="35">
        <f>_xll.MKV($L$2&amp;$C249, L$3)</f>
        <v>115.46</v>
      </c>
      <c r="M249" s="32">
        <f t="shared" si="59"/>
        <v>4.9999999999954525E-3</v>
      </c>
      <c r="N249" s="36">
        <f>_xll.BDH(C249&amp;"@CBBT Corp","OPEN",$N$1&amp;" 4:15:00 PM",$N$1&amp;" 5:15:00 PM","BarSz=60","BarTp=T","RecurDaily=True","TZ=London","DTS=H")</f>
        <v>115.455</v>
      </c>
      <c r="O249" s="36" t="e">
        <f ca="1">[1]!BError(_xll.BDH($C249&amp;"@CBBT Corp","OPEN",$O$1&amp;" 4:15:00 PM",$O$1&amp;" 5:15:00 PM","BarSz=60","BarTp=T","RecurDaily=True","TZ=London","DTS=H"))</f>
        <v>#NAME?</v>
      </c>
      <c r="P249" s="36">
        <f>_xll.BDH($C249&amp;"@CBBT Corp","OPEN",P$1&amp;" 4:15:00 PM",P$1&amp;" 5:15:00 PM","BarSz=60","BarTp=T","RecurDaily=True","TZ=London","DTS=H")</f>
        <v>116.455</v>
      </c>
      <c r="Q249" s="44">
        <f>_xll.BDP($C249&amp;"@CBBT Corp","YAS_BOND_YLD", "SETTLE_DT="&amp;Q$1, "YAS_BOND_PX="&amp;$N249)</f>
        <v>1.341</v>
      </c>
      <c r="R249" s="44" t="e">
        <f ca="1">_xll.BDP($C249&amp;"@CBBT Corp","YAS_BOND_YLD", "SETTLE_DT="&amp;R$1, "YAS_BOND_PX="&amp;$O249)</f>
        <v>#NAME?</v>
      </c>
      <c r="S249" s="44">
        <f>_xll.BDP($C249&amp;"@CBBT Corp","YAS_BOND_YLD", "SETTLE_DT="&amp;S$1, "YAS_BOND_PX="&amp;$P249)</f>
        <v>1.304</v>
      </c>
    </row>
    <row r="250" spans="1:19">
      <c r="A250" s="46"/>
      <c r="B250" s="51"/>
    </row>
    <row r="251" spans="1:19">
      <c r="A251" s="46"/>
    </row>
    <row r="252" spans="1:19">
      <c r="A252" s="46"/>
    </row>
    <row r="253" spans="1:19">
      <c r="A253" s="46"/>
    </row>
    <row r="254" spans="1:19">
      <c r="A254" s="46"/>
    </row>
    <row r="255" spans="1:19">
      <c r="A255" s="46"/>
    </row>
    <row r="256" spans="1:19">
      <c r="A256" s="46"/>
    </row>
    <row r="257" spans="1:1">
      <c r="A257" s="46"/>
    </row>
    <row r="258" spans="1:1">
      <c r="A258" s="46"/>
    </row>
    <row r="259" spans="1:1">
      <c r="A259" s="46"/>
    </row>
    <row r="260" spans="1:1">
      <c r="A260" s="46"/>
    </row>
    <row r="261" spans="1:1">
      <c r="A261" s="46"/>
    </row>
    <row r="262" spans="1:1">
      <c r="A262" s="46"/>
    </row>
    <row r="263" spans="1:1">
      <c r="A263" s="46"/>
    </row>
    <row r="264" spans="1:1">
      <c r="A264" s="46"/>
    </row>
    <row r="265" spans="1:1">
      <c r="A265" s="46"/>
    </row>
    <row r="266" spans="1:1">
      <c r="A266" s="46"/>
    </row>
    <row r="267" spans="1:1">
      <c r="A267" s="46"/>
    </row>
    <row r="268" spans="1:1">
      <c r="A268" s="46"/>
    </row>
    <row r="269" spans="1:1">
      <c r="A269" s="46"/>
    </row>
    <row r="270" spans="1:1">
      <c r="A270" s="46"/>
    </row>
    <row r="271" spans="1:1">
      <c r="A271" s="46"/>
    </row>
    <row r="272" spans="1:1">
      <c r="A272" s="46"/>
    </row>
    <row r="273" spans="1:1">
      <c r="A273" s="46"/>
    </row>
    <row r="274" spans="1:1">
      <c r="A274" s="46"/>
    </row>
    <row r="275" spans="1:1">
      <c r="A275" s="46"/>
    </row>
    <row r="276" spans="1:1">
      <c r="A276" s="46"/>
    </row>
    <row r="277" spans="1:1">
      <c r="A277" s="46"/>
    </row>
    <row r="278" spans="1:1">
      <c r="A278" s="46"/>
    </row>
    <row r="279" spans="1:1">
      <c r="A279" s="46"/>
    </row>
    <row r="280" spans="1:1">
      <c r="A280" s="46"/>
    </row>
    <row r="281" spans="1:1">
      <c r="A281" s="46"/>
    </row>
    <row r="282" spans="1:1">
      <c r="A282" s="46"/>
    </row>
    <row r="283" spans="1:1">
      <c r="A283" s="46"/>
    </row>
    <row r="284" spans="1:1">
      <c r="A284" s="46"/>
    </row>
    <row r="285" spans="1:1">
      <c r="A285" s="46"/>
    </row>
    <row r="286" spans="1:1">
      <c r="A286" s="46"/>
    </row>
    <row r="287" spans="1:1">
      <c r="A287" s="46"/>
    </row>
    <row r="288" spans="1:1">
      <c r="A288" s="46"/>
    </row>
    <row r="289" spans="1:1">
      <c r="A289" s="46"/>
    </row>
    <row r="290" spans="1:1">
      <c r="A290" s="46"/>
    </row>
    <row r="291" spans="1:1">
      <c r="A291" s="46"/>
    </row>
    <row r="292" spans="1:1">
      <c r="A292" s="46"/>
    </row>
    <row r="293" spans="1:1">
      <c r="A293" s="46"/>
    </row>
    <row r="294" spans="1:1">
      <c r="A294" s="46"/>
    </row>
    <row r="295" spans="1:1">
      <c r="A295" s="46"/>
    </row>
    <row r="296" spans="1:1">
      <c r="A296" s="46"/>
    </row>
    <row r="297" spans="1:1">
      <c r="A297" s="46"/>
    </row>
    <row r="298" spans="1:1">
      <c r="A298" s="46"/>
    </row>
    <row r="299" spans="1:1">
      <c r="A299" s="46"/>
    </row>
    <row r="300" spans="1:1">
      <c r="A300" s="46"/>
    </row>
    <row r="301" spans="1:1">
      <c r="A301" s="46"/>
    </row>
    <row r="302" spans="1:1">
      <c r="A302" s="46"/>
    </row>
    <row r="303" spans="1:1">
      <c r="A303" s="46"/>
    </row>
    <row r="304" spans="1:1">
      <c r="A304" s="46"/>
    </row>
    <row r="305" spans="1:1">
      <c r="A305" s="46"/>
    </row>
    <row r="306" spans="1:1">
      <c r="A306" s="46"/>
    </row>
    <row r="307" spans="1:1">
      <c r="A307" s="46"/>
    </row>
    <row r="308" spans="1:1">
      <c r="A308" s="46"/>
    </row>
    <row r="309" spans="1:1">
      <c r="A309" s="46"/>
    </row>
    <row r="310" spans="1:1">
      <c r="A310" s="46"/>
    </row>
    <row r="311" spans="1:1">
      <c r="A311" s="46"/>
    </row>
    <row r="312" spans="1:1">
      <c r="A312" s="46"/>
    </row>
    <row r="313" spans="1:1">
      <c r="A313" s="46"/>
    </row>
    <row r="314" spans="1:1">
      <c r="A314" s="46"/>
    </row>
    <row r="315" spans="1:1">
      <c r="A315" s="46"/>
    </row>
    <row r="316" spans="1:1">
      <c r="A316" s="46"/>
    </row>
    <row r="317" spans="1:1">
      <c r="A317" s="46"/>
    </row>
    <row r="318" spans="1:1">
      <c r="A318" s="46"/>
    </row>
    <row r="319" spans="1:1">
      <c r="A319" s="46"/>
    </row>
    <row r="320" spans="1:1">
      <c r="A320" s="46"/>
    </row>
    <row r="321" spans="1:1">
      <c r="A321" s="46"/>
    </row>
    <row r="322" spans="1:1">
      <c r="A322" s="46"/>
    </row>
    <row r="323" spans="1:1">
      <c r="A323" s="46"/>
    </row>
    <row r="324" spans="1:1">
      <c r="A324" s="46"/>
    </row>
    <row r="325" spans="1:1">
      <c r="A325" s="46"/>
    </row>
    <row r="326" spans="1:1">
      <c r="A326" s="46"/>
    </row>
    <row r="327" spans="1:1">
      <c r="A327" s="46"/>
    </row>
    <row r="328" spans="1:1">
      <c r="A328" s="46"/>
    </row>
    <row r="329" spans="1:1">
      <c r="A329" s="46"/>
    </row>
    <row r="330" spans="1:1">
      <c r="A330" s="46"/>
    </row>
    <row r="331" spans="1:1">
      <c r="A331" s="46"/>
    </row>
    <row r="332" spans="1:1">
      <c r="A332" s="46"/>
    </row>
    <row r="333" spans="1:1">
      <c r="A333" s="46"/>
    </row>
    <row r="334" spans="1:1">
      <c r="A334" s="46"/>
    </row>
    <row r="335" spans="1:1">
      <c r="A335" s="46"/>
    </row>
    <row r="336" spans="1:1">
      <c r="A336" s="46"/>
    </row>
    <row r="337" spans="1:1">
      <c r="A337" s="46"/>
    </row>
    <row r="338" spans="1:1">
      <c r="A338" s="46"/>
    </row>
    <row r="339" spans="1:1">
      <c r="A339" s="46"/>
    </row>
    <row r="340" spans="1:1">
      <c r="A340" s="46"/>
    </row>
    <row r="341" spans="1:1">
      <c r="A341" s="46"/>
    </row>
    <row r="342" spans="1:1">
      <c r="A342" s="46"/>
    </row>
    <row r="343" spans="1:1">
      <c r="A343" s="46"/>
    </row>
    <row r="344" spans="1:1">
      <c r="A344" s="46"/>
    </row>
    <row r="345" spans="1:1">
      <c r="A345" s="46"/>
    </row>
    <row r="346" spans="1:1">
      <c r="A346" s="46"/>
    </row>
    <row r="347" spans="1:1">
      <c r="A347" s="46"/>
    </row>
    <row r="348" spans="1:1">
      <c r="A348" s="46"/>
    </row>
    <row r="349" spans="1:1">
      <c r="A349" s="46"/>
    </row>
    <row r="350" spans="1:1">
      <c r="A350" s="46"/>
    </row>
    <row r="351" spans="1:1">
      <c r="A351" s="46"/>
    </row>
    <row r="352" spans="1:1">
      <c r="A352" s="46"/>
    </row>
    <row r="353" spans="1:1">
      <c r="A353" s="46"/>
    </row>
    <row r="354" spans="1:1">
      <c r="A354" s="46"/>
    </row>
    <row r="355" spans="1:1">
      <c r="A355" s="46"/>
    </row>
    <row r="356" spans="1:1">
      <c r="A356" s="46"/>
    </row>
    <row r="357" spans="1:1">
      <c r="A357" s="46"/>
    </row>
    <row r="358" spans="1:1">
      <c r="A358" s="46"/>
    </row>
    <row r="359" spans="1:1">
      <c r="A359" s="46"/>
    </row>
    <row r="360" spans="1:1">
      <c r="A360" s="46"/>
    </row>
    <row r="361" spans="1:1">
      <c r="A361" s="46"/>
    </row>
    <row r="362" spans="1:1">
      <c r="A362" s="46"/>
    </row>
    <row r="363" spans="1:1">
      <c r="A363" s="46"/>
    </row>
    <row r="364" spans="1:1">
      <c r="A364" s="46"/>
    </row>
    <row r="365" spans="1:1">
      <c r="A365" s="46"/>
    </row>
    <row r="366" spans="1:1">
      <c r="A366" s="46"/>
    </row>
    <row r="367" spans="1:1">
      <c r="A367" s="46"/>
    </row>
    <row r="368" spans="1:1">
      <c r="A368" s="46"/>
    </row>
    <row r="369" spans="1:1">
      <c r="A369" s="46"/>
    </row>
    <row r="370" spans="1:1">
      <c r="A370" s="46"/>
    </row>
    <row r="371" spans="1:1">
      <c r="A371" s="46"/>
    </row>
    <row r="372" spans="1:1">
      <c r="A372" s="46"/>
    </row>
    <row r="373" spans="1:1">
      <c r="A373" s="46"/>
    </row>
    <row r="374" spans="1:1">
      <c r="A374" s="46"/>
    </row>
    <row r="375" spans="1:1">
      <c r="A375" s="46"/>
    </row>
    <row r="376" spans="1:1">
      <c r="A376" s="46"/>
    </row>
    <row r="377" spans="1:1">
      <c r="A377" s="46"/>
    </row>
    <row r="378" spans="1:1">
      <c r="A378" s="46"/>
    </row>
    <row r="379" spans="1:1">
      <c r="A379" s="46"/>
    </row>
    <row r="380" spans="1:1">
      <c r="A380" s="46"/>
    </row>
    <row r="381" spans="1:1">
      <c r="A381" s="46"/>
    </row>
    <row r="382" spans="1:1">
      <c r="A382" s="46"/>
    </row>
    <row r="383" spans="1:1">
      <c r="A383" s="46"/>
    </row>
    <row r="384" spans="1:1">
      <c r="A384" s="46"/>
    </row>
    <row r="385" spans="1:1">
      <c r="A385" s="46"/>
    </row>
    <row r="386" spans="1:1">
      <c r="A386" s="46"/>
    </row>
    <row r="387" spans="1:1">
      <c r="A387" s="46"/>
    </row>
    <row r="388" spans="1:1">
      <c r="A388" s="46"/>
    </row>
    <row r="389" spans="1:1">
      <c r="A389" s="46"/>
    </row>
    <row r="390" spans="1:1">
      <c r="A390" s="46"/>
    </row>
    <row r="391" spans="1:1">
      <c r="A391" s="46"/>
    </row>
    <row r="392" spans="1:1">
      <c r="A392" s="46"/>
    </row>
    <row r="393" spans="1:1">
      <c r="A393" s="46"/>
    </row>
    <row r="394" spans="1:1">
      <c r="A394" s="46"/>
    </row>
    <row r="395" spans="1:1">
      <c r="A395" s="46"/>
    </row>
    <row r="396" spans="1:1">
      <c r="A396" s="46"/>
    </row>
    <row r="397" spans="1:1">
      <c r="A397" s="46"/>
    </row>
    <row r="398" spans="1:1">
      <c r="A398" s="46"/>
    </row>
    <row r="399" spans="1:1">
      <c r="A399" s="46"/>
    </row>
    <row r="400" spans="1:1">
      <c r="A400" s="46"/>
    </row>
    <row r="401" spans="1:1">
      <c r="A401" s="46"/>
    </row>
    <row r="402" spans="1:1">
      <c r="A402" s="46"/>
    </row>
    <row r="403" spans="1:1">
      <c r="A403" s="46"/>
    </row>
    <row r="404" spans="1:1">
      <c r="A404" s="46"/>
    </row>
    <row r="405" spans="1:1">
      <c r="A405" s="46"/>
    </row>
    <row r="406" spans="1:1">
      <c r="A406" s="46"/>
    </row>
    <row r="407" spans="1:1">
      <c r="A407" s="46"/>
    </row>
    <row r="408" spans="1:1">
      <c r="A408" s="46"/>
    </row>
    <row r="409" spans="1:1">
      <c r="A409" s="46"/>
    </row>
    <row r="410" spans="1:1">
      <c r="A410" s="46"/>
    </row>
    <row r="411" spans="1:1">
      <c r="A411" s="46"/>
    </row>
    <row r="412" spans="1:1">
      <c r="A412" s="46"/>
    </row>
    <row r="413" spans="1:1">
      <c r="A413" s="46"/>
    </row>
    <row r="414" spans="1:1">
      <c r="A414" s="46"/>
    </row>
    <row r="415" spans="1:1">
      <c r="A415" s="46"/>
    </row>
    <row r="416" spans="1:1">
      <c r="A416" s="46"/>
    </row>
    <row r="417" spans="1:1">
      <c r="A417" s="46"/>
    </row>
    <row r="418" spans="1:1">
      <c r="A418" s="46"/>
    </row>
    <row r="419" spans="1:1">
      <c r="A419" s="46"/>
    </row>
    <row r="420" spans="1:1">
      <c r="A420" s="46"/>
    </row>
    <row r="421" spans="1:1">
      <c r="A421" s="46"/>
    </row>
    <row r="422" spans="1:1">
      <c r="A422" s="46"/>
    </row>
    <row r="423" spans="1:1">
      <c r="A423" s="46"/>
    </row>
    <row r="424" spans="1:1">
      <c r="A424" s="46"/>
    </row>
    <row r="425" spans="1:1">
      <c r="A425" s="46"/>
    </row>
    <row r="426" spans="1:1">
      <c r="A426" s="46"/>
    </row>
    <row r="427" spans="1:1">
      <c r="A427" s="46"/>
    </row>
    <row r="428" spans="1:1">
      <c r="A428" s="46"/>
    </row>
    <row r="429" spans="1:1">
      <c r="A429" s="46"/>
    </row>
    <row r="430" spans="1:1">
      <c r="A430" s="46"/>
    </row>
    <row r="431" spans="1:1">
      <c r="A431" s="46"/>
    </row>
    <row r="432" spans="1:1">
      <c r="A432" s="46"/>
    </row>
    <row r="433" spans="1:1">
      <c r="A433" s="46"/>
    </row>
    <row r="434" spans="1:1">
      <c r="A434" s="46"/>
    </row>
    <row r="435" spans="1:1">
      <c r="A435" s="46"/>
    </row>
    <row r="436" spans="1:1">
      <c r="A436" s="46"/>
    </row>
    <row r="437" spans="1:1">
      <c r="A437" s="46"/>
    </row>
    <row r="438" spans="1:1">
      <c r="A438" s="46"/>
    </row>
    <row r="439" spans="1:1">
      <c r="A439" s="46"/>
    </row>
    <row r="440" spans="1:1">
      <c r="A440" s="46"/>
    </row>
    <row r="441" spans="1:1">
      <c r="A441" s="46"/>
    </row>
    <row r="442" spans="1:1">
      <c r="A442" s="46"/>
    </row>
    <row r="443" spans="1:1">
      <c r="A443" s="46"/>
    </row>
    <row r="444" spans="1:1">
      <c r="A444" s="46"/>
    </row>
    <row r="445" spans="1:1">
      <c r="A445" s="46"/>
    </row>
    <row r="446" spans="1:1">
      <c r="A446" s="46"/>
    </row>
    <row r="447" spans="1:1">
      <c r="A447" s="46"/>
    </row>
    <row r="448" spans="1:1">
      <c r="A448" s="46"/>
    </row>
    <row r="449" spans="1:1">
      <c r="A449" s="46"/>
    </row>
    <row r="450" spans="1:1">
      <c r="A450" s="46"/>
    </row>
    <row r="451" spans="1:1">
      <c r="A451" s="46"/>
    </row>
    <row r="452" spans="1:1">
      <c r="A452" s="46"/>
    </row>
    <row r="453" spans="1:1">
      <c r="A453" s="46"/>
    </row>
    <row r="454" spans="1:1">
      <c r="A454" s="46"/>
    </row>
    <row r="455" spans="1:1">
      <c r="A455" s="46"/>
    </row>
    <row r="456" spans="1:1">
      <c r="A456" s="46"/>
    </row>
    <row r="457" spans="1:1">
      <c r="A457" s="46"/>
    </row>
    <row r="458" spans="1:1">
      <c r="A458" s="46"/>
    </row>
    <row r="459" spans="1:1">
      <c r="A459" s="46"/>
    </row>
    <row r="460" spans="1:1">
      <c r="A460" s="46"/>
    </row>
    <row r="461" spans="1:1">
      <c r="A461" s="46"/>
    </row>
    <row r="462" spans="1:1">
      <c r="A462" s="46"/>
    </row>
    <row r="463" spans="1:1">
      <c r="A463" s="46"/>
    </row>
    <row r="464" spans="1:1">
      <c r="A464" s="46"/>
    </row>
    <row r="465" spans="1:1">
      <c r="A465" s="46"/>
    </row>
    <row r="466" spans="1:1">
      <c r="A466" s="46"/>
    </row>
    <row r="467" spans="1:1">
      <c r="A467" s="46"/>
    </row>
    <row r="468" spans="1:1">
      <c r="A468" s="46"/>
    </row>
    <row r="469" spans="1:1">
      <c r="A469" s="46"/>
    </row>
    <row r="470" spans="1:1">
      <c r="A470" s="46"/>
    </row>
    <row r="471" spans="1:1">
      <c r="A471" s="46"/>
    </row>
    <row r="472" spans="1:1">
      <c r="A472" s="46"/>
    </row>
    <row r="473" spans="1:1">
      <c r="A473" s="46"/>
    </row>
    <row r="474" spans="1:1">
      <c r="A474" s="46"/>
    </row>
    <row r="475" spans="1:1">
      <c r="A475" s="46"/>
    </row>
    <row r="476" spans="1:1">
      <c r="A476" s="46"/>
    </row>
    <row r="477" spans="1:1">
      <c r="A477" s="46"/>
    </row>
    <row r="478" spans="1:1">
      <c r="A478" s="46"/>
    </row>
    <row r="479" spans="1:1">
      <c r="A479" s="46"/>
    </row>
    <row r="480" spans="1:1">
      <c r="A480" s="46"/>
    </row>
    <row r="481" spans="1:1">
      <c r="A481" s="46"/>
    </row>
    <row r="482" spans="1:1">
      <c r="A482" s="46"/>
    </row>
    <row r="483" spans="1:1">
      <c r="A483" s="46"/>
    </row>
    <row r="484" spans="1:1">
      <c r="A484" s="46"/>
    </row>
    <row r="485" spans="1:1">
      <c r="A485" s="46"/>
    </row>
    <row r="486" spans="1:1">
      <c r="A486" s="46"/>
    </row>
    <row r="487" spans="1:1">
      <c r="A487" s="46"/>
    </row>
    <row r="488" spans="1:1">
      <c r="A488" s="46"/>
    </row>
    <row r="489" spans="1:1">
      <c r="A489" s="46"/>
    </row>
    <row r="490" spans="1:1">
      <c r="A490" s="46"/>
    </row>
    <row r="491" spans="1:1">
      <c r="A491" s="46"/>
    </row>
    <row r="492" spans="1:1">
      <c r="A492" s="46"/>
    </row>
    <row r="493" spans="1:1">
      <c r="A493" s="46"/>
    </row>
    <row r="494" spans="1:1">
      <c r="A494" s="46"/>
    </row>
    <row r="495" spans="1:1">
      <c r="A495" s="46"/>
    </row>
    <row r="496" spans="1:1">
      <c r="A496" s="46"/>
    </row>
    <row r="497" spans="1:1">
      <c r="A497" s="46"/>
    </row>
    <row r="498" spans="1:1">
      <c r="A498" s="46"/>
    </row>
    <row r="499" spans="1:1">
      <c r="A499" s="46"/>
    </row>
    <row r="500" spans="1:1">
      <c r="A500" s="46"/>
    </row>
    <row r="501" spans="1:1">
      <c r="A501" s="46"/>
    </row>
    <row r="502" spans="1:1">
      <c r="A502" s="46"/>
    </row>
    <row r="503" spans="1:1">
      <c r="A503" s="46"/>
    </row>
    <row r="504" spans="1:1">
      <c r="A504" s="46"/>
    </row>
    <row r="505" spans="1:1">
      <c r="A505" s="46"/>
    </row>
    <row r="506" spans="1:1">
      <c r="A506" s="46"/>
    </row>
    <row r="507" spans="1:1">
      <c r="A507" s="46"/>
    </row>
    <row r="508" spans="1:1">
      <c r="A508" s="46"/>
    </row>
    <row r="509" spans="1:1">
      <c r="A509" s="46"/>
    </row>
    <row r="510" spans="1:1">
      <c r="A510" s="46"/>
    </row>
    <row r="511" spans="1:1">
      <c r="A511" s="46"/>
    </row>
    <row r="512" spans="1:1">
      <c r="A512" s="46"/>
    </row>
    <row r="513" spans="1:1">
      <c r="A513" s="46"/>
    </row>
    <row r="514" spans="1:1">
      <c r="A514" s="46"/>
    </row>
    <row r="515" spans="1:1">
      <c r="A515" s="46"/>
    </row>
    <row r="516" spans="1:1">
      <c r="A516" s="46"/>
    </row>
    <row r="517" spans="1:1">
      <c r="A517" s="46"/>
    </row>
    <row r="518" spans="1:1">
      <c r="A518" s="46"/>
    </row>
    <row r="519" spans="1:1">
      <c r="A519" s="46"/>
    </row>
    <row r="520" spans="1:1">
      <c r="A520" s="46"/>
    </row>
    <row r="521" spans="1:1">
      <c r="A521" s="46"/>
    </row>
    <row r="522" spans="1:1">
      <c r="A522" s="46"/>
    </row>
    <row r="523" spans="1:1">
      <c r="A523" s="46"/>
    </row>
    <row r="524" spans="1:1">
      <c r="A524" s="46"/>
    </row>
    <row r="525" spans="1:1">
      <c r="A525" s="46"/>
    </row>
    <row r="526" spans="1:1">
      <c r="A526" s="46"/>
    </row>
    <row r="527" spans="1:1">
      <c r="A527" s="46"/>
    </row>
    <row r="528" spans="1:1">
      <c r="A528" s="46"/>
    </row>
    <row r="529" spans="1:1">
      <c r="A529" s="46"/>
    </row>
    <row r="530" spans="1:1">
      <c r="A530" s="46"/>
    </row>
    <row r="531" spans="1:1">
      <c r="A531" s="46"/>
    </row>
    <row r="532" spans="1:1">
      <c r="A532" s="46"/>
    </row>
    <row r="533" spans="1:1">
      <c r="A533" s="46"/>
    </row>
    <row r="534" spans="1:1">
      <c r="A534" s="46"/>
    </row>
    <row r="535" spans="1:1">
      <c r="A535" s="46"/>
    </row>
    <row r="536" spans="1:1">
      <c r="A536" s="46"/>
    </row>
    <row r="537" spans="1:1">
      <c r="A537" s="46"/>
    </row>
    <row r="538" spans="1:1">
      <c r="A538" s="46"/>
    </row>
    <row r="539" spans="1:1">
      <c r="A539" s="46"/>
    </row>
    <row r="540" spans="1:1">
      <c r="A540" s="46"/>
    </row>
    <row r="541" spans="1:1">
      <c r="A541" s="46"/>
    </row>
    <row r="542" spans="1:1">
      <c r="A542" s="46"/>
    </row>
    <row r="543" spans="1:1">
      <c r="A543" s="46"/>
    </row>
    <row r="544" spans="1:1">
      <c r="A544" s="46"/>
    </row>
    <row r="545" spans="1:1">
      <c r="A545" s="46"/>
    </row>
    <row r="546" spans="1:1">
      <c r="A546" s="46"/>
    </row>
    <row r="547" spans="1:1">
      <c r="A547" s="46"/>
    </row>
    <row r="548" spans="1:1">
      <c r="A548" s="46"/>
    </row>
    <row r="549" spans="1:1">
      <c r="A549" s="46"/>
    </row>
    <row r="550" spans="1:1">
      <c r="A550" s="46"/>
    </row>
    <row r="551" spans="1:1">
      <c r="A551" s="46"/>
    </row>
    <row r="552" spans="1:1">
      <c r="A552" s="46"/>
    </row>
    <row r="553" spans="1:1">
      <c r="A553" s="46"/>
    </row>
    <row r="554" spans="1:1">
      <c r="A554" s="46"/>
    </row>
    <row r="555" spans="1:1">
      <c r="A555" s="46"/>
    </row>
    <row r="556" spans="1:1">
      <c r="A556" s="46"/>
    </row>
    <row r="557" spans="1:1">
      <c r="A557" s="46"/>
    </row>
    <row r="558" spans="1:1">
      <c r="A558" s="46"/>
    </row>
    <row r="559" spans="1:1">
      <c r="A559" s="46"/>
    </row>
    <row r="560" spans="1:1">
      <c r="A560" s="46"/>
    </row>
    <row r="561" spans="1:1">
      <c r="A561" s="46"/>
    </row>
    <row r="562" spans="1:1">
      <c r="A562" s="46"/>
    </row>
    <row r="563" spans="1:1">
      <c r="A563" s="46"/>
    </row>
    <row r="564" spans="1:1">
      <c r="A564" s="46"/>
    </row>
    <row r="565" spans="1:1">
      <c r="A565" s="46"/>
    </row>
    <row r="566" spans="1:1">
      <c r="A566" s="46"/>
    </row>
    <row r="567" spans="1:1">
      <c r="A567" s="46"/>
    </row>
    <row r="568" spans="1:1">
      <c r="A568" s="46"/>
    </row>
    <row r="569" spans="1:1">
      <c r="A569" s="46"/>
    </row>
    <row r="570" spans="1:1">
      <c r="A570" s="46"/>
    </row>
    <row r="571" spans="1:1">
      <c r="A571" s="46"/>
    </row>
    <row r="572" spans="1:1">
      <c r="A572" s="46"/>
    </row>
    <row r="573" spans="1:1">
      <c r="A573" s="46"/>
    </row>
    <row r="574" spans="1:1">
      <c r="A574" s="46"/>
    </row>
    <row r="575" spans="1:1">
      <c r="A575" s="46"/>
    </row>
    <row r="576" spans="1:1">
      <c r="A576" s="46"/>
    </row>
    <row r="577" spans="1:1">
      <c r="A577" s="46"/>
    </row>
    <row r="578" spans="1:1">
      <c r="A578" s="46"/>
    </row>
    <row r="579" spans="1:1">
      <c r="A579" s="46"/>
    </row>
    <row r="580" spans="1:1">
      <c r="A580" s="46"/>
    </row>
    <row r="581" spans="1:1">
      <c r="A581" s="46"/>
    </row>
    <row r="582" spans="1:1">
      <c r="A582" s="46"/>
    </row>
    <row r="583" spans="1:1">
      <c r="A583" s="46"/>
    </row>
    <row r="584" spans="1:1">
      <c r="A584" s="46"/>
    </row>
    <row r="585" spans="1:1">
      <c r="A585" s="46"/>
    </row>
    <row r="586" spans="1:1">
      <c r="A586" s="46"/>
    </row>
    <row r="587" spans="1:1">
      <c r="A587" s="46"/>
    </row>
    <row r="588" spans="1:1">
      <c r="A588" s="46"/>
    </row>
    <row r="589" spans="1:1">
      <c r="A589" s="46"/>
    </row>
    <row r="590" spans="1:1">
      <c r="A590" s="46"/>
    </row>
    <row r="591" spans="1:1">
      <c r="A591" s="46"/>
    </row>
    <row r="592" spans="1:1">
      <c r="A592" s="46"/>
    </row>
    <row r="593" spans="1:1">
      <c r="A593" s="46"/>
    </row>
    <row r="594" spans="1:1">
      <c r="A594" s="46"/>
    </row>
    <row r="595" spans="1:1">
      <c r="A595" s="46"/>
    </row>
    <row r="596" spans="1:1">
      <c r="A596" s="46"/>
    </row>
    <row r="597" spans="1:1">
      <c r="A597" s="46"/>
    </row>
    <row r="598" spans="1:1">
      <c r="A598" s="46"/>
    </row>
    <row r="599" spans="1:1">
      <c r="A599" s="46"/>
    </row>
    <row r="600" spans="1:1">
      <c r="A600" s="46"/>
    </row>
    <row r="601" spans="1:1">
      <c r="A601" s="46"/>
    </row>
    <row r="602" spans="1:1">
      <c r="A602" s="46"/>
    </row>
    <row r="603" spans="1:1">
      <c r="A603" s="46"/>
    </row>
    <row r="604" spans="1:1">
      <c r="A604" s="46"/>
    </row>
    <row r="605" spans="1:1">
      <c r="A605" s="46"/>
    </row>
    <row r="606" spans="1:1">
      <c r="A606" s="46"/>
    </row>
    <row r="607" spans="1:1">
      <c r="A607" s="46"/>
    </row>
    <row r="608" spans="1:1">
      <c r="A608" s="46"/>
    </row>
    <row r="609" spans="1:1">
      <c r="A609" s="46"/>
    </row>
    <row r="610" spans="1:1">
      <c r="A610" s="46"/>
    </row>
    <row r="611" spans="1:1">
      <c r="A611" s="46"/>
    </row>
    <row r="612" spans="1:1">
      <c r="A612" s="46"/>
    </row>
    <row r="613" spans="1:1">
      <c r="A613" s="46"/>
    </row>
    <row r="614" spans="1:1">
      <c r="A614" s="46"/>
    </row>
    <row r="615" spans="1:1">
      <c r="A615" s="46"/>
    </row>
    <row r="616" spans="1:1">
      <c r="A616" s="46"/>
    </row>
    <row r="617" spans="1:1">
      <c r="A617" s="46"/>
    </row>
    <row r="618" spans="1:1">
      <c r="A618" s="46"/>
    </row>
    <row r="619" spans="1:1">
      <c r="A619" s="46"/>
    </row>
    <row r="620" spans="1:1">
      <c r="A620" s="46"/>
    </row>
    <row r="621" spans="1:1">
      <c r="A621" s="46"/>
    </row>
    <row r="622" spans="1:1">
      <c r="A622" s="46"/>
    </row>
    <row r="623" spans="1:1">
      <c r="A623" s="46"/>
    </row>
    <row r="624" spans="1:1">
      <c r="A624" s="46"/>
    </row>
    <row r="625" spans="1:1">
      <c r="A625" s="46"/>
    </row>
    <row r="626" spans="1:1">
      <c r="A626" s="46"/>
    </row>
    <row r="627" spans="1:1">
      <c r="A627" s="46"/>
    </row>
    <row r="628" spans="1:1">
      <c r="A628" s="46"/>
    </row>
    <row r="629" spans="1:1">
      <c r="A629" s="46"/>
    </row>
    <row r="630" spans="1:1">
      <c r="A630" s="46"/>
    </row>
    <row r="631" spans="1:1">
      <c r="A631" s="46"/>
    </row>
    <row r="632" spans="1:1">
      <c r="A632" s="46"/>
    </row>
    <row r="633" spans="1:1">
      <c r="A633" s="46"/>
    </row>
    <row r="634" spans="1:1">
      <c r="A634" s="46"/>
    </row>
    <row r="635" spans="1:1">
      <c r="A635" s="46"/>
    </row>
    <row r="636" spans="1:1">
      <c r="A636" s="46"/>
    </row>
    <row r="637" spans="1:1">
      <c r="A637" s="46"/>
    </row>
    <row r="638" spans="1:1">
      <c r="A638" s="46"/>
    </row>
    <row r="639" spans="1:1">
      <c r="A639" s="46"/>
    </row>
    <row r="640" spans="1:1">
      <c r="A640" s="46"/>
    </row>
    <row r="641" spans="1:1">
      <c r="A641" s="46"/>
    </row>
    <row r="642" spans="1:1">
      <c r="A642" s="46"/>
    </row>
    <row r="643" spans="1:1">
      <c r="A643" s="46"/>
    </row>
    <row r="644" spans="1:1">
      <c r="A644" s="46"/>
    </row>
    <row r="645" spans="1:1">
      <c r="A645" s="46"/>
    </row>
    <row r="646" spans="1:1">
      <c r="A646" s="46"/>
    </row>
    <row r="647" spans="1:1">
      <c r="A647" s="46"/>
    </row>
    <row r="648" spans="1:1">
      <c r="A648" s="46"/>
    </row>
    <row r="649" spans="1:1">
      <c r="A649" s="46"/>
    </row>
    <row r="650" spans="1:1">
      <c r="A650" s="46"/>
    </row>
    <row r="651" spans="1:1">
      <c r="A651" s="46"/>
    </row>
    <row r="652" spans="1:1">
      <c r="A652" s="46"/>
    </row>
    <row r="653" spans="1:1">
      <c r="A653" s="46"/>
    </row>
    <row r="654" spans="1:1">
      <c r="A654" s="46"/>
    </row>
    <row r="655" spans="1:1">
      <c r="A655" s="46"/>
    </row>
    <row r="656" spans="1:1">
      <c r="A656" s="46"/>
    </row>
    <row r="657" spans="1:1">
      <c r="A657" s="46"/>
    </row>
    <row r="658" spans="1:1">
      <c r="A658" s="46"/>
    </row>
    <row r="659" spans="1:1">
      <c r="A659" s="46"/>
    </row>
    <row r="660" spans="1:1">
      <c r="A660" s="46"/>
    </row>
    <row r="661" spans="1:1">
      <c r="A661" s="46"/>
    </row>
    <row r="662" spans="1:1">
      <c r="A662" s="46"/>
    </row>
    <row r="663" spans="1:1">
      <c r="A663" s="46"/>
    </row>
    <row r="664" spans="1:1">
      <c r="A664" s="46"/>
    </row>
    <row r="665" spans="1:1">
      <c r="A665" s="46"/>
    </row>
    <row r="666" spans="1:1">
      <c r="A666" s="46"/>
    </row>
    <row r="667" spans="1:1">
      <c r="A667" s="46"/>
    </row>
    <row r="668" spans="1:1">
      <c r="A668" s="46"/>
    </row>
    <row r="669" spans="1:1">
      <c r="A669" s="46"/>
    </row>
    <row r="670" spans="1:1">
      <c r="A670" s="46"/>
    </row>
    <row r="671" spans="1:1">
      <c r="A671" s="46"/>
    </row>
    <row r="672" spans="1:1">
      <c r="A672" s="46"/>
    </row>
    <row r="673" spans="1:1">
      <c r="A673" s="46"/>
    </row>
    <row r="674" spans="1:1">
      <c r="A674" s="46"/>
    </row>
    <row r="675" spans="1:1">
      <c r="A675" s="46"/>
    </row>
    <row r="676" spans="1:1">
      <c r="A676" s="46"/>
    </row>
    <row r="677" spans="1:1">
      <c r="A677" s="46"/>
    </row>
    <row r="678" spans="1:1">
      <c r="A678" s="46"/>
    </row>
    <row r="679" spans="1:1">
      <c r="A679" s="46"/>
    </row>
    <row r="680" spans="1:1">
      <c r="A680" s="46"/>
    </row>
    <row r="681" spans="1:1">
      <c r="A681" s="46"/>
    </row>
    <row r="682" spans="1:1">
      <c r="A682" s="46"/>
    </row>
    <row r="683" spans="1:1">
      <c r="A683" s="46"/>
    </row>
    <row r="684" spans="1:1">
      <c r="A684" s="46"/>
    </row>
    <row r="685" spans="1:1">
      <c r="A685" s="46"/>
    </row>
    <row r="686" spans="1:1">
      <c r="A686" s="46"/>
    </row>
    <row r="687" spans="1:1">
      <c r="A687" s="46"/>
    </row>
    <row r="688" spans="1:1">
      <c r="A688" s="46"/>
    </row>
    <row r="689" spans="1:1">
      <c r="A689" s="46"/>
    </row>
    <row r="690" spans="1:1">
      <c r="A690" s="46"/>
    </row>
    <row r="691" spans="1:1">
      <c r="A691" s="46"/>
    </row>
    <row r="692" spans="1:1">
      <c r="A692" s="46"/>
    </row>
    <row r="693" spans="1:1">
      <c r="A693" s="46"/>
    </row>
    <row r="694" spans="1:1">
      <c r="A694" s="46"/>
    </row>
    <row r="695" spans="1:1">
      <c r="A695" s="46"/>
    </row>
    <row r="696" spans="1:1">
      <c r="A696" s="46"/>
    </row>
    <row r="697" spans="1:1">
      <c r="A697" s="46"/>
    </row>
    <row r="698" spans="1:1">
      <c r="A698" s="46"/>
    </row>
    <row r="699" spans="1:1">
      <c r="A699" s="46"/>
    </row>
    <row r="700" spans="1:1">
      <c r="A700" s="46"/>
    </row>
    <row r="701" spans="1:1">
      <c r="A701" s="46"/>
    </row>
    <row r="702" spans="1:1">
      <c r="A702" s="46"/>
    </row>
    <row r="703" spans="1:1">
      <c r="A703" s="46"/>
    </row>
    <row r="704" spans="1:1">
      <c r="A704" s="46"/>
    </row>
    <row r="705" spans="1:1">
      <c r="A705" s="46"/>
    </row>
    <row r="706" spans="1:1">
      <c r="A706" s="46"/>
    </row>
    <row r="707" spans="1:1">
      <c r="A707" s="46"/>
    </row>
    <row r="708" spans="1:1">
      <c r="A708" s="46"/>
    </row>
    <row r="709" spans="1:1">
      <c r="A709" s="46"/>
    </row>
    <row r="710" spans="1:1">
      <c r="A710" s="46"/>
    </row>
    <row r="711" spans="1:1">
      <c r="A711" s="46"/>
    </row>
    <row r="712" spans="1:1">
      <c r="A712" s="46"/>
    </row>
    <row r="713" spans="1:1">
      <c r="A713" s="46"/>
    </row>
    <row r="714" spans="1:1">
      <c r="A714" s="46"/>
    </row>
    <row r="715" spans="1:1">
      <c r="A715" s="46"/>
    </row>
    <row r="716" spans="1:1">
      <c r="A716" s="46"/>
    </row>
    <row r="717" spans="1:1">
      <c r="A717" s="46"/>
    </row>
    <row r="718" spans="1:1">
      <c r="A718" s="46"/>
    </row>
    <row r="719" spans="1:1">
      <c r="A719" s="46"/>
    </row>
    <row r="720" spans="1:1">
      <c r="A720" s="46"/>
    </row>
    <row r="721" spans="1:1">
      <c r="A721" s="46"/>
    </row>
    <row r="722" spans="1:1">
      <c r="A722" s="46"/>
    </row>
    <row r="723" spans="1:1">
      <c r="A723" s="46"/>
    </row>
    <row r="724" spans="1:1">
      <c r="A724" s="46"/>
    </row>
    <row r="725" spans="1:1">
      <c r="A725" s="46"/>
    </row>
    <row r="726" spans="1:1">
      <c r="A726" s="46"/>
    </row>
    <row r="727" spans="1:1">
      <c r="A727" s="46"/>
    </row>
    <row r="728" spans="1:1">
      <c r="A728" s="46"/>
    </row>
    <row r="729" spans="1:1">
      <c r="A729" s="46"/>
    </row>
    <row r="730" spans="1:1">
      <c r="A730" s="46"/>
    </row>
    <row r="731" spans="1:1">
      <c r="A731" s="46"/>
    </row>
    <row r="732" spans="1:1">
      <c r="A732" s="46"/>
    </row>
    <row r="733" spans="1:1">
      <c r="A733" s="46"/>
    </row>
    <row r="734" spans="1:1">
      <c r="A734" s="46"/>
    </row>
    <row r="735" spans="1:1">
      <c r="A735" s="46"/>
    </row>
    <row r="736" spans="1:1">
      <c r="A736" s="46"/>
    </row>
    <row r="737" spans="1:1">
      <c r="A737" s="46"/>
    </row>
    <row r="738" spans="1:1">
      <c r="A738" s="46"/>
    </row>
    <row r="739" spans="1:1">
      <c r="A739" s="46"/>
    </row>
    <row r="740" spans="1:1">
      <c r="A740" s="46"/>
    </row>
    <row r="741" spans="1:1">
      <c r="A741" s="46"/>
    </row>
    <row r="742" spans="1:1">
      <c r="A742" s="46"/>
    </row>
    <row r="743" spans="1:1">
      <c r="A743" s="46"/>
    </row>
    <row r="744" spans="1:1">
      <c r="A744" s="46"/>
    </row>
    <row r="745" spans="1:1">
      <c r="A745" s="46"/>
    </row>
    <row r="746" spans="1:1">
      <c r="A746" s="46"/>
    </row>
    <row r="747" spans="1:1">
      <c r="A747" s="46"/>
    </row>
    <row r="748" spans="1:1">
      <c r="A748" s="46"/>
    </row>
    <row r="749" spans="1:1">
      <c r="A749" s="46"/>
    </row>
    <row r="750" spans="1:1">
      <c r="A750" s="46"/>
    </row>
    <row r="751" spans="1:1">
      <c r="A751" s="46"/>
    </row>
    <row r="752" spans="1:1">
      <c r="A752" s="46"/>
    </row>
    <row r="753" spans="1:1">
      <c r="A753" s="46"/>
    </row>
    <row r="754" spans="1:1">
      <c r="A754" s="46"/>
    </row>
    <row r="755" spans="1:1">
      <c r="A755" s="46"/>
    </row>
    <row r="756" spans="1:1">
      <c r="A756" s="46"/>
    </row>
    <row r="757" spans="1:1">
      <c r="A757" s="46"/>
    </row>
    <row r="758" spans="1:1">
      <c r="A758" s="46"/>
    </row>
    <row r="759" spans="1:1">
      <c r="A759" s="46"/>
    </row>
    <row r="760" spans="1:1">
      <c r="A760" s="46"/>
    </row>
    <row r="761" spans="1:1">
      <c r="A761" s="46"/>
    </row>
    <row r="762" spans="1:1">
      <c r="A762" s="46"/>
    </row>
    <row r="763" spans="1:1">
      <c r="A763" s="46"/>
    </row>
    <row r="764" spans="1:1">
      <c r="A764" s="46"/>
    </row>
    <row r="765" spans="1:1">
      <c r="A765" s="46"/>
    </row>
    <row r="766" spans="1:1">
      <c r="A766" s="46"/>
    </row>
    <row r="767" spans="1:1">
      <c r="A767" s="46"/>
    </row>
    <row r="768" spans="1:1">
      <c r="A768" s="46"/>
    </row>
    <row r="769" spans="1:1">
      <c r="A769" s="46"/>
    </row>
    <row r="770" spans="1:1">
      <c r="A770" s="46"/>
    </row>
    <row r="771" spans="1:1">
      <c r="A771" s="46"/>
    </row>
    <row r="772" spans="1:1">
      <c r="A772" s="46"/>
    </row>
    <row r="773" spans="1:1">
      <c r="A773" s="46"/>
    </row>
    <row r="774" spans="1:1">
      <c r="A774" s="46"/>
    </row>
    <row r="775" spans="1:1">
      <c r="A775" s="46"/>
    </row>
    <row r="776" spans="1:1">
      <c r="A776" s="46"/>
    </row>
    <row r="777" spans="1:1">
      <c r="A777" s="46"/>
    </row>
    <row r="778" spans="1:1">
      <c r="A778" s="46"/>
    </row>
    <row r="779" spans="1:1">
      <c r="A779" s="46"/>
    </row>
    <row r="780" spans="1:1">
      <c r="A780" s="46"/>
    </row>
    <row r="781" spans="1:1">
      <c r="A781" s="46"/>
    </row>
    <row r="782" spans="1:1">
      <c r="A782" s="46"/>
    </row>
    <row r="783" spans="1:1">
      <c r="A783" s="46"/>
    </row>
    <row r="784" spans="1:1">
      <c r="A784" s="46"/>
    </row>
    <row r="785" spans="1:1">
      <c r="A785" s="46"/>
    </row>
    <row r="786" spans="1:1">
      <c r="A786" s="46"/>
    </row>
    <row r="787" spans="1:1">
      <c r="A787" s="46"/>
    </row>
    <row r="788" spans="1:1">
      <c r="A788" s="46"/>
    </row>
    <row r="789" spans="1:1">
      <c r="A789" s="46"/>
    </row>
    <row r="790" spans="1:1">
      <c r="A790" s="46"/>
    </row>
    <row r="791" spans="1:1">
      <c r="A791" s="46"/>
    </row>
    <row r="792" spans="1:1">
      <c r="A792" s="46"/>
    </row>
    <row r="793" spans="1:1">
      <c r="A793" s="46"/>
    </row>
    <row r="794" spans="1:1">
      <c r="A794" s="46"/>
    </row>
    <row r="795" spans="1:1">
      <c r="A795" s="46"/>
    </row>
    <row r="796" spans="1:1">
      <c r="A796" s="46"/>
    </row>
    <row r="797" spans="1:1">
      <c r="A797" s="46"/>
    </row>
    <row r="798" spans="1:1">
      <c r="A798" s="46"/>
    </row>
    <row r="799" spans="1:1">
      <c r="A799" s="46"/>
    </row>
    <row r="800" spans="1:1">
      <c r="A800" s="46"/>
    </row>
    <row r="801" spans="1:1">
      <c r="A801" s="46"/>
    </row>
    <row r="802" spans="1:1">
      <c r="A802" s="46"/>
    </row>
  </sheetData>
  <autoFilter ref="D4:AC4"/>
  <sortState ref="D6:AA109">
    <sortCondition ref="D6:D109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/>
  <dimension ref="B2:F221"/>
  <sheetViews>
    <sheetView workbookViewId="0">
      <selection activeCell="F235" sqref="F235"/>
    </sheetView>
  </sheetViews>
  <sheetFormatPr defaultRowHeight="15"/>
  <cols>
    <col min="1" max="1" width="3.28515625" customWidth="1"/>
    <col min="2" max="2" width="20.140625" bestFit="1" customWidth="1"/>
    <col min="3" max="3" width="11.5703125" customWidth="1"/>
    <col min="4" max="4" width="11.140625" customWidth="1"/>
    <col min="5" max="5" width="16.7109375" customWidth="1"/>
    <col min="6" max="6" width="36.28515625" bestFit="1" customWidth="1"/>
  </cols>
  <sheetData>
    <row r="2" spans="2:6">
      <c r="B2" s="10" t="s">
        <v>59</v>
      </c>
      <c r="C2" s="10" t="s">
        <v>60</v>
      </c>
      <c r="D2" s="11" t="s">
        <v>61</v>
      </c>
      <c r="E2" s="10" t="s">
        <v>62</v>
      </c>
      <c r="F2" s="10" t="s">
        <v>63</v>
      </c>
    </row>
    <row r="3" spans="2:6" hidden="1">
      <c r="B3" s="15" t="s">
        <v>64</v>
      </c>
      <c r="C3" s="13" t="s">
        <v>65</v>
      </c>
      <c r="D3" s="13" t="s">
        <v>49</v>
      </c>
      <c r="E3" s="14">
        <v>230</v>
      </c>
      <c r="F3" s="13" t="s">
        <v>66</v>
      </c>
    </row>
    <row r="4" spans="2:6" hidden="1">
      <c r="B4" s="9" t="s">
        <v>67</v>
      </c>
      <c r="C4" s="8" t="s">
        <v>65</v>
      </c>
      <c r="D4" s="8" t="s">
        <v>68</v>
      </c>
      <c r="E4" s="12">
        <v>231</v>
      </c>
      <c r="F4" s="8" t="s">
        <v>66</v>
      </c>
    </row>
    <row r="5" spans="2:6" hidden="1">
      <c r="B5" s="15" t="s">
        <v>69</v>
      </c>
      <c r="C5" s="13" t="s">
        <v>65</v>
      </c>
      <c r="D5" s="13" t="s">
        <v>70</v>
      </c>
      <c r="E5" s="14">
        <v>334</v>
      </c>
      <c r="F5" s="13" t="s">
        <v>71</v>
      </c>
    </row>
    <row r="6" spans="2:6" hidden="1">
      <c r="B6" s="9" t="s">
        <v>72</v>
      </c>
      <c r="C6" s="8" t="s">
        <v>65</v>
      </c>
      <c r="D6" s="8" t="s">
        <v>73</v>
      </c>
      <c r="E6" s="12">
        <v>335</v>
      </c>
      <c r="F6" s="8" t="s">
        <v>74</v>
      </c>
    </row>
    <row r="7" spans="2:6" hidden="1">
      <c r="B7" s="15" t="s">
        <v>75</v>
      </c>
      <c r="C7" s="13" t="s">
        <v>65</v>
      </c>
      <c r="D7" s="13" t="s">
        <v>76</v>
      </c>
      <c r="E7" s="14">
        <v>336</v>
      </c>
      <c r="F7" s="13" t="s">
        <v>77</v>
      </c>
    </row>
    <row r="8" spans="2:6" hidden="1">
      <c r="B8" s="9" t="s">
        <v>78</v>
      </c>
      <c r="C8" s="8" t="s">
        <v>79</v>
      </c>
      <c r="D8" s="8" t="s">
        <v>49</v>
      </c>
      <c r="E8" s="12">
        <v>216</v>
      </c>
      <c r="F8" s="8" t="s">
        <v>80</v>
      </c>
    </row>
    <row r="9" spans="2:6" hidden="1">
      <c r="B9" s="15" t="s">
        <v>81</v>
      </c>
      <c r="C9" s="13" t="s">
        <v>79</v>
      </c>
      <c r="D9" s="13" t="s">
        <v>68</v>
      </c>
      <c r="E9" s="14">
        <v>217</v>
      </c>
      <c r="F9" s="13" t="s">
        <v>80</v>
      </c>
    </row>
    <row r="10" spans="2:6" hidden="1">
      <c r="B10" s="9" t="s">
        <v>82</v>
      </c>
      <c r="C10" s="8" t="s">
        <v>83</v>
      </c>
      <c r="D10" s="8" t="s">
        <v>73</v>
      </c>
      <c r="E10" s="12">
        <v>1</v>
      </c>
      <c r="F10" s="8" t="s">
        <v>84</v>
      </c>
    </row>
    <row r="11" spans="2:6" hidden="1">
      <c r="B11" s="15" t="s">
        <v>85</v>
      </c>
      <c r="C11" s="13" t="s">
        <v>83</v>
      </c>
      <c r="D11" s="13" t="s">
        <v>68</v>
      </c>
      <c r="E11" s="14">
        <v>95</v>
      </c>
      <c r="F11" s="13" t="s">
        <v>84</v>
      </c>
    </row>
    <row r="12" spans="2:6" hidden="1">
      <c r="B12" s="9" t="s">
        <v>86</v>
      </c>
      <c r="C12" s="8" t="s">
        <v>83</v>
      </c>
      <c r="D12" s="8" t="s">
        <v>73</v>
      </c>
      <c r="E12" s="12">
        <v>148</v>
      </c>
      <c r="F12" s="8" t="s">
        <v>84</v>
      </c>
    </row>
    <row r="13" spans="2:6" hidden="1">
      <c r="B13" s="15" t="s">
        <v>87</v>
      </c>
      <c r="C13" s="13" t="s">
        <v>83</v>
      </c>
      <c r="D13" s="13" t="s">
        <v>88</v>
      </c>
      <c r="E13" s="14">
        <v>159</v>
      </c>
      <c r="F13" s="13" t="s">
        <v>84</v>
      </c>
    </row>
    <row r="14" spans="2:6" hidden="1">
      <c r="B14" s="9" t="s">
        <v>89</v>
      </c>
      <c r="C14" s="8" t="s">
        <v>83</v>
      </c>
      <c r="D14" s="8" t="s">
        <v>90</v>
      </c>
      <c r="E14" s="12">
        <v>268</v>
      </c>
      <c r="F14" s="8" t="s">
        <v>84</v>
      </c>
    </row>
    <row r="15" spans="2:6" hidden="1">
      <c r="B15" s="15" t="s">
        <v>91</v>
      </c>
      <c r="C15" s="13" t="s">
        <v>83</v>
      </c>
      <c r="D15" s="13" t="s">
        <v>90</v>
      </c>
      <c r="E15" s="14">
        <v>272</v>
      </c>
      <c r="F15" s="13" t="s">
        <v>84</v>
      </c>
    </row>
    <row r="16" spans="2:6" hidden="1">
      <c r="B16" s="9" t="s">
        <v>92</v>
      </c>
      <c r="C16" s="8" t="s">
        <v>83</v>
      </c>
      <c r="D16" s="8" t="s">
        <v>68</v>
      </c>
      <c r="E16" s="12">
        <v>291</v>
      </c>
      <c r="F16" s="8" t="s">
        <v>84</v>
      </c>
    </row>
    <row r="17" spans="2:6" hidden="1">
      <c r="B17" s="15" t="s">
        <v>93</v>
      </c>
      <c r="C17" s="13" t="s">
        <v>83</v>
      </c>
      <c r="D17" s="13" t="s">
        <v>73</v>
      </c>
      <c r="E17" s="14">
        <v>302</v>
      </c>
      <c r="F17" s="13" t="s">
        <v>94</v>
      </c>
    </row>
    <row r="18" spans="2:6" hidden="1">
      <c r="B18" s="9" t="s">
        <v>95</v>
      </c>
      <c r="C18" s="8" t="s">
        <v>83</v>
      </c>
      <c r="D18" s="8" t="s">
        <v>49</v>
      </c>
      <c r="E18" s="12">
        <v>303</v>
      </c>
      <c r="F18" s="8" t="s">
        <v>96</v>
      </c>
    </row>
    <row r="19" spans="2:6" hidden="1">
      <c r="B19" s="15" t="s">
        <v>97</v>
      </c>
      <c r="C19" s="13" t="s">
        <v>83</v>
      </c>
      <c r="D19" s="13" t="s">
        <v>70</v>
      </c>
      <c r="E19" s="14">
        <v>306</v>
      </c>
      <c r="F19" s="13" t="s">
        <v>98</v>
      </c>
    </row>
    <row r="20" spans="2:6" hidden="1">
      <c r="B20" s="9" t="s">
        <v>99</v>
      </c>
      <c r="C20" s="8" t="s">
        <v>100</v>
      </c>
      <c r="D20" s="8" t="s">
        <v>49</v>
      </c>
      <c r="E20" s="12">
        <v>183</v>
      </c>
      <c r="F20" s="8" t="s">
        <v>101</v>
      </c>
    </row>
    <row r="21" spans="2:6" hidden="1">
      <c r="B21" s="15" t="s">
        <v>102</v>
      </c>
      <c r="C21" s="13" t="s">
        <v>100</v>
      </c>
      <c r="D21" s="13" t="s">
        <v>68</v>
      </c>
      <c r="E21" s="14">
        <v>184</v>
      </c>
      <c r="F21" s="13" t="s">
        <v>101</v>
      </c>
    </row>
    <row r="22" spans="2:6" hidden="1">
      <c r="B22" s="9" t="s">
        <v>103</v>
      </c>
      <c r="C22" s="8" t="s">
        <v>104</v>
      </c>
      <c r="D22" s="8" t="s">
        <v>49</v>
      </c>
      <c r="E22" s="12">
        <v>316</v>
      </c>
      <c r="F22" s="8" t="s">
        <v>105</v>
      </c>
    </row>
    <row r="23" spans="2:6" hidden="1">
      <c r="B23" s="15" t="s">
        <v>106</v>
      </c>
      <c r="C23" s="13" t="s">
        <v>104</v>
      </c>
      <c r="D23" s="13" t="s">
        <v>68</v>
      </c>
      <c r="E23" s="14">
        <v>318</v>
      </c>
      <c r="F23" s="13" t="s">
        <v>107</v>
      </c>
    </row>
    <row r="24" spans="2:6" hidden="1">
      <c r="B24" s="9" t="s">
        <v>108</v>
      </c>
      <c r="C24" s="8" t="s">
        <v>109</v>
      </c>
      <c r="D24" s="8" t="s">
        <v>110</v>
      </c>
      <c r="E24" s="12">
        <v>89</v>
      </c>
      <c r="F24" s="8" t="s">
        <v>111</v>
      </c>
    </row>
    <row r="25" spans="2:6" hidden="1">
      <c r="B25" s="15" t="s">
        <v>112</v>
      </c>
      <c r="C25" s="13" t="s">
        <v>113</v>
      </c>
      <c r="D25" s="13" t="s">
        <v>49</v>
      </c>
      <c r="E25" s="14">
        <v>4</v>
      </c>
      <c r="F25" s="13" t="s">
        <v>114</v>
      </c>
    </row>
    <row r="26" spans="2:6" hidden="1">
      <c r="B26" s="9" t="s">
        <v>115</v>
      </c>
      <c r="C26" s="8" t="s">
        <v>113</v>
      </c>
      <c r="D26" s="8" t="s">
        <v>68</v>
      </c>
      <c r="E26" s="12">
        <v>135</v>
      </c>
      <c r="F26" s="8" t="s">
        <v>114</v>
      </c>
    </row>
    <row r="27" spans="2:6" hidden="1">
      <c r="B27" s="15" t="s">
        <v>116</v>
      </c>
      <c r="C27" s="13" t="s">
        <v>113</v>
      </c>
      <c r="D27" s="13" t="s">
        <v>88</v>
      </c>
      <c r="E27" s="14">
        <v>147</v>
      </c>
      <c r="F27" s="13" t="s">
        <v>114</v>
      </c>
    </row>
    <row r="28" spans="2:6" hidden="1">
      <c r="B28" s="9" t="s">
        <v>117</v>
      </c>
      <c r="C28" s="8" t="s">
        <v>113</v>
      </c>
      <c r="D28" s="8" t="s">
        <v>90</v>
      </c>
      <c r="E28" s="12">
        <v>257</v>
      </c>
      <c r="F28" s="8" t="s">
        <v>114</v>
      </c>
    </row>
    <row r="29" spans="2:6" hidden="1">
      <c r="B29" s="15" t="s">
        <v>118</v>
      </c>
      <c r="C29" s="13" t="s">
        <v>113</v>
      </c>
      <c r="D29" s="13" t="s">
        <v>90</v>
      </c>
      <c r="E29" s="14">
        <v>263</v>
      </c>
      <c r="F29" s="13" t="s">
        <v>114</v>
      </c>
    </row>
    <row r="30" spans="2:6" hidden="1">
      <c r="B30" s="9" t="s">
        <v>119</v>
      </c>
      <c r="C30" s="8" t="s">
        <v>113</v>
      </c>
      <c r="D30" s="8" t="s">
        <v>68</v>
      </c>
      <c r="E30" s="12">
        <v>292</v>
      </c>
      <c r="F30" s="8" t="s">
        <v>114</v>
      </c>
    </row>
    <row r="31" spans="2:6" hidden="1">
      <c r="B31" s="15" t="s">
        <v>120</v>
      </c>
      <c r="C31" s="13" t="s">
        <v>113</v>
      </c>
      <c r="D31" s="13" t="s">
        <v>70</v>
      </c>
      <c r="E31" s="14">
        <v>330</v>
      </c>
      <c r="F31" s="13" t="s">
        <v>121</v>
      </c>
    </row>
    <row r="32" spans="2:6" hidden="1">
      <c r="B32" s="9" t="s">
        <v>122</v>
      </c>
      <c r="C32" s="8" t="s">
        <v>123</v>
      </c>
      <c r="D32" s="8" t="s">
        <v>73</v>
      </c>
      <c r="E32" s="12">
        <v>21</v>
      </c>
      <c r="F32" s="8" t="s">
        <v>124</v>
      </c>
    </row>
    <row r="33" spans="2:6" hidden="1">
      <c r="B33" s="15" t="s">
        <v>125</v>
      </c>
      <c r="C33" s="13" t="s">
        <v>123</v>
      </c>
      <c r="D33" s="13" t="s">
        <v>68</v>
      </c>
      <c r="E33" s="14">
        <v>93</v>
      </c>
      <c r="F33" s="13" t="s">
        <v>124</v>
      </c>
    </row>
    <row r="34" spans="2:6" hidden="1">
      <c r="B34" s="9" t="s">
        <v>126</v>
      </c>
      <c r="C34" s="8" t="s">
        <v>123</v>
      </c>
      <c r="D34" s="8" t="s">
        <v>88</v>
      </c>
      <c r="E34" s="12">
        <v>234</v>
      </c>
      <c r="F34" s="8" t="s">
        <v>124</v>
      </c>
    </row>
    <row r="35" spans="2:6" hidden="1">
      <c r="B35" s="15" t="s">
        <v>127</v>
      </c>
      <c r="C35" s="13" t="s">
        <v>123</v>
      </c>
      <c r="D35" s="13" t="s">
        <v>49</v>
      </c>
      <c r="E35" s="14">
        <v>254</v>
      </c>
      <c r="F35" s="13" t="s">
        <v>128</v>
      </c>
    </row>
    <row r="36" spans="2:6" hidden="1">
      <c r="B36" s="9" t="s">
        <v>129</v>
      </c>
      <c r="C36" s="8" t="s">
        <v>123</v>
      </c>
      <c r="D36" s="8" t="s">
        <v>90</v>
      </c>
      <c r="E36" s="12">
        <v>259</v>
      </c>
      <c r="F36" s="8" t="s">
        <v>124</v>
      </c>
    </row>
    <row r="37" spans="2:6" hidden="1">
      <c r="B37" s="15" t="s">
        <v>130</v>
      </c>
      <c r="C37" s="13" t="s">
        <v>123</v>
      </c>
      <c r="D37" s="13" t="s">
        <v>90</v>
      </c>
      <c r="E37" s="14">
        <v>265</v>
      </c>
      <c r="F37" s="13" t="s">
        <v>124</v>
      </c>
    </row>
    <row r="38" spans="2:6" hidden="1">
      <c r="B38" s="9" t="s">
        <v>131</v>
      </c>
      <c r="C38" s="8" t="s">
        <v>123</v>
      </c>
      <c r="D38" s="8" t="s">
        <v>68</v>
      </c>
      <c r="E38" s="12">
        <v>293</v>
      </c>
      <c r="F38" s="8" t="s">
        <v>124</v>
      </c>
    </row>
    <row r="39" spans="2:6" hidden="1">
      <c r="B39" s="15" t="s">
        <v>132</v>
      </c>
      <c r="C39" s="13" t="s">
        <v>123</v>
      </c>
      <c r="D39" s="13" t="s">
        <v>70</v>
      </c>
      <c r="E39" s="14">
        <v>340</v>
      </c>
      <c r="F39" s="13" t="s">
        <v>133</v>
      </c>
    </row>
    <row r="40" spans="2:6" hidden="1">
      <c r="B40" s="9" t="s">
        <v>134</v>
      </c>
      <c r="C40" s="8" t="s">
        <v>135</v>
      </c>
      <c r="D40" s="8" t="s">
        <v>73</v>
      </c>
      <c r="E40" s="12">
        <v>193</v>
      </c>
      <c r="F40" s="8" t="s">
        <v>136</v>
      </c>
    </row>
    <row r="41" spans="2:6" hidden="1">
      <c r="B41" s="15" t="s">
        <v>137</v>
      </c>
      <c r="C41" s="13" t="s">
        <v>135</v>
      </c>
      <c r="D41" s="13" t="s">
        <v>68</v>
      </c>
      <c r="E41" s="14">
        <v>194</v>
      </c>
      <c r="F41" s="13" t="s">
        <v>136</v>
      </c>
    </row>
    <row r="42" spans="2:6" hidden="1">
      <c r="B42" s="9" t="s">
        <v>138</v>
      </c>
      <c r="C42" s="8" t="s">
        <v>139</v>
      </c>
      <c r="D42" s="8" t="s">
        <v>140</v>
      </c>
      <c r="E42" s="12">
        <v>326</v>
      </c>
      <c r="F42" s="8" t="s">
        <v>141</v>
      </c>
    </row>
    <row r="43" spans="2:6" hidden="1">
      <c r="B43" s="15" t="s">
        <v>142</v>
      </c>
      <c r="C43" s="13" t="s">
        <v>143</v>
      </c>
      <c r="D43" s="13" t="s">
        <v>76</v>
      </c>
      <c r="E43" s="14">
        <v>60</v>
      </c>
      <c r="F43" s="13" t="s">
        <v>144</v>
      </c>
    </row>
    <row r="44" spans="2:6" hidden="1">
      <c r="B44" s="9" t="s">
        <v>145</v>
      </c>
      <c r="C44" s="8" t="s">
        <v>143</v>
      </c>
      <c r="D44" s="8" t="s">
        <v>68</v>
      </c>
      <c r="E44" s="12">
        <v>149</v>
      </c>
      <c r="F44" s="8" t="s">
        <v>144</v>
      </c>
    </row>
    <row r="45" spans="2:6" hidden="1">
      <c r="B45" s="15" t="s">
        <v>146</v>
      </c>
      <c r="C45" s="13" t="s">
        <v>143</v>
      </c>
      <c r="D45" s="13" t="s">
        <v>49</v>
      </c>
      <c r="E45" s="14">
        <v>181</v>
      </c>
      <c r="F45" s="13" t="s">
        <v>144</v>
      </c>
    </row>
    <row r="46" spans="2:6" hidden="1">
      <c r="B46" s="9" t="s">
        <v>147</v>
      </c>
      <c r="C46" s="8" t="s">
        <v>143</v>
      </c>
      <c r="D46" s="8" t="s">
        <v>76</v>
      </c>
      <c r="E46" s="12">
        <v>182</v>
      </c>
      <c r="F46" s="8" t="s">
        <v>144</v>
      </c>
    </row>
    <row r="47" spans="2:6" hidden="1">
      <c r="B47" s="15" t="s">
        <v>148</v>
      </c>
      <c r="C47" s="13" t="s">
        <v>143</v>
      </c>
      <c r="D47" s="13" t="s">
        <v>49</v>
      </c>
      <c r="E47" s="14">
        <v>200</v>
      </c>
      <c r="F47" s="13" t="s">
        <v>144</v>
      </c>
    </row>
    <row r="48" spans="2:6" hidden="1">
      <c r="B48" s="9" t="s">
        <v>149</v>
      </c>
      <c r="C48" s="8" t="s">
        <v>143</v>
      </c>
      <c r="D48" s="8" t="s">
        <v>150</v>
      </c>
      <c r="E48" s="12">
        <v>204</v>
      </c>
      <c r="F48" s="8" t="s">
        <v>144</v>
      </c>
    </row>
    <row r="49" spans="2:6" hidden="1">
      <c r="B49" s="15" t="s">
        <v>151</v>
      </c>
      <c r="C49" s="13" t="s">
        <v>143</v>
      </c>
      <c r="D49" s="13" t="s">
        <v>88</v>
      </c>
      <c r="E49" s="14">
        <v>228</v>
      </c>
      <c r="F49" s="13" t="s">
        <v>144</v>
      </c>
    </row>
    <row r="50" spans="2:6" hidden="1">
      <c r="B50" s="9" t="s">
        <v>152</v>
      </c>
      <c r="C50" s="8" t="s">
        <v>143</v>
      </c>
      <c r="D50" s="8" t="s">
        <v>140</v>
      </c>
      <c r="E50" s="12">
        <v>328</v>
      </c>
      <c r="F50" s="8" t="s">
        <v>153</v>
      </c>
    </row>
    <row r="51" spans="2:6" hidden="1">
      <c r="B51" s="15" t="s">
        <v>154</v>
      </c>
      <c r="C51" s="13" t="s">
        <v>143</v>
      </c>
      <c r="D51" s="13" t="s">
        <v>150</v>
      </c>
      <c r="E51" s="14">
        <v>362</v>
      </c>
      <c r="F51" s="13" t="s">
        <v>155</v>
      </c>
    </row>
    <row r="52" spans="2:6" hidden="1">
      <c r="B52" s="9" t="s">
        <v>156</v>
      </c>
      <c r="C52" s="8" t="s">
        <v>157</v>
      </c>
      <c r="D52" s="8" t="s">
        <v>49</v>
      </c>
      <c r="E52" s="12">
        <v>190</v>
      </c>
      <c r="F52" s="8" t="s">
        <v>158</v>
      </c>
    </row>
    <row r="53" spans="2:6" hidden="1">
      <c r="B53" s="15" t="s">
        <v>159</v>
      </c>
      <c r="C53" s="13" t="s">
        <v>157</v>
      </c>
      <c r="D53" s="13" t="s">
        <v>160</v>
      </c>
      <c r="E53" s="14">
        <v>191</v>
      </c>
      <c r="F53" s="13" t="s">
        <v>158</v>
      </c>
    </row>
    <row r="54" spans="2:6" hidden="1">
      <c r="B54" s="9" t="s">
        <v>161</v>
      </c>
      <c r="C54" s="8" t="s">
        <v>157</v>
      </c>
      <c r="D54" s="8" t="s">
        <v>68</v>
      </c>
      <c r="E54" s="12">
        <v>192</v>
      </c>
      <c r="F54" s="8" t="s">
        <v>158</v>
      </c>
    </row>
    <row r="55" spans="2:6" hidden="1">
      <c r="B55" s="15" t="s">
        <v>162</v>
      </c>
      <c r="C55" s="13" t="s">
        <v>157</v>
      </c>
      <c r="D55" s="13" t="s">
        <v>88</v>
      </c>
      <c r="E55" s="14">
        <v>329</v>
      </c>
      <c r="F55" s="13" t="s">
        <v>163</v>
      </c>
    </row>
    <row r="56" spans="2:6" hidden="1">
      <c r="B56" s="9" t="s">
        <v>164</v>
      </c>
      <c r="C56" s="8" t="s">
        <v>165</v>
      </c>
      <c r="D56" s="8" t="s">
        <v>73</v>
      </c>
      <c r="E56" s="12">
        <v>37</v>
      </c>
      <c r="F56" s="8" t="s">
        <v>166</v>
      </c>
    </row>
    <row r="57" spans="2:6" hidden="1">
      <c r="B57" s="15" t="s">
        <v>167</v>
      </c>
      <c r="C57" s="13" t="s">
        <v>165</v>
      </c>
      <c r="D57" s="13" t="s">
        <v>68</v>
      </c>
      <c r="E57" s="14">
        <v>138</v>
      </c>
      <c r="F57" s="13" t="s">
        <v>166</v>
      </c>
    </row>
    <row r="58" spans="2:6" hidden="1">
      <c r="B58" s="9" t="s">
        <v>168</v>
      </c>
      <c r="C58" s="8" t="s">
        <v>165</v>
      </c>
      <c r="D58" s="8" t="s">
        <v>68</v>
      </c>
      <c r="E58" s="12">
        <v>296</v>
      </c>
      <c r="F58" s="8" t="s">
        <v>166</v>
      </c>
    </row>
    <row r="59" spans="2:6" hidden="1">
      <c r="B59" s="15" t="s">
        <v>169</v>
      </c>
      <c r="C59" s="13" t="s">
        <v>165</v>
      </c>
      <c r="D59" s="13" t="s">
        <v>49</v>
      </c>
      <c r="E59" s="14">
        <v>319</v>
      </c>
      <c r="F59" s="13" t="s">
        <v>170</v>
      </c>
    </row>
    <row r="60" spans="2:6" hidden="1">
      <c r="B60" s="9" t="s">
        <v>171</v>
      </c>
      <c r="C60" s="8" t="s">
        <v>165</v>
      </c>
      <c r="D60" s="8" t="s">
        <v>73</v>
      </c>
      <c r="E60" s="12">
        <v>320</v>
      </c>
      <c r="F60" s="8" t="s">
        <v>172</v>
      </c>
    </row>
    <row r="61" spans="2:6" hidden="1">
      <c r="B61" s="15" t="s">
        <v>173</v>
      </c>
      <c r="C61" s="13" t="s">
        <v>174</v>
      </c>
      <c r="D61" s="13" t="s">
        <v>73</v>
      </c>
      <c r="E61" s="14">
        <v>5</v>
      </c>
      <c r="F61" s="13" t="s">
        <v>175</v>
      </c>
    </row>
    <row r="62" spans="2:6" hidden="1">
      <c r="B62" s="9" t="s">
        <v>176</v>
      </c>
      <c r="C62" s="8" t="s">
        <v>174</v>
      </c>
      <c r="D62" s="8" t="s">
        <v>68</v>
      </c>
      <c r="E62" s="12">
        <v>94</v>
      </c>
      <c r="F62" s="8" t="s">
        <v>175</v>
      </c>
    </row>
    <row r="63" spans="2:6" hidden="1">
      <c r="B63" s="15" t="s">
        <v>177</v>
      </c>
      <c r="C63" s="13" t="s">
        <v>174</v>
      </c>
      <c r="D63" s="13" t="s">
        <v>88</v>
      </c>
      <c r="E63" s="14">
        <v>186</v>
      </c>
      <c r="F63" s="13" t="s">
        <v>175</v>
      </c>
    </row>
    <row r="64" spans="2:6" hidden="1">
      <c r="B64" s="9" t="s">
        <v>178</v>
      </c>
      <c r="C64" s="8" t="s">
        <v>174</v>
      </c>
      <c r="D64" s="8" t="s">
        <v>68</v>
      </c>
      <c r="E64" s="12">
        <v>294</v>
      </c>
      <c r="F64" s="8" t="s">
        <v>175</v>
      </c>
    </row>
    <row r="65" spans="2:6" hidden="1">
      <c r="B65" s="15" t="s">
        <v>179</v>
      </c>
      <c r="C65" s="13" t="s">
        <v>174</v>
      </c>
      <c r="D65" s="13" t="s">
        <v>70</v>
      </c>
      <c r="E65" s="14">
        <v>337</v>
      </c>
      <c r="F65" s="13" t="s">
        <v>180</v>
      </c>
    </row>
    <row r="66" spans="2:6" hidden="1">
      <c r="B66" s="9" t="s">
        <v>181</v>
      </c>
      <c r="C66" s="8" t="s">
        <v>174</v>
      </c>
      <c r="D66" s="8" t="s">
        <v>49</v>
      </c>
      <c r="E66" s="12">
        <v>338</v>
      </c>
      <c r="F66" s="8" t="s">
        <v>182</v>
      </c>
    </row>
    <row r="67" spans="2:6" hidden="1">
      <c r="B67" s="15" t="s">
        <v>183</v>
      </c>
      <c r="C67" s="13" t="s">
        <v>174</v>
      </c>
      <c r="D67" s="13" t="s">
        <v>73</v>
      </c>
      <c r="E67" s="14">
        <v>339</v>
      </c>
      <c r="F67" s="13" t="s">
        <v>184</v>
      </c>
    </row>
    <row r="68" spans="2:6" hidden="1">
      <c r="B68" s="9" t="s">
        <v>185</v>
      </c>
      <c r="C68" s="8" t="s">
        <v>186</v>
      </c>
      <c r="D68" s="8" t="s">
        <v>49</v>
      </c>
      <c r="E68" s="12">
        <v>173</v>
      </c>
      <c r="F68" s="8" t="s">
        <v>187</v>
      </c>
    </row>
    <row r="69" spans="2:6">
      <c r="B69" s="15" t="s">
        <v>6</v>
      </c>
      <c r="C69" s="13" t="s">
        <v>188</v>
      </c>
      <c r="D69" s="13" t="s">
        <v>73</v>
      </c>
      <c r="E69" s="14">
        <v>45</v>
      </c>
      <c r="F69" s="13" t="s">
        <v>189</v>
      </c>
    </row>
    <row r="70" spans="2:6">
      <c r="B70" s="9" t="s">
        <v>190</v>
      </c>
      <c r="C70" s="8" t="s">
        <v>188</v>
      </c>
      <c r="D70" s="8" t="s">
        <v>68</v>
      </c>
      <c r="E70" s="12">
        <v>92</v>
      </c>
      <c r="F70" s="8" t="s">
        <v>191</v>
      </c>
    </row>
    <row r="71" spans="2:6">
      <c r="B71" s="15" t="s">
        <v>5</v>
      </c>
      <c r="C71" s="13" t="s">
        <v>188</v>
      </c>
      <c r="D71" s="13" t="s">
        <v>88</v>
      </c>
      <c r="E71" s="14">
        <v>133</v>
      </c>
      <c r="F71" s="13" t="s">
        <v>191</v>
      </c>
    </row>
    <row r="72" spans="2:6">
      <c r="B72" s="9" t="s">
        <v>192</v>
      </c>
      <c r="C72" s="8" t="s">
        <v>188</v>
      </c>
      <c r="D72" s="8" t="s">
        <v>90</v>
      </c>
      <c r="E72" s="12">
        <v>169</v>
      </c>
      <c r="F72" s="8" t="s">
        <v>191</v>
      </c>
    </row>
    <row r="73" spans="2:6">
      <c r="B73" s="15" t="s">
        <v>3</v>
      </c>
      <c r="C73" s="13" t="s">
        <v>188</v>
      </c>
      <c r="D73" s="13" t="s">
        <v>49</v>
      </c>
      <c r="E73" s="14">
        <v>201</v>
      </c>
      <c r="F73" s="13" t="s">
        <v>191</v>
      </c>
    </row>
    <row r="74" spans="2:6">
      <c r="B74" s="9" t="s">
        <v>4</v>
      </c>
      <c r="C74" s="8" t="s">
        <v>188</v>
      </c>
      <c r="D74" s="8" t="s">
        <v>70</v>
      </c>
      <c r="E74" s="12">
        <v>232</v>
      </c>
      <c r="F74" s="8" t="s">
        <v>191</v>
      </c>
    </row>
    <row r="75" spans="2:6">
      <c r="B75" s="15" t="s">
        <v>193</v>
      </c>
      <c r="C75" s="13" t="s">
        <v>188</v>
      </c>
      <c r="D75" s="13" t="s">
        <v>90</v>
      </c>
      <c r="E75" s="14">
        <v>261</v>
      </c>
      <c r="F75" s="13" t="s">
        <v>191</v>
      </c>
    </row>
    <row r="76" spans="2:6">
      <c r="B76" s="9" t="s">
        <v>194</v>
      </c>
      <c r="C76" s="8" t="s">
        <v>188</v>
      </c>
      <c r="D76" s="8" t="s">
        <v>76</v>
      </c>
      <c r="E76" s="12">
        <v>314</v>
      </c>
      <c r="F76" s="8" t="s">
        <v>195</v>
      </c>
    </row>
    <row r="77" spans="2:6" hidden="1">
      <c r="B77" s="15" t="s">
        <v>196</v>
      </c>
      <c r="C77" s="13" t="s">
        <v>197</v>
      </c>
      <c r="D77" s="13" t="s">
        <v>73</v>
      </c>
      <c r="E77" s="14">
        <v>22</v>
      </c>
      <c r="F77" s="13" t="s">
        <v>128</v>
      </c>
    </row>
    <row r="78" spans="2:6" hidden="1">
      <c r="B78" s="9" t="s">
        <v>198</v>
      </c>
      <c r="C78" s="8" t="s">
        <v>197</v>
      </c>
      <c r="D78" s="8" t="s">
        <v>68</v>
      </c>
      <c r="E78" s="12">
        <v>91</v>
      </c>
      <c r="F78" s="8" t="s">
        <v>199</v>
      </c>
    </row>
    <row r="79" spans="2:6" hidden="1">
      <c r="B79" s="15" t="s">
        <v>200</v>
      </c>
      <c r="C79" s="13" t="s">
        <v>197</v>
      </c>
      <c r="D79" s="13" t="s">
        <v>88</v>
      </c>
      <c r="E79" s="14">
        <v>141</v>
      </c>
      <c r="F79" s="13" t="s">
        <v>199</v>
      </c>
    </row>
    <row r="80" spans="2:6" hidden="1">
      <c r="B80" s="9" t="s">
        <v>201</v>
      </c>
      <c r="C80" s="8" t="s">
        <v>197</v>
      </c>
      <c r="D80" s="8" t="s">
        <v>49</v>
      </c>
      <c r="E80" s="12">
        <v>222</v>
      </c>
      <c r="F80" s="8" t="s">
        <v>199</v>
      </c>
    </row>
    <row r="81" spans="2:6" hidden="1">
      <c r="B81" s="15" t="s">
        <v>202</v>
      </c>
      <c r="C81" s="13" t="s">
        <v>197</v>
      </c>
      <c r="D81" s="13" t="s">
        <v>70</v>
      </c>
      <c r="E81" s="14">
        <v>223</v>
      </c>
      <c r="F81" s="13" t="s">
        <v>203</v>
      </c>
    </row>
    <row r="82" spans="2:6" hidden="1">
      <c r="B82" s="9" t="s">
        <v>204</v>
      </c>
      <c r="C82" s="8" t="s">
        <v>197</v>
      </c>
      <c r="D82" s="8" t="s">
        <v>90</v>
      </c>
      <c r="E82" s="12">
        <v>258</v>
      </c>
      <c r="F82" s="8" t="s">
        <v>199</v>
      </c>
    </row>
    <row r="83" spans="2:6" hidden="1">
      <c r="B83" s="15" t="s">
        <v>205</v>
      </c>
      <c r="C83" s="13" t="s">
        <v>197</v>
      </c>
      <c r="D83" s="13" t="s">
        <v>90</v>
      </c>
      <c r="E83" s="14">
        <v>264</v>
      </c>
      <c r="F83" s="13" t="s">
        <v>199</v>
      </c>
    </row>
    <row r="84" spans="2:6" hidden="1">
      <c r="B84" s="9" t="s">
        <v>206</v>
      </c>
      <c r="C84" s="8" t="s">
        <v>197</v>
      </c>
      <c r="D84" s="8" t="s">
        <v>68</v>
      </c>
      <c r="E84" s="12">
        <v>290</v>
      </c>
      <c r="F84" s="8" t="s">
        <v>199</v>
      </c>
    </row>
    <row r="85" spans="2:6" hidden="1">
      <c r="B85" s="15" t="s">
        <v>207</v>
      </c>
      <c r="C85" s="13" t="s">
        <v>197</v>
      </c>
      <c r="D85" s="13" t="s">
        <v>76</v>
      </c>
      <c r="E85" s="14">
        <v>315</v>
      </c>
      <c r="F85" s="13" t="s">
        <v>208</v>
      </c>
    </row>
    <row r="86" spans="2:6" hidden="1">
      <c r="B86" s="9" t="s">
        <v>209</v>
      </c>
      <c r="C86" s="8" t="s">
        <v>210</v>
      </c>
      <c r="D86" s="8" t="s">
        <v>49</v>
      </c>
      <c r="E86" s="12">
        <v>10</v>
      </c>
      <c r="F86" s="8" t="s">
        <v>211</v>
      </c>
    </row>
    <row r="87" spans="2:6" hidden="1">
      <c r="B87" s="15" t="s">
        <v>212</v>
      </c>
      <c r="C87" s="13" t="s">
        <v>210</v>
      </c>
      <c r="D87" s="13" t="s">
        <v>68</v>
      </c>
      <c r="E87" s="14">
        <v>96</v>
      </c>
      <c r="F87" s="13" t="s">
        <v>211</v>
      </c>
    </row>
    <row r="88" spans="2:6" hidden="1">
      <c r="B88" s="9" t="s">
        <v>213</v>
      </c>
      <c r="C88" s="8" t="s">
        <v>210</v>
      </c>
      <c r="D88" s="8" t="s">
        <v>88</v>
      </c>
      <c r="E88" s="12">
        <v>145</v>
      </c>
      <c r="F88" s="8" t="s">
        <v>211</v>
      </c>
    </row>
    <row r="89" spans="2:6" hidden="1">
      <c r="B89" s="15" t="s">
        <v>214</v>
      </c>
      <c r="C89" s="13" t="s">
        <v>210</v>
      </c>
      <c r="D89" s="13" t="s">
        <v>90</v>
      </c>
      <c r="E89" s="14">
        <v>270</v>
      </c>
      <c r="F89" s="13" t="s">
        <v>211</v>
      </c>
    </row>
    <row r="90" spans="2:6" hidden="1">
      <c r="B90" s="9" t="s">
        <v>215</v>
      </c>
      <c r="C90" s="8" t="s">
        <v>210</v>
      </c>
      <c r="D90" s="8" t="s">
        <v>90</v>
      </c>
      <c r="E90" s="12">
        <v>274</v>
      </c>
      <c r="F90" s="8" t="s">
        <v>211</v>
      </c>
    </row>
    <row r="91" spans="2:6" hidden="1">
      <c r="B91" s="15" t="s">
        <v>216</v>
      </c>
      <c r="C91" s="13" t="s">
        <v>210</v>
      </c>
      <c r="D91" s="13" t="s">
        <v>70</v>
      </c>
      <c r="E91" s="14">
        <v>310</v>
      </c>
      <c r="F91" s="13" t="s">
        <v>217</v>
      </c>
    </row>
    <row r="92" spans="2:6" hidden="1">
      <c r="B92" s="9" t="s">
        <v>218</v>
      </c>
      <c r="C92" s="8" t="s">
        <v>210</v>
      </c>
      <c r="D92" s="8" t="s">
        <v>73</v>
      </c>
      <c r="E92" s="12">
        <v>311</v>
      </c>
      <c r="F92" s="8" t="s">
        <v>219</v>
      </c>
    </row>
    <row r="93" spans="2:6" hidden="1">
      <c r="B93" s="15" t="s">
        <v>220</v>
      </c>
      <c r="C93" s="13" t="s">
        <v>221</v>
      </c>
      <c r="D93" s="13" t="s">
        <v>73</v>
      </c>
      <c r="E93" s="14">
        <v>124</v>
      </c>
      <c r="F93" s="13" t="s">
        <v>222</v>
      </c>
    </row>
    <row r="94" spans="2:6" hidden="1">
      <c r="B94" s="9" t="s">
        <v>223</v>
      </c>
      <c r="C94" s="8" t="s">
        <v>221</v>
      </c>
      <c r="D94" s="8" t="s">
        <v>68</v>
      </c>
      <c r="E94" s="12">
        <v>140</v>
      </c>
      <c r="F94" s="8" t="s">
        <v>222</v>
      </c>
    </row>
    <row r="95" spans="2:6" hidden="1">
      <c r="B95" s="15" t="s">
        <v>224</v>
      </c>
      <c r="C95" s="13" t="s">
        <v>221</v>
      </c>
      <c r="D95" s="13" t="s">
        <v>68</v>
      </c>
      <c r="E95" s="14">
        <v>298</v>
      </c>
      <c r="F95" s="13" t="s">
        <v>222</v>
      </c>
    </row>
    <row r="96" spans="2:6" hidden="1">
      <c r="B96" s="9" t="s">
        <v>225</v>
      </c>
      <c r="C96" s="8" t="s">
        <v>221</v>
      </c>
      <c r="D96" s="8" t="s">
        <v>49</v>
      </c>
      <c r="E96" s="12">
        <v>324</v>
      </c>
      <c r="F96" s="8" t="s">
        <v>226</v>
      </c>
    </row>
    <row r="97" spans="2:6" hidden="1">
      <c r="B97" s="15" t="s">
        <v>227</v>
      </c>
      <c r="C97" s="13" t="s">
        <v>221</v>
      </c>
      <c r="D97" s="13" t="s">
        <v>73</v>
      </c>
      <c r="E97" s="14">
        <v>325</v>
      </c>
      <c r="F97" s="13" t="s">
        <v>228</v>
      </c>
    </row>
    <row r="98" spans="2:6" hidden="1">
      <c r="B98" s="9" t="s">
        <v>229</v>
      </c>
      <c r="C98" s="8" t="s">
        <v>230</v>
      </c>
      <c r="D98" s="8" t="s">
        <v>73</v>
      </c>
      <c r="E98" s="12">
        <v>38</v>
      </c>
      <c r="F98" s="8" t="s">
        <v>231</v>
      </c>
    </row>
    <row r="99" spans="2:6" hidden="1">
      <c r="B99" s="15" t="s">
        <v>232</v>
      </c>
      <c r="C99" s="13" t="s">
        <v>230</v>
      </c>
      <c r="D99" s="13" t="s">
        <v>88</v>
      </c>
      <c r="E99" s="14">
        <v>158</v>
      </c>
      <c r="F99" s="13" t="s">
        <v>231</v>
      </c>
    </row>
    <row r="100" spans="2:6" hidden="1">
      <c r="B100" s="9" t="s">
        <v>233</v>
      </c>
      <c r="C100" s="8" t="s">
        <v>230</v>
      </c>
      <c r="D100" s="8" t="s">
        <v>68</v>
      </c>
      <c r="E100" s="12">
        <v>227</v>
      </c>
      <c r="F100" s="8" t="s">
        <v>231</v>
      </c>
    </row>
    <row r="101" spans="2:6" hidden="1">
      <c r="B101" s="15" t="s">
        <v>234</v>
      </c>
      <c r="C101" s="13" t="s">
        <v>230</v>
      </c>
      <c r="D101" s="13" t="s">
        <v>70</v>
      </c>
      <c r="E101" s="14">
        <v>229</v>
      </c>
      <c r="F101" s="13" t="s">
        <v>231</v>
      </c>
    </row>
    <row r="102" spans="2:6" hidden="1">
      <c r="B102" s="9" t="s">
        <v>235</v>
      </c>
      <c r="C102" s="8" t="s">
        <v>230</v>
      </c>
      <c r="D102" s="8" t="s">
        <v>140</v>
      </c>
      <c r="E102" s="12">
        <v>233</v>
      </c>
      <c r="F102" s="8" t="s">
        <v>231</v>
      </c>
    </row>
    <row r="103" spans="2:6" hidden="1">
      <c r="B103" s="15" t="s">
        <v>236</v>
      </c>
      <c r="C103" s="13" t="s">
        <v>230</v>
      </c>
      <c r="D103" s="13" t="s">
        <v>49</v>
      </c>
      <c r="E103" s="14">
        <v>236</v>
      </c>
      <c r="F103" s="13" t="s">
        <v>231</v>
      </c>
    </row>
    <row r="104" spans="2:6" hidden="1">
      <c r="B104" s="9" t="s">
        <v>237</v>
      </c>
      <c r="C104" s="8" t="s">
        <v>238</v>
      </c>
      <c r="D104" s="8" t="s">
        <v>49</v>
      </c>
      <c r="E104" s="12">
        <v>162</v>
      </c>
      <c r="F104" s="8" t="s">
        <v>239</v>
      </c>
    </row>
    <row r="105" spans="2:6" hidden="1">
      <c r="B105" s="15" t="s">
        <v>240</v>
      </c>
      <c r="C105" s="13" t="s">
        <v>238</v>
      </c>
      <c r="D105" s="13" t="s">
        <v>68</v>
      </c>
      <c r="E105" s="14">
        <v>163</v>
      </c>
      <c r="F105" s="13" t="s">
        <v>239</v>
      </c>
    </row>
    <row r="106" spans="2:6" hidden="1">
      <c r="B106" s="9" t="s">
        <v>241</v>
      </c>
      <c r="C106" s="8" t="s">
        <v>242</v>
      </c>
      <c r="D106" s="8" t="s">
        <v>88</v>
      </c>
      <c r="E106" s="12">
        <v>46</v>
      </c>
      <c r="F106" s="8" t="s">
        <v>243</v>
      </c>
    </row>
    <row r="107" spans="2:6" hidden="1">
      <c r="B107" s="15" t="s">
        <v>244</v>
      </c>
      <c r="C107" s="13" t="s">
        <v>242</v>
      </c>
      <c r="D107" s="13" t="s">
        <v>140</v>
      </c>
      <c r="E107" s="14">
        <v>68</v>
      </c>
      <c r="F107" s="13" t="s">
        <v>243</v>
      </c>
    </row>
    <row r="108" spans="2:6" hidden="1">
      <c r="B108" s="9" t="s">
        <v>245</v>
      </c>
      <c r="C108" s="8" t="s">
        <v>242</v>
      </c>
      <c r="D108" s="8" t="s">
        <v>73</v>
      </c>
      <c r="E108" s="12">
        <v>127</v>
      </c>
      <c r="F108" s="8" t="s">
        <v>243</v>
      </c>
    </row>
    <row r="109" spans="2:6" hidden="1">
      <c r="B109" s="15" t="s">
        <v>246</v>
      </c>
      <c r="C109" s="13" t="s">
        <v>242</v>
      </c>
      <c r="D109" s="13" t="s">
        <v>150</v>
      </c>
      <c r="E109" s="14">
        <v>266</v>
      </c>
      <c r="F109" s="13" t="s">
        <v>243</v>
      </c>
    </row>
    <row r="110" spans="2:6" hidden="1">
      <c r="B110" s="9" t="s">
        <v>247</v>
      </c>
      <c r="C110" s="8" t="s">
        <v>248</v>
      </c>
      <c r="D110" s="8" t="s">
        <v>49</v>
      </c>
      <c r="E110" s="12">
        <v>188</v>
      </c>
      <c r="F110" s="8" t="s">
        <v>249</v>
      </c>
    </row>
    <row r="111" spans="2:6" hidden="1">
      <c r="B111" s="15" t="s">
        <v>250</v>
      </c>
      <c r="C111" s="13" t="s">
        <v>248</v>
      </c>
      <c r="D111" s="13" t="s">
        <v>68</v>
      </c>
      <c r="E111" s="14">
        <v>189</v>
      </c>
      <c r="F111" s="13" t="s">
        <v>249</v>
      </c>
    </row>
    <row r="112" spans="2:6" hidden="1">
      <c r="B112" s="9" t="s">
        <v>251</v>
      </c>
      <c r="C112" s="8" t="s">
        <v>252</v>
      </c>
      <c r="D112" s="8" t="s">
        <v>73</v>
      </c>
      <c r="E112" s="12">
        <v>13</v>
      </c>
      <c r="F112" s="8" t="s">
        <v>253</v>
      </c>
    </row>
    <row r="113" spans="2:6" hidden="1">
      <c r="B113" s="15" t="s">
        <v>254</v>
      </c>
      <c r="C113" s="13" t="s">
        <v>252</v>
      </c>
      <c r="D113" s="13" t="s">
        <v>68</v>
      </c>
      <c r="E113" s="14">
        <v>97</v>
      </c>
      <c r="F113" s="13" t="s">
        <v>253</v>
      </c>
    </row>
    <row r="114" spans="2:6" hidden="1">
      <c r="B114" s="9" t="s">
        <v>255</v>
      </c>
      <c r="C114" s="8" t="s">
        <v>252</v>
      </c>
      <c r="D114" s="8" t="s">
        <v>90</v>
      </c>
      <c r="E114" s="12">
        <v>170</v>
      </c>
      <c r="F114" s="8" t="s">
        <v>253</v>
      </c>
    </row>
    <row r="115" spans="2:6" hidden="1">
      <c r="B115" s="15" t="s">
        <v>256</v>
      </c>
      <c r="C115" s="13" t="s">
        <v>252</v>
      </c>
      <c r="D115" s="13" t="s">
        <v>73</v>
      </c>
      <c r="E115" s="14">
        <v>187</v>
      </c>
      <c r="F115" s="13" t="s">
        <v>253</v>
      </c>
    </row>
    <row r="116" spans="2:6" hidden="1">
      <c r="B116" s="9" t="s">
        <v>257</v>
      </c>
      <c r="C116" s="8" t="s">
        <v>252</v>
      </c>
      <c r="D116" s="8" t="s">
        <v>88</v>
      </c>
      <c r="E116" s="12">
        <v>195</v>
      </c>
      <c r="F116" s="8" t="s">
        <v>253</v>
      </c>
    </row>
    <row r="117" spans="2:6" hidden="1">
      <c r="B117" s="15" t="s">
        <v>258</v>
      </c>
      <c r="C117" s="13" t="s">
        <v>252</v>
      </c>
      <c r="D117" s="13" t="s">
        <v>90</v>
      </c>
      <c r="E117" s="14">
        <v>262</v>
      </c>
      <c r="F117" s="13" t="s">
        <v>253</v>
      </c>
    </row>
    <row r="118" spans="2:6" hidden="1">
      <c r="B118" s="9" t="s">
        <v>259</v>
      </c>
      <c r="C118" s="8" t="s">
        <v>252</v>
      </c>
      <c r="D118" s="8" t="s">
        <v>68</v>
      </c>
      <c r="E118" s="12">
        <v>299</v>
      </c>
      <c r="F118" s="8" t="s">
        <v>253</v>
      </c>
    </row>
    <row r="119" spans="2:6" hidden="1">
      <c r="B119" s="15" t="s">
        <v>260</v>
      </c>
      <c r="C119" s="13" t="s">
        <v>252</v>
      </c>
      <c r="D119" s="13" t="s">
        <v>70</v>
      </c>
      <c r="E119" s="14">
        <v>307</v>
      </c>
      <c r="F119" s="13" t="s">
        <v>261</v>
      </c>
    </row>
    <row r="120" spans="2:6" hidden="1">
      <c r="B120" s="9" t="s">
        <v>262</v>
      </c>
      <c r="C120" s="8" t="s">
        <v>252</v>
      </c>
      <c r="D120" s="8" t="s">
        <v>49</v>
      </c>
      <c r="E120" s="12">
        <v>308</v>
      </c>
      <c r="F120" s="8" t="s">
        <v>263</v>
      </c>
    </row>
    <row r="121" spans="2:6" hidden="1">
      <c r="B121" s="15" t="s">
        <v>264</v>
      </c>
      <c r="C121" s="13" t="s">
        <v>265</v>
      </c>
      <c r="D121" s="13" t="s">
        <v>49</v>
      </c>
      <c r="E121" s="14">
        <v>57</v>
      </c>
      <c r="F121" s="13" t="s">
        <v>266</v>
      </c>
    </row>
    <row r="122" spans="2:6" hidden="1">
      <c r="B122" s="9" t="s">
        <v>267</v>
      </c>
      <c r="C122" s="8" t="s">
        <v>265</v>
      </c>
      <c r="D122" s="8" t="s">
        <v>140</v>
      </c>
      <c r="E122" s="12">
        <v>58</v>
      </c>
      <c r="F122" s="8" t="s">
        <v>266</v>
      </c>
    </row>
    <row r="123" spans="2:6" hidden="1">
      <c r="B123" s="15" t="s">
        <v>268</v>
      </c>
      <c r="C123" s="13" t="s">
        <v>265</v>
      </c>
      <c r="D123" s="13" t="s">
        <v>68</v>
      </c>
      <c r="E123" s="14">
        <v>154</v>
      </c>
      <c r="F123" s="13" t="s">
        <v>266</v>
      </c>
    </row>
    <row r="124" spans="2:6" hidden="1">
      <c r="B124" s="9" t="s">
        <v>269</v>
      </c>
      <c r="C124" s="8" t="s">
        <v>265</v>
      </c>
      <c r="D124" s="8" t="s">
        <v>150</v>
      </c>
      <c r="E124" s="12">
        <v>205</v>
      </c>
      <c r="F124" s="8" t="s">
        <v>266</v>
      </c>
    </row>
    <row r="125" spans="2:6" hidden="1">
      <c r="B125" s="15" t="s">
        <v>270</v>
      </c>
      <c r="C125" s="13" t="s">
        <v>271</v>
      </c>
      <c r="D125" s="13" t="s">
        <v>49</v>
      </c>
      <c r="E125" s="14">
        <v>255</v>
      </c>
      <c r="F125" s="13" t="s">
        <v>272</v>
      </c>
    </row>
    <row r="126" spans="2:6" hidden="1">
      <c r="B126" s="9" t="s">
        <v>273</v>
      </c>
      <c r="C126" s="8" t="s">
        <v>271</v>
      </c>
      <c r="D126" s="8" t="s">
        <v>68</v>
      </c>
      <c r="E126" s="12">
        <v>256</v>
      </c>
      <c r="F126" s="8" t="s">
        <v>272</v>
      </c>
    </row>
    <row r="127" spans="2:6" hidden="1">
      <c r="B127" s="15" t="s">
        <v>274</v>
      </c>
      <c r="C127" s="13" t="s">
        <v>275</v>
      </c>
      <c r="D127" s="13" t="s">
        <v>49</v>
      </c>
      <c r="E127" s="14">
        <v>175</v>
      </c>
      <c r="F127" s="13" t="s">
        <v>276</v>
      </c>
    </row>
    <row r="128" spans="2:6" hidden="1">
      <c r="B128" s="9" t="s">
        <v>277</v>
      </c>
      <c r="C128" s="8" t="s">
        <v>275</v>
      </c>
      <c r="D128" s="8" t="s">
        <v>68</v>
      </c>
      <c r="E128" s="12">
        <v>176</v>
      </c>
      <c r="F128" s="8" t="s">
        <v>276</v>
      </c>
    </row>
    <row r="129" spans="2:6" hidden="1">
      <c r="B129" s="15" t="s">
        <v>278</v>
      </c>
      <c r="C129" s="13" t="s">
        <v>279</v>
      </c>
      <c r="D129" s="13" t="s">
        <v>70</v>
      </c>
      <c r="E129" s="14">
        <v>83</v>
      </c>
      <c r="F129" s="13" t="s">
        <v>280</v>
      </c>
    </row>
    <row r="130" spans="2:6" hidden="1">
      <c r="B130" s="9" t="s">
        <v>281</v>
      </c>
      <c r="C130" s="8" t="s">
        <v>279</v>
      </c>
      <c r="D130" s="8" t="s">
        <v>68</v>
      </c>
      <c r="E130" s="12">
        <v>151</v>
      </c>
      <c r="F130" s="8" t="s">
        <v>280</v>
      </c>
    </row>
    <row r="131" spans="2:6" hidden="1">
      <c r="B131" s="15" t="s">
        <v>282</v>
      </c>
      <c r="C131" s="13" t="s">
        <v>283</v>
      </c>
      <c r="D131" s="13" t="s">
        <v>49</v>
      </c>
      <c r="E131" s="14">
        <v>39</v>
      </c>
      <c r="F131" s="13" t="s">
        <v>284</v>
      </c>
    </row>
    <row r="132" spans="2:6" hidden="1">
      <c r="B132" s="9" t="s">
        <v>285</v>
      </c>
      <c r="C132" s="8" t="s">
        <v>283</v>
      </c>
      <c r="D132" s="8" t="s">
        <v>140</v>
      </c>
      <c r="E132" s="12">
        <v>78</v>
      </c>
      <c r="F132" s="8" t="s">
        <v>284</v>
      </c>
    </row>
    <row r="133" spans="2:6" hidden="1">
      <c r="B133" s="15" t="s">
        <v>286</v>
      </c>
      <c r="C133" s="13" t="s">
        <v>283</v>
      </c>
      <c r="D133" s="13" t="s">
        <v>68</v>
      </c>
      <c r="E133" s="14">
        <v>150</v>
      </c>
      <c r="F133" s="13" t="s">
        <v>284</v>
      </c>
    </row>
    <row r="134" spans="2:6" hidden="1">
      <c r="B134" s="9" t="s">
        <v>287</v>
      </c>
      <c r="C134" s="8" t="s">
        <v>283</v>
      </c>
      <c r="D134" s="8" t="s">
        <v>150</v>
      </c>
      <c r="E134" s="12">
        <v>209</v>
      </c>
      <c r="F134" s="8" t="s">
        <v>284</v>
      </c>
    </row>
    <row r="135" spans="2:6" hidden="1">
      <c r="B135" s="15" t="s">
        <v>288</v>
      </c>
      <c r="C135" s="13" t="s">
        <v>283</v>
      </c>
      <c r="D135" s="13" t="s">
        <v>88</v>
      </c>
      <c r="E135" s="14">
        <v>267</v>
      </c>
      <c r="F135" s="13" t="s">
        <v>284</v>
      </c>
    </row>
    <row r="136" spans="2:6" hidden="1">
      <c r="B136" s="9" t="s">
        <v>289</v>
      </c>
      <c r="C136" s="8" t="s">
        <v>290</v>
      </c>
      <c r="D136" s="8" t="s">
        <v>73</v>
      </c>
      <c r="E136" s="12">
        <v>16</v>
      </c>
      <c r="F136" s="8" t="s">
        <v>128</v>
      </c>
    </row>
    <row r="137" spans="2:6" hidden="1">
      <c r="B137" s="15" t="s">
        <v>291</v>
      </c>
      <c r="C137" s="13" t="s">
        <v>290</v>
      </c>
      <c r="D137" s="13" t="s">
        <v>68</v>
      </c>
      <c r="E137" s="14">
        <v>134</v>
      </c>
      <c r="F137" s="13" t="s">
        <v>292</v>
      </c>
    </row>
    <row r="138" spans="2:6" hidden="1">
      <c r="B138" s="9" t="s">
        <v>293</v>
      </c>
      <c r="C138" s="8" t="s">
        <v>290</v>
      </c>
      <c r="D138" s="8" t="s">
        <v>68</v>
      </c>
      <c r="E138" s="12">
        <v>297</v>
      </c>
      <c r="F138" s="8" t="s">
        <v>292</v>
      </c>
    </row>
    <row r="139" spans="2:6" hidden="1">
      <c r="B139" s="15" t="s">
        <v>294</v>
      </c>
      <c r="C139" s="13" t="s">
        <v>290</v>
      </c>
      <c r="D139" s="13" t="s">
        <v>49</v>
      </c>
      <c r="E139" s="14">
        <v>312</v>
      </c>
      <c r="F139" s="13" t="s">
        <v>295</v>
      </c>
    </row>
    <row r="140" spans="2:6" hidden="1">
      <c r="B140" s="9" t="s">
        <v>296</v>
      </c>
      <c r="C140" s="8" t="s">
        <v>290</v>
      </c>
      <c r="D140" s="8" t="s">
        <v>73</v>
      </c>
      <c r="E140" s="12">
        <v>313</v>
      </c>
      <c r="F140" s="8" t="s">
        <v>297</v>
      </c>
    </row>
    <row r="141" spans="2:6" hidden="1">
      <c r="B141" s="15" t="s">
        <v>298</v>
      </c>
      <c r="C141" s="13" t="s">
        <v>290</v>
      </c>
      <c r="D141" s="13" t="s">
        <v>70</v>
      </c>
      <c r="E141" s="14">
        <v>350</v>
      </c>
      <c r="F141" s="13" t="s">
        <v>299</v>
      </c>
    </row>
    <row r="142" spans="2:6" hidden="1">
      <c r="B142" s="9" t="s">
        <v>300</v>
      </c>
      <c r="C142" s="8" t="s">
        <v>301</v>
      </c>
      <c r="D142" s="8" t="s">
        <v>49</v>
      </c>
      <c r="E142" s="12">
        <v>15</v>
      </c>
      <c r="F142" s="8" t="s">
        <v>302</v>
      </c>
    </row>
    <row r="143" spans="2:6" hidden="1">
      <c r="B143" s="15" t="s">
        <v>303</v>
      </c>
      <c r="C143" s="13" t="s">
        <v>301</v>
      </c>
      <c r="D143" s="13" t="s">
        <v>68</v>
      </c>
      <c r="E143" s="14">
        <v>136</v>
      </c>
      <c r="F143" s="13" t="s">
        <v>302</v>
      </c>
    </row>
    <row r="144" spans="2:6" hidden="1">
      <c r="B144" s="9" t="s">
        <v>304</v>
      </c>
      <c r="C144" s="8" t="s">
        <v>301</v>
      </c>
      <c r="D144" s="8" t="s">
        <v>88</v>
      </c>
      <c r="E144" s="12">
        <v>198</v>
      </c>
      <c r="F144" s="8" t="s">
        <v>302</v>
      </c>
    </row>
    <row r="145" spans="2:6" hidden="1">
      <c r="B145" s="15" t="s">
        <v>305</v>
      </c>
      <c r="C145" s="13" t="s">
        <v>301</v>
      </c>
      <c r="D145" s="13" t="s">
        <v>90</v>
      </c>
      <c r="E145" s="14">
        <v>269</v>
      </c>
      <c r="F145" s="13" t="s">
        <v>302</v>
      </c>
    </row>
    <row r="146" spans="2:6" hidden="1">
      <c r="B146" s="9" t="s">
        <v>306</v>
      </c>
      <c r="C146" s="8" t="s">
        <v>301</v>
      </c>
      <c r="D146" s="8" t="s">
        <v>90</v>
      </c>
      <c r="E146" s="12">
        <v>273</v>
      </c>
      <c r="F146" s="8" t="s">
        <v>302</v>
      </c>
    </row>
    <row r="147" spans="2:6" hidden="1">
      <c r="B147" s="15" t="s">
        <v>307</v>
      </c>
      <c r="C147" s="13" t="s">
        <v>308</v>
      </c>
      <c r="D147" s="13" t="s">
        <v>140</v>
      </c>
      <c r="E147" s="14">
        <v>65</v>
      </c>
      <c r="F147" s="13" t="s">
        <v>309</v>
      </c>
    </row>
    <row r="148" spans="2:6" hidden="1">
      <c r="B148" s="9" t="s">
        <v>310</v>
      </c>
      <c r="C148" s="8" t="s">
        <v>308</v>
      </c>
      <c r="D148" s="8" t="s">
        <v>49</v>
      </c>
      <c r="E148" s="12">
        <v>81</v>
      </c>
      <c r="F148" s="8" t="s">
        <v>309</v>
      </c>
    </row>
    <row r="149" spans="2:6" hidden="1">
      <c r="B149" s="15" t="s">
        <v>311</v>
      </c>
      <c r="C149" s="13" t="s">
        <v>308</v>
      </c>
      <c r="D149" s="13" t="s">
        <v>68</v>
      </c>
      <c r="E149" s="14">
        <v>152</v>
      </c>
      <c r="F149" s="13" t="s">
        <v>309</v>
      </c>
    </row>
    <row r="150" spans="2:6" hidden="1">
      <c r="B150" s="9" t="s">
        <v>312</v>
      </c>
      <c r="C150" s="8" t="s">
        <v>308</v>
      </c>
      <c r="D150" s="8" t="s">
        <v>150</v>
      </c>
      <c r="E150" s="12">
        <v>207</v>
      </c>
      <c r="F150" s="8" t="s">
        <v>309</v>
      </c>
    </row>
    <row r="151" spans="2:6" hidden="1">
      <c r="B151" s="15" t="s">
        <v>313</v>
      </c>
      <c r="C151" s="13" t="s">
        <v>314</v>
      </c>
      <c r="D151" s="13" t="s">
        <v>73</v>
      </c>
      <c r="E151" s="14">
        <v>160</v>
      </c>
      <c r="F151" s="13" t="s">
        <v>315</v>
      </c>
    </row>
    <row r="152" spans="2:6" hidden="1">
      <c r="B152" s="9" t="s">
        <v>316</v>
      </c>
      <c r="C152" s="8" t="s">
        <v>314</v>
      </c>
      <c r="D152" s="8" t="s">
        <v>68</v>
      </c>
      <c r="E152" s="12">
        <v>161</v>
      </c>
      <c r="F152" s="8" t="s">
        <v>315</v>
      </c>
    </row>
    <row r="153" spans="2:6" hidden="1">
      <c r="B153" s="15" t="s">
        <v>317</v>
      </c>
      <c r="C153" s="13" t="s">
        <v>318</v>
      </c>
      <c r="D153" s="13" t="s">
        <v>73</v>
      </c>
      <c r="E153" s="14">
        <v>48</v>
      </c>
      <c r="F153" s="13" t="s">
        <v>319</v>
      </c>
    </row>
    <row r="154" spans="2:6" hidden="1">
      <c r="B154" s="9" t="s">
        <v>320</v>
      </c>
      <c r="C154" s="8" t="s">
        <v>318</v>
      </c>
      <c r="D154" s="8" t="s">
        <v>68</v>
      </c>
      <c r="E154" s="12">
        <v>139</v>
      </c>
      <c r="F154" s="8" t="s">
        <v>319</v>
      </c>
    </row>
    <row r="155" spans="2:6" hidden="1">
      <c r="B155" s="15" t="s">
        <v>321</v>
      </c>
      <c r="C155" s="13" t="s">
        <v>318</v>
      </c>
      <c r="D155" s="13" t="s">
        <v>68</v>
      </c>
      <c r="E155" s="14">
        <v>321</v>
      </c>
      <c r="F155" s="13" t="s">
        <v>322</v>
      </c>
    </row>
    <row r="156" spans="2:6" hidden="1">
      <c r="B156" s="9" t="s">
        <v>323</v>
      </c>
      <c r="C156" s="8" t="s">
        <v>318</v>
      </c>
      <c r="D156" s="8" t="s">
        <v>49</v>
      </c>
      <c r="E156" s="12">
        <v>322</v>
      </c>
      <c r="F156" s="8" t="s">
        <v>324</v>
      </c>
    </row>
    <row r="157" spans="2:6" hidden="1">
      <c r="B157" s="15" t="s">
        <v>325</v>
      </c>
      <c r="C157" s="13" t="s">
        <v>318</v>
      </c>
      <c r="D157" s="13" t="s">
        <v>73</v>
      </c>
      <c r="E157" s="14">
        <v>323</v>
      </c>
      <c r="F157" s="13" t="s">
        <v>322</v>
      </c>
    </row>
    <row r="158" spans="2:6" hidden="1">
      <c r="B158" s="9" t="s">
        <v>326</v>
      </c>
      <c r="C158" s="8" t="s">
        <v>318</v>
      </c>
      <c r="D158" s="8" t="s">
        <v>88</v>
      </c>
      <c r="E158" s="12">
        <v>327</v>
      </c>
      <c r="F158" s="8" t="s">
        <v>327</v>
      </c>
    </row>
    <row r="159" spans="2:6" hidden="1">
      <c r="B159" s="15" t="s">
        <v>328</v>
      </c>
      <c r="C159" s="13" t="s">
        <v>329</v>
      </c>
      <c r="D159" s="13" t="s">
        <v>73</v>
      </c>
      <c r="E159" s="14">
        <v>225</v>
      </c>
      <c r="F159" s="13" t="s">
        <v>330</v>
      </c>
    </row>
    <row r="160" spans="2:6" hidden="1">
      <c r="B160" s="9" t="s">
        <v>331</v>
      </c>
      <c r="C160" s="8" t="s">
        <v>329</v>
      </c>
      <c r="D160" s="8" t="s">
        <v>68</v>
      </c>
      <c r="E160" s="12">
        <v>226</v>
      </c>
      <c r="F160" s="8" t="s">
        <v>330</v>
      </c>
    </row>
    <row r="161" spans="2:6" hidden="1">
      <c r="B161" s="15" t="s">
        <v>332</v>
      </c>
      <c r="C161" s="13" t="s">
        <v>329</v>
      </c>
      <c r="D161" s="13" t="s">
        <v>68</v>
      </c>
      <c r="E161" s="14">
        <v>301</v>
      </c>
      <c r="F161" s="13" t="s">
        <v>330</v>
      </c>
    </row>
    <row r="162" spans="2:6" hidden="1">
      <c r="B162" s="9" t="s">
        <v>333</v>
      </c>
      <c r="C162" s="8" t="s">
        <v>334</v>
      </c>
      <c r="D162" s="8" t="s">
        <v>49</v>
      </c>
      <c r="E162" s="12">
        <v>179</v>
      </c>
      <c r="F162" s="8" t="s">
        <v>335</v>
      </c>
    </row>
    <row r="163" spans="2:6" hidden="1">
      <c r="B163" s="15" t="s">
        <v>336</v>
      </c>
      <c r="C163" s="13" t="s">
        <v>334</v>
      </c>
      <c r="D163" s="13" t="s">
        <v>68</v>
      </c>
      <c r="E163" s="14">
        <v>180</v>
      </c>
      <c r="F163" s="13" t="s">
        <v>335</v>
      </c>
    </row>
    <row r="164" spans="2:6" hidden="1">
      <c r="B164" s="9" t="s">
        <v>337</v>
      </c>
      <c r="C164" s="8" t="s">
        <v>334</v>
      </c>
      <c r="D164" s="8" t="s">
        <v>140</v>
      </c>
      <c r="E164" s="12">
        <v>237</v>
      </c>
      <c r="F164" s="8" t="s">
        <v>335</v>
      </c>
    </row>
    <row r="165" spans="2:6" hidden="1">
      <c r="B165" s="15" t="s">
        <v>338</v>
      </c>
      <c r="C165" s="13" t="s">
        <v>334</v>
      </c>
      <c r="D165" s="13" t="s">
        <v>88</v>
      </c>
      <c r="E165" s="14">
        <v>356</v>
      </c>
      <c r="F165" s="13" t="s">
        <v>335</v>
      </c>
    </row>
    <row r="166" spans="2:6" hidden="1">
      <c r="B166" s="9" t="s">
        <v>339</v>
      </c>
      <c r="C166" s="8" t="s">
        <v>340</v>
      </c>
      <c r="D166" s="8" t="s">
        <v>49</v>
      </c>
      <c r="E166" s="12">
        <v>166</v>
      </c>
      <c r="F166" s="8" t="s">
        <v>341</v>
      </c>
    </row>
    <row r="167" spans="2:6" hidden="1">
      <c r="B167" s="15" t="s">
        <v>342</v>
      </c>
      <c r="C167" s="13" t="s">
        <v>340</v>
      </c>
      <c r="D167" s="13" t="s">
        <v>68</v>
      </c>
      <c r="E167" s="14">
        <v>167</v>
      </c>
      <c r="F167" s="13" t="s">
        <v>341</v>
      </c>
    </row>
    <row r="168" spans="2:6" hidden="1">
      <c r="B168" s="9" t="s">
        <v>343</v>
      </c>
      <c r="C168" s="8" t="s">
        <v>340</v>
      </c>
      <c r="D168" s="8" t="s">
        <v>70</v>
      </c>
      <c r="E168" s="12">
        <v>331</v>
      </c>
      <c r="F168" s="8" t="s">
        <v>344</v>
      </c>
    </row>
    <row r="169" spans="2:6" hidden="1">
      <c r="B169" s="15" t="s">
        <v>345</v>
      </c>
      <c r="C169" s="13" t="s">
        <v>340</v>
      </c>
      <c r="D169" s="13" t="s">
        <v>73</v>
      </c>
      <c r="E169" s="14">
        <v>332</v>
      </c>
      <c r="F169" s="13" t="s">
        <v>346</v>
      </c>
    </row>
    <row r="170" spans="2:6" hidden="1">
      <c r="B170" s="9" t="s">
        <v>347</v>
      </c>
      <c r="C170" s="8" t="s">
        <v>340</v>
      </c>
      <c r="D170" s="8" t="s">
        <v>76</v>
      </c>
      <c r="E170" s="12">
        <v>333</v>
      </c>
      <c r="F170" s="8" t="s">
        <v>348</v>
      </c>
    </row>
    <row r="171" spans="2:6" hidden="1">
      <c r="B171" s="15" t="s">
        <v>349</v>
      </c>
      <c r="C171" s="13" t="s">
        <v>350</v>
      </c>
      <c r="D171" s="13" t="s">
        <v>49</v>
      </c>
      <c r="E171" s="14">
        <v>20</v>
      </c>
      <c r="F171" s="13" t="s">
        <v>351</v>
      </c>
    </row>
    <row r="172" spans="2:6" hidden="1">
      <c r="B172" s="9" t="s">
        <v>352</v>
      </c>
      <c r="C172" s="8" t="s">
        <v>350</v>
      </c>
      <c r="D172" s="8" t="s">
        <v>68</v>
      </c>
      <c r="E172" s="12">
        <v>137</v>
      </c>
      <c r="F172" s="8" t="s">
        <v>351</v>
      </c>
    </row>
    <row r="173" spans="2:6" hidden="1">
      <c r="B173" s="15" t="s">
        <v>353</v>
      </c>
      <c r="C173" s="13" t="s">
        <v>350</v>
      </c>
      <c r="D173" s="13" t="s">
        <v>88</v>
      </c>
      <c r="E173" s="14">
        <v>185</v>
      </c>
      <c r="F173" s="13" t="s">
        <v>351</v>
      </c>
    </row>
    <row r="174" spans="2:6" hidden="1">
      <c r="B174" s="9" t="s">
        <v>354</v>
      </c>
      <c r="C174" s="8" t="s">
        <v>350</v>
      </c>
      <c r="D174" s="8" t="s">
        <v>68</v>
      </c>
      <c r="E174" s="12">
        <v>295</v>
      </c>
      <c r="F174" s="8" t="s">
        <v>351</v>
      </c>
    </row>
    <row r="175" spans="2:6" hidden="1">
      <c r="B175" s="15" t="s">
        <v>355</v>
      </c>
      <c r="C175" s="13" t="s">
        <v>350</v>
      </c>
      <c r="D175" s="13" t="s">
        <v>70</v>
      </c>
      <c r="E175" s="14">
        <v>347</v>
      </c>
      <c r="F175" s="13" t="s">
        <v>356</v>
      </c>
    </row>
    <row r="176" spans="2:6" hidden="1">
      <c r="B176" s="9" t="s">
        <v>357</v>
      </c>
      <c r="C176" s="8" t="s">
        <v>350</v>
      </c>
      <c r="D176" s="8" t="s">
        <v>73</v>
      </c>
      <c r="E176" s="12">
        <v>348</v>
      </c>
      <c r="F176" s="8" t="s">
        <v>358</v>
      </c>
    </row>
    <row r="177" spans="2:6" hidden="1">
      <c r="B177" s="15" t="s">
        <v>359</v>
      </c>
      <c r="C177" s="13" t="s">
        <v>360</v>
      </c>
      <c r="D177" s="13" t="s">
        <v>73</v>
      </c>
      <c r="E177" s="14">
        <v>44</v>
      </c>
      <c r="F177" s="13" t="s">
        <v>361</v>
      </c>
    </row>
    <row r="178" spans="2:6" hidden="1">
      <c r="B178" s="9" t="s">
        <v>362</v>
      </c>
      <c r="C178" s="8" t="s">
        <v>360</v>
      </c>
      <c r="D178" s="8" t="s">
        <v>140</v>
      </c>
      <c r="E178" s="12">
        <v>71</v>
      </c>
      <c r="F178" s="8" t="s">
        <v>361</v>
      </c>
    </row>
    <row r="179" spans="2:6" hidden="1">
      <c r="B179" s="15" t="s">
        <v>363</v>
      </c>
      <c r="C179" s="13" t="s">
        <v>360</v>
      </c>
      <c r="D179" s="13" t="s">
        <v>73</v>
      </c>
      <c r="E179" s="14">
        <v>72</v>
      </c>
      <c r="F179" s="13" t="s">
        <v>361</v>
      </c>
    </row>
    <row r="180" spans="2:6" hidden="1">
      <c r="B180" s="9" t="s">
        <v>364</v>
      </c>
      <c r="C180" s="8" t="s">
        <v>360</v>
      </c>
      <c r="D180" s="8" t="s">
        <v>140</v>
      </c>
      <c r="E180" s="12">
        <v>73</v>
      </c>
      <c r="F180" s="8" t="s">
        <v>361</v>
      </c>
    </row>
    <row r="181" spans="2:6" hidden="1">
      <c r="B181" s="15" t="s">
        <v>365</v>
      </c>
      <c r="C181" s="13" t="s">
        <v>360</v>
      </c>
      <c r="D181" s="13" t="s">
        <v>68</v>
      </c>
      <c r="E181" s="14">
        <v>98</v>
      </c>
      <c r="F181" s="13" t="s">
        <v>361</v>
      </c>
    </row>
    <row r="182" spans="2:6" hidden="1">
      <c r="B182" s="9" t="s">
        <v>366</v>
      </c>
      <c r="C182" s="8" t="s">
        <v>360</v>
      </c>
      <c r="D182" s="8" t="s">
        <v>90</v>
      </c>
      <c r="E182" s="12">
        <v>271</v>
      </c>
      <c r="F182" s="8" t="s">
        <v>361</v>
      </c>
    </row>
    <row r="183" spans="2:6" hidden="1">
      <c r="B183" s="15" t="s">
        <v>367</v>
      </c>
      <c r="C183" s="13" t="s">
        <v>360</v>
      </c>
      <c r="D183" s="13" t="s">
        <v>90</v>
      </c>
      <c r="E183" s="14">
        <v>275</v>
      </c>
      <c r="F183" s="13" t="s">
        <v>361</v>
      </c>
    </row>
    <row r="184" spans="2:6" hidden="1">
      <c r="B184" s="9" t="s">
        <v>368</v>
      </c>
      <c r="C184" s="8" t="s">
        <v>360</v>
      </c>
      <c r="D184" s="8" t="s">
        <v>70</v>
      </c>
      <c r="E184" s="12">
        <v>341</v>
      </c>
      <c r="F184" s="8" t="s">
        <v>369</v>
      </c>
    </row>
    <row r="185" spans="2:6" hidden="1">
      <c r="B185" s="15" t="s">
        <v>370</v>
      </c>
      <c r="C185" s="13" t="s">
        <v>360</v>
      </c>
      <c r="D185" s="13" t="s">
        <v>49</v>
      </c>
      <c r="E185" s="14">
        <v>342</v>
      </c>
      <c r="F185" s="13" t="s">
        <v>371</v>
      </c>
    </row>
    <row r="186" spans="2:6" hidden="1">
      <c r="B186" s="9" t="s">
        <v>372</v>
      </c>
      <c r="C186" s="8" t="s">
        <v>373</v>
      </c>
      <c r="D186" s="8" t="s">
        <v>73</v>
      </c>
      <c r="E186" s="12">
        <v>40</v>
      </c>
      <c r="F186" s="8" t="s">
        <v>374</v>
      </c>
    </row>
    <row r="187" spans="2:6" hidden="1">
      <c r="B187" s="15" t="s">
        <v>375</v>
      </c>
      <c r="C187" s="13" t="s">
        <v>373</v>
      </c>
      <c r="D187" s="13" t="s">
        <v>140</v>
      </c>
      <c r="E187" s="14">
        <v>53</v>
      </c>
      <c r="F187" s="13" t="s">
        <v>374</v>
      </c>
    </row>
    <row r="188" spans="2:6" hidden="1">
      <c r="B188" s="9" t="s">
        <v>376</v>
      </c>
      <c r="C188" s="8" t="s">
        <v>373</v>
      </c>
      <c r="D188" s="8" t="s">
        <v>88</v>
      </c>
      <c r="E188" s="12">
        <v>146</v>
      </c>
      <c r="F188" s="8" t="s">
        <v>374</v>
      </c>
    </row>
    <row r="189" spans="2:6" hidden="1">
      <c r="B189" s="15" t="s">
        <v>377</v>
      </c>
      <c r="C189" s="13" t="s">
        <v>373</v>
      </c>
      <c r="D189" s="13" t="s">
        <v>68</v>
      </c>
      <c r="E189" s="14">
        <v>156</v>
      </c>
      <c r="F189" s="13" t="s">
        <v>374</v>
      </c>
    </row>
    <row r="190" spans="2:6" hidden="1">
      <c r="B190" s="9" t="s">
        <v>378</v>
      </c>
      <c r="C190" s="8" t="s">
        <v>373</v>
      </c>
      <c r="D190" s="8" t="s">
        <v>73</v>
      </c>
      <c r="E190" s="12">
        <v>172</v>
      </c>
      <c r="F190" s="8" t="s">
        <v>374</v>
      </c>
    </row>
    <row r="191" spans="2:6" hidden="1">
      <c r="B191" s="15" t="s">
        <v>379</v>
      </c>
      <c r="C191" s="13" t="s">
        <v>373</v>
      </c>
      <c r="D191" s="13" t="s">
        <v>150</v>
      </c>
      <c r="E191" s="14">
        <v>211</v>
      </c>
      <c r="F191" s="13" t="s">
        <v>374</v>
      </c>
    </row>
    <row r="192" spans="2:6" hidden="1">
      <c r="B192" s="9" t="s">
        <v>380</v>
      </c>
      <c r="C192" s="8" t="s">
        <v>373</v>
      </c>
      <c r="D192" s="8" t="s">
        <v>73</v>
      </c>
      <c r="E192" s="12">
        <v>343</v>
      </c>
      <c r="F192" s="8" t="s">
        <v>381</v>
      </c>
    </row>
    <row r="193" spans="2:6" hidden="1">
      <c r="B193" s="15" t="s">
        <v>382</v>
      </c>
      <c r="C193" s="13" t="s">
        <v>373</v>
      </c>
      <c r="D193" s="13" t="s">
        <v>73</v>
      </c>
      <c r="E193" s="14">
        <v>345</v>
      </c>
      <c r="F193" s="13" t="s">
        <v>383</v>
      </c>
    </row>
    <row r="194" spans="2:6" hidden="1">
      <c r="B194" s="9" t="s">
        <v>384</v>
      </c>
      <c r="C194" s="8" t="s">
        <v>385</v>
      </c>
      <c r="D194" s="8" t="s">
        <v>49</v>
      </c>
      <c r="E194" s="12">
        <v>164</v>
      </c>
      <c r="F194" s="8" t="s">
        <v>386</v>
      </c>
    </row>
    <row r="195" spans="2:6" hidden="1">
      <c r="B195" s="15" t="s">
        <v>387</v>
      </c>
      <c r="C195" s="13" t="s">
        <v>385</v>
      </c>
      <c r="D195" s="13" t="s">
        <v>68</v>
      </c>
      <c r="E195" s="14">
        <v>165</v>
      </c>
      <c r="F195" s="13" t="s">
        <v>386</v>
      </c>
    </row>
    <row r="196" spans="2:6" hidden="1">
      <c r="B196" s="9" t="s">
        <v>388</v>
      </c>
      <c r="C196" s="8" t="s">
        <v>385</v>
      </c>
      <c r="D196" s="8" t="s">
        <v>140</v>
      </c>
      <c r="E196" s="12">
        <v>235</v>
      </c>
      <c r="F196" s="8" t="s">
        <v>386</v>
      </c>
    </row>
    <row r="197" spans="2:6" hidden="1">
      <c r="B197" s="15" t="s">
        <v>389</v>
      </c>
      <c r="C197" s="13" t="s">
        <v>390</v>
      </c>
      <c r="D197" s="13" t="s">
        <v>49</v>
      </c>
      <c r="E197" s="14">
        <v>41</v>
      </c>
      <c r="F197" s="13" t="s">
        <v>391</v>
      </c>
    </row>
    <row r="198" spans="2:6" hidden="1">
      <c r="B198" s="9" t="s">
        <v>392</v>
      </c>
      <c r="C198" s="8" t="s">
        <v>390</v>
      </c>
      <c r="D198" s="8" t="s">
        <v>140</v>
      </c>
      <c r="E198" s="12">
        <v>55</v>
      </c>
      <c r="F198" s="8" t="s">
        <v>391</v>
      </c>
    </row>
    <row r="199" spans="2:6" hidden="1">
      <c r="B199" s="15" t="s">
        <v>393</v>
      </c>
      <c r="C199" s="13" t="s">
        <v>390</v>
      </c>
      <c r="D199" s="13" t="s">
        <v>68</v>
      </c>
      <c r="E199" s="14">
        <v>155</v>
      </c>
      <c r="F199" s="13" t="s">
        <v>391</v>
      </c>
    </row>
    <row r="200" spans="2:6" hidden="1">
      <c r="B200" s="9" t="s">
        <v>394</v>
      </c>
      <c r="C200" s="8" t="s">
        <v>390</v>
      </c>
      <c r="D200" s="8" t="s">
        <v>150</v>
      </c>
      <c r="E200" s="12">
        <v>203</v>
      </c>
      <c r="F200" s="8" t="s">
        <v>391</v>
      </c>
    </row>
    <row r="201" spans="2:6" hidden="1">
      <c r="B201" s="15" t="s">
        <v>395</v>
      </c>
      <c r="C201" s="13" t="s">
        <v>396</v>
      </c>
      <c r="D201" s="13" t="s">
        <v>49</v>
      </c>
      <c r="E201" s="14">
        <v>23</v>
      </c>
      <c r="F201" s="13" t="s">
        <v>397</v>
      </c>
    </row>
    <row r="202" spans="2:6" hidden="1">
      <c r="B202" s="9" t="s">
        <v>398</v>
      </c>
      <c r="C202" s="8" t="s">
        <v>396</v>
      </c>
      <c r="D202" s="8" t="s">
        <v>88</v>
      </c>
      <c r="E202" s="12">
        <v>42</v>
      </c>
      <c r="F202" s="8" t="s">
        <v>397</v>
      </c>
    </row>
    <row r="203" spans="2:6" hidden="1">
      <c r="B203" s="15" t="s">
        <v>399</v>
      </c>
      <c r="C203" s="13" t="s">
        <v>396</v>
      </c>
      <c r="D203" s="13" t="s">
        <v>49</v>
      </c>
      <c r="E203" s="14">
        <v>43</v>
      </c>
      <c r="F203" s="13" t="s">
        <v>397</v>
      </c>
    </row>
    <row r="204" spans="2:6" hidden="1">
      <c r="B204" s="9" t="s">
        <v>400</v>
      </c>
      <c r="C204" s="8" t="s">
        <v>396</v>
      </c>
      <c r="D204" s="8" t="s">
        <v>49</v>
      </c>
      <c r="E204" s="12">
        <v>47</v>
      </c>
      <c r="F204" s="8" t="s">
        <v>397</v>
      </c>
    </row>
    <row r="205" spans="2:6" hidden="1">
      <c r="B205" s="15" t="s">
        <v>401</v>
      </c>
      <c r="C205" s="13" t="s">
        <v>396</v>
      </c>
      <c r="D205" s="13" t="s">
        <v>68</v>
      </c>
      <c r="E205" s="14">
        <v>50</v>
      </c>
      <c r="F205" s="13" t="s">
        <v>397</v>
      </c>
    </row>
    <row r="206" spans="2:6" hidden="1">
      <c r="B206" s="9" t="s">
        <v>402</v>
      </c>
      <c r="C206" s="8" t="s">
        <v>396</v>
      </c>
      <c r="D206" s="8" t="s">
        <v>68</v>
      </c>
      <c r="E206" s="12">
        <v>51</v>
      </c>
      <c r="F206" s="8" t="s">
        <v>397</v>
      </c>
    </row>
    <row r="207" spans="2:6" hidden="1">
      <c r="B207" s="15" t="s">
        <v>403</v>
      </c>
      <c r="C207" s="13" t="s">
        <v>396</v>
      </c>
      <c r="D207" s="13" t="s">
        <v>68</v>
      </c>
      <c r="E207" s="14">
        <v>52</v>
      </c>
      <c r="F207" s="13" t="s">
        <v>397</v>
      </c>
    </row>
    <row r="208" spans="2:6" hidden="1">
      <c r="B208" s="9" t="s">
        <v>404</v>
      </c>
      <c r="C208" s="8" t="s">
        <v>396</v>
      </c>
      <c r="D208" s="8" t="s">
        <v>68</v>
      </c>
      <c r="E208" s="12">
        <v>85</v>
      </c>
      <c r="F208" s="8" t="s">
        <v>397</v>
      </c>
    </row>
    <row r="209" spans="2:6" hidden="1">
      <c r="B209" s="15" t="s">
        <v>405</v>
      </c>
      <c r="C209" s="13" t="s">
        <v>396</v>
      </c>
      <c r="D209" s="13" t="s">
        <v>68</v>
      </c>
      <c r="E209" s="14">
        <v>86</v>
      </c>
      <c r="F209" s="13" t="s">
        <v>397</v>
      </c>
    </row>
    <row r="210" spans="2:6" hidden="1">
      <c r="B210" s="9" t="s">
        <v>406</v>
      </c>
      <c r="C210" s="8" t="s">
        <v>396</v>
      </c>
      <c r="D210" s="8" t="s">
        <v>68</v>
      </c>
      <c r="E210" s="12">
        <v>87</v>
      </c>
      <c r="F210" s="8" t="s">
        <v>397</v>
      </c>
    </row>
    <row r="211" spans="2:6" hidden="1">
      <c r="B211" s="15" t="s">
        <v>407</v>
      </c>
      <c r="C211" s="13" t="s">
        <v>396</v>
      </c>
      <c r="D211" s="13" t="s">
        <v>90</v>
      </c>
      <c r="E211" s="14">
        <v>168</v>
      </c>
      <c r="F211" s="13" t="s">
        <v>397</v>
      </c>
    </row>
    <row r="212" spans="2:6" hidden="1">
      <c r="B212" s="9" t="s">
        <v>408</v>
      </c>
      <c r="C212" s="8" t="s">
        <v>396</v>
      </c>
      <c r="D212" s="8" t="s">
        <v>49</v>
      </c>
      <c r="E212" s="12">
        <v>171</v>
      </c>
      <c r="F212" s="8" t="s">
        <v>397</v>
      </c>
    </row>
    <row r="213" spans="2:6" hidden="1">
      <c r="B213" s="15" t="s">
        <v>409</v>
      </c>
      <c r="C213" s="13" t="s">
        <v>396</v>
      </c>
      <c r="D213" s="13" t="s">
        <v>90</v>
      </c>
      <c r="E213" s="14">
        <v>260</v>
      </c>
      <c r="F213" s="13" t="s">
        <v>397</v>
      </c>
    </row>
    <row r="214" spans="2:6" hidden="1">
      <c r="B214" s="9" t="s">
        <v>410</v>
      </c>
      <c r="C214" s="8" t="s">
        <v>396</v>
      </c>
      <c r="D214" s="8" t="s">
        <v>76</v>
      </c>
      <c r="E214" s="12">
        <v>349</v>
      </c>
      <c r="F214" s="8" t="s">
        <v>411</v>
      </c>
    </row>
    <row r="215" spans="2:6" hidden="1">
      <c r="B215" s="15" t="s">
        <v>412</v>
      </c>
      <c r="C215" s="13" t="s">
        <v>396</v>
      </c>
      <c r="D215" s="13" t="s">
        <v>413</v>
      </c>
      <c r="E215" s="14">
        <v>357</v>
      </c>
      <c r="F215" s="13" t="s">
        <v>414</v>
      </c>
    </row>
    <row r="216" spans="2:6" hidden="1">
      <c r="B216" s="9" t="s">
        <v>415</v>
      </c>
      <c r="C216" s="8" t="s">
        <v>396</v>
      </c>
      <c r="D216" s="8" t="s">
        <v>413</v>
      </c>
      <c r="E216" s="12">
        <v>43</v>
      </c>
      <c r="F216" s="8" t="s">
        <v>416</v>
      </c>
    </row>
    <row r="217" spans="2:6" hidden="1">
      <c r="B217" s="15" t="s">
        <v>417</v>
      </c>
      <c r="C217" s="13" t="s">
        <v>418</v>
      </c>
      <c r="D217" s="13" t="s">
        <v>49</v>
      </c>
      <c r="E217" s="14">
        <v>196</v>
      </c>
      <c r="F217" s="13" t="s">
        <v>419</v>
      </c>
    </row>
    <row r="218" spans="2:6" hidden="1">
      <c r="B218" s="9" t="s">
        <v>420</v>
      </c>
      <c r="C218" s="8" t="s">
        <v>418</v>
      </c>
      <c r="D218" s="8" t="s">
        <v>68</v>
      </c>
      <c r="E218" s="12">
        <v>197</v>
      </c>
      <c r="F218" s="8" t="s">
        <v>419</v>
      </c>
    </row>
    <row r="219" spans="2:6" hidden="1">
      <c r="B219" s="15" t="s">
        <v>421</v>
      </c>
      <c r="C219" s="13" t="s">
        <v>422</v>
      </c>
      <c r="D219" s="13" t="s">
        <v>49</v>
      </c>
      <c r="E219" s="14">
        <v>18</v>
      </c>
      <c r="F219" s="13" t="s">
        <v>423</v>
      </c>
    </row>
    <row r="220" spans="2:6" hidden="1">
      <c r="B220" s="9" t="s">
        <v>424</v>
      </c>
      <c r="C220" s="8" t="s">
        <v>422</v>
      </c>
      <c r="D220" s="8" t="s">
        <v>68</v>
      </c>
      <c r="E220" s="12">
        <v>99</v>
      </c>
      <c r="F220" s="8" t="s">
        <v>423</v>
      </c>
    </row>
    <row r="221" spans="2:6" hidden="1">
      <c r="B221" s="15" t="s">
        <v>425</v>
      </c>
      <c r="C221" s="13" t="s">
        <v>422</v>
      </c>
      <c r="D221" s="13" t="s">
        <v>68</v>
      </c>
      <c r="E221" s="14">
        <v>300</v>
      </c>
      <c r="F221" s="13" t="s">
        <v>423</v>
      </c>
    </row>
  </sheetData>
  <autoFilter ref="B2:F221">
    <filterColumn colId="1">
      <filters>
        <filter val="EUR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H19"/>
  <sheetViews>
    <sheetView workbookViewId="0">
      <selection activeCell="F19" sqref="F19"/>
    </sheetView>
  </sheetViews>
  <sheetFormatPr defaultRowHeight="15"/>
  <cols>
    <col min="1" max="1" width="3.28515625" customWidth="1"/>
    <col min="2" max="2" width="21.140625" bestFit="1" customWidth="1"/>
    <col min="6" max="6" width="11.85546875" bestFit="1" customWidth="1"/>
    <col min="8" max="8" width="17.85546875" bestFit="1" customWidth="1"/>
  </cols>
  <sheetData>
    <row r="2" spans="2:8">
      <c r="B2" s="7" t="s">
        <v>6</v>
      </c>
      <c r="D2" s="1" t="s">
        <v>34</v>
      </c>
      <c r="F2" t="s">
        <v>47</v>
      </c>
      <c r="H2" s="18" t="s">
        <v>428</v>
      </c>
    </row>
    <row r="3" spans="2:8">
      <c r="B3" s="18" t="s">
        <v>4</v>
      </c>
      <c r="D3" s="1" t="s">
        <v>35</v>
      </c>
      <c r="F3" t="s">
        <v>48</v>
      </c>
      <c r="H3" s="18" t="s">
        <v>429</v>
      </c>
    </row>
    <row r="4" spans="2:8">
      <c r="B4" s="18" t="s">
        <v>3</v>
      </c>
      <c r="D4" s="1" t="s">
        <v>36</v>
      </c>
      <c r="H4" s="18" t="s">
        <v>430</v>
      </c>
    </row>
    <row r="5" spans="2:8">
      <c r="B5" s="18" t="s">
        <v>5</v>
      </c>
      <c r="D5" s="1" t="s">
        <v>37</v>
      </c>
      <c r="H5" s="18" t="s">
        <v>431</v>
      </c>
    </row>
    <row r="6" spans="2:8">
      <c r="B6" s="18" t="s">
        <v>190</v>
      </c>
      <c r="D6" s="1" t="s">
        <v>38</v>
      </c>
      <c r="H6" s="18"/>
    </row>
    <row r="7" spans="2:8">
      <c r="B7" s="18" t="s">
        <v>193</v>
      </c>
      <c r="D7" s="1" t="s">
        <v>39</v>
      </c>
    </row>
    <row r="8" spans="2:8">
      <c r="B8" s="18" t="str">
        <f>"USD"&amp;RIGHT(B2,3)</f>
        <v>USD.6M</v>
      </c>
      <c r="D8" s="1" t="s">
        <v>40</v>
      </c>
    </row>
    <row r="9" spans="2:8">
      <c r="B9" s="18" t="str">
        <f>"USD"&amp;RIGHT(B3,3)</f>
        <v>USD.1M</v>
      </c>
      <c r="D9" s="1" t="s">
        <v>41</v>
      </c>
    </row>
    <row r="10" spans="2:8">
      <c r="B10" s="18" t="str">
        <f>"USD"&amp;RIGHT(B4,3)</f>
        <v>USD.3M</v>
      </c>
      <c r="D10" s="1" t="s">
        <v>42</v>
      </c>
    </row>
    <row r="11" spans="2:8">
      <c r="B11" s="18" t="str">
        <f>"USD"&amp;RIGHT(B5,4)</f>
        <v>USD.OIS</v>
      </c>
      <c r="D11" s="1" t="s">
        <v>43</v>
      </c>
    </row>
    <row r="12" spans="2:8">
      <c r="B12" s="18" t="s">
        <v>409</v>
      </c>
      <c r="D12" s="1" t="s">
        <v>44</v>
      </c>
    </row>
    <row r="13" spans="2:8">
      <c r="B13" s="18" t="str">
        <f>"GBP"&amp;RIGHT(B2,3)</f>
        <v>GBP.6M</v>
      </c>
    </row>
    <row r="14" spans="2:8">
      <c r="B14" s="18" t="str">
        <f>"GBP"&amp;RIGHT(B3,3)</f>
        <v>GBP.1M</v>
      </c>
    </row>
    <row r="15" spans="2:8">
      <c r="B15" s="18" t="str">
        <f>"GBP"&amp;RIGHT(B4,3)</f>
        <v>GBP.3M</v>
      </c>
    </row>
    <row r="16" spans="2:8">
      <c r="B16" s="18" t="str">
        <f>"GBP"&amp;RIGHT(B5,4)</f>
        <v>GBP.OIS</v>
      </c>
    </row>
    <row r="17" spans="2:2">
      <c r="B17" s="18" t="s">
        <v>198</v>
      </c>
    </row>
    <row r="18" spans="2:2">
      <c r="B18" s="18" t="s">
        <v>206</v>
      </c>
    </row>
    <row r="19" spans="2:2">
      <c r="B19" s="18" t="s">
        <v>205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Crv</vt:lpstr>
      <vt:lpstr>Fwd </vt:lpstr>
      <vt:lpstr>SPF</vt:lpstr>
      <vt:lpstr>Ita</vt:lpstr>
      <vt:lpstr>CCT</vt:lpstr>
      <vt:lpstr>DB</vt:lpstr>
      <vt:lpstr>CurveID</vt:lpstr>
      <vt:lpstr>Dati</vt:lpstr>
      <vt:lpstr>Settle</vt:lpstr>
      <vt:lpstr>Today</vt:lpstr>
    </vt:vector>
  </TitlesOfParts>
  <Company>Bloomberg L.P.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dvigliotta</dc:creator>
  <cp:lastModifiedBy>Andrea</cp:lastModifiedBy>
  <cp:lastPrinted>2016-03-18T09:05:12Z</cp:lastPrinted>
  <dcterms:created xsi:type="dcterms:W3CDTF">2014-04-02T16:26:30Z</dcterms:created>
  <dcterms:modified xsi:type="dcterms:W3CDTF">2016-10-12T08:52:09Z</dcterms:modified>
</cp:coreProperties>
</file>